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 - SRM Institute of Science &amp; Technology\Desktop\"/>
    </mc:Choice>
  </mc:AlternateContent>
  <bookViews>
    <workbookView xWindow="0" yWindow="0" windowWidth="19368" windowHeight="9384" firstSheet="2" activeTab="7"/>
  </bookViews>
  <sheets>
    <sheet name="Product_dim answer" sheetId="6" r:id="rId1"/>
    <sheet name="Sales_Fact" sheetId="4" r:id="rId2"/>
    <sheet name="customer_dim tranformed data" sheetId="5" r:id="rId3"/>
    <sheet name="Store_Dim" sheetId="3" r:id="rId4"/>
    <sheet name="Sheet9" sheetId="24" r:id="rId5"/>
    <sheet name="Sheet10" sheetId="25" r:id="rId6"/>
    <sheet name="Sheet8" sheetId="23" r:id="rId7"/>
    <sheet name="Sheet1" sheetId="18" r:id="rId8"/>
  </sheets>
  <calcPr calcId="152511"/>
  <pivotCaches>
    <pivotCache cacheId="5" r:id="rId9"/>
    <pivotCache cacheId="9" r:id="rId10"/>
    <pivotCache cacheId="15" r:id="rId11"/>
  </pivotCaches>
</workbook>
</file>

<file path=xl/calcChain.xml><?xml version="1.0" encoding="utf-8"?>
<calcChain xmlns="http://schemas.openxmlformats.org/spreadsheetml/2006/main">
  <c r="I390" i="5" l="1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K479" i="4" l="1"/>
  <c r="L479" i="4"/>
  <c r="M479" i="4"/>
  <c r="N479" i="4"/>
  <c r="O479" i="4"/>
  <c r="P479" i="4"/>
  <c r="Q479" i="4"/>
  <c r="R479" i="4"/>
  <c r="K480" i="4"/>
  <c r="L480" i="4"/>
  <c r="M480" i="4"/>
  <c r="N480" i="4"/>
  <c r="O480" i="4"/>
  <c r="P480" i="4"/>
  <c r="Q480" i="4"/>
  <c r="R480" i="4"/>
  <c r="K481" i="4"/>
  <c r="L481" i="4"/>
  <c r="M481" i="4"/>
  <c r="N481" i="4"/>
  <c r="O481" i="4"/>
  <c r="P481" i="4"/>
  <c r="Q481" i="4"/>
  <c r="R481" i="4"/>
  <c r="K482" i="4"/>
  <c r="L482" i="4"/>
  <c r="M482" i="4"/>
  <c r="N482" i="4"/>
  <c r="O482" i="4"/>
  <c r="P482" i="4"/>
  <c r="Q482" i="4"/>
  <c r="R482" i="4"/>
  <c r="K483" i="4"/>
  <c r="L483" i="4"/>
  <c r="M483" i="4"/>
  <c r="N483" i="4"/>
  <c r="O483" i="4"/>
  <c r="P483" i="4"/>
  <c r="Q483" i="4"/>
  <c r="R483" i="4"/>
  <c r="K484" i="4"/>
  <c r="L484" i="4"/>
  <c r="M484" i="4"/>
  <c r="N484" i="4"/>
  <c r="O484" i="4"/>
  <c r="P484" i="4"/>
  <c r="Q484" i="4"/>
  <c r="R484" i="4"/>
  <c r="K485" i="4"/>
  <c r="L485" i="4"/>
  <c r="M485" i="4"/>
  <c r="N485" i="4"/>
  <c r="O485" i="4"/>
  <c r="P485" i="4"/>
  <c r="Q485" i="4"/>
  <c r="R485" i="4"/>
  <c r="K486" i="4"/>
  <c r="L486" i="4"/>
  <c r="M486" i="4"/>
  <c r="N486" i="4"/>
  <c r="O486" i="4"/>
  <c r="P486" i="4"/>
  <c r="Q486" i="4"/>
  <c r="R486" i="4"/>
  <c r="K487" i="4"/>
  <c r="L487" i="4"/>
  <c r="M487" i="4"/>
  <c r="N487" i="4"/>
  <c r="O487" i="4"/>
  <c r="P487" i="4"/>
  <c r="Q487" i="4"/>
  <c r="R487" i="4"/>
  <c r="K488" i="4"/>
  <c r="L488" i="4"/>
  <c r="M488" i="4"/>
  <c r="N488" i="4"/>
  <c r="O488" i="4"/>
  <c r="P488" i="4"/>
  <c r="Q488" i="4"/>
  <c r="R488" i="4"/>
  <c r="K489" i="4"/>
  <c r="L489" i="4"/>
  <c r="M489" i="4"/>
  <c r="N489" i="4"/>
  <c r="O489" i="4"/>
  <c r="P489" i="4"/>
  <c r="Q489" i="4"/>
  <c r="R489" i="4"/>
  <c r="K490" i="4"/>
  <c r="L490" i="4"/>
  <c r="M490" i="4"/>
  <c r="N490" i="4"/>
  <c r="O490" i="4"/>
  <c r="P490" i="4"/>
  <c r="Q490" i="4"/>
  <c r="R490" i="4"/>
  <c r="K491" i="4"/>
  <c r="L491" i="4"/>
  <c r="M491" i="4"/>
  <c r="N491" i="4"/>
  <c r="O491" i="4"/>
  <c r="P491" i="4"/>
  <c r="Q491" i="4"/>
  <c r="R491" i="4"/>
  <c r="K492" i="4"/>
  <c r="L492" i="4"/>
  <c r="M492" i="4"/>
  <c r="N492" i="4"/>
  <c r="O492" i="4"/>
  <c r="P492" i="4"/>
  <c r="Q492" i="4"/>
  <c r="R492" i="4"/>
  <c r="K493" i="4"/>
  <c r="L493" i="4"/>
  <c r="M493" i="4"/>
  <c r="N493" i="4"/>
  <c r="O493" i="4"/>
  <c r="P493" i="4"/>
  <c r="Q493" i="4"/>
  <c r="R493" i="4"/>
  <c r="K494" i="4"/>
  <c r="L494" i="4"/>
  <c r="M494" i="4"/>
  <c r="N494" i="4"/>
  <c r="O494" i="4"/>
  <c r="P494" i="4"/>
  <c r="Q494" i="4"/>
  <c r="R494" i="4"/>
  <c r="K495" i="4"/>
  <c r="L495" i="4"/>
  <c r="M495" i="4"/>
  <c r="N495" i="4"/>
  <c r="O495" i="4"/>
  <c r="P495" i="4"/>
  <c r="Q495" i="4"/>
  <c r="R495" i="4"/>
  <c r="K496" i="4"/>
  <c r="L496" i="4"/>
  <c r="M496" i="4"/>
  <c r="N496" i="4"/>
  <c r="O496" i="4"/>
  <c r="P496" i="4"/>
  <c r="Q496" i="4"/>
  <c r="R496" i="4"/>
  <c r="K497" i="4"/>
  <c r="L497" i="4"/>
  <c r="M497" i="4"/>
  <c r="N497" i="4"/>
  <c r="O497" i="4"/>
  <c r="P497" i="4"/>
  <c r="Q497" i="4"/>
  <c r="R497" i="4"/>
  <c r="K498" i="4"/>
  <c r="L498" i="4"/>
  <c r="M498" i="4"/>
  <c r="N498" i="4"/>
  <c r="O498" i="4"/>
  <c r="P498" i="4"/>
  <c r="Q498" i="4"/>
  <c r="R498" i="4"/>
  <c r="K499" i="4"/>
  <c r="L499" i="4"/>
  <c r="M499" i="4"/>
  <c r="N499" i="4"/>
  <c r="O499" i="4"/>
  <c r="P499" i="4"/>
  <c r="Q499" i="4"/>
  <c r="R499" i="4"/>
  <c r="K500" i="4"/>
  <c r="L500" i="4"/>
  <c r="M500" i="4"/>
  <c r="N500" i="4"/>
  <c r="O500" i="4"/>
  <c r="P500" i="4"/>
  <c r="Q500" i="4"/>
  <c r="R500" i="4"/>
  <c r="K501" i="4"/>
  <c r="L501" i="4"/>
  <c r="M501" i="4"/>
  <c r="N501" i="4"/>
  <c r="O501" i="4"/>
  <c r="P501" i="4"/>
  <c r="Q501" i="4"/>
  <c r="R501" i="4"/>
  <c r="K502" i="4"/>
  <c r="L502" i="4"/>
  <c r="M502" i="4"/>
  <c r="N502" i="4"/>
  <c r="O502" i="4"/>
  <c r="P502" i="4"/>
  <c r="Q502" i="4"/>
  <c r="R502" i="4"/>
  <c r="K503" i="4"/>
  <c r="L503" i="4"/>
  <c r="M503" i="4"/>
  <c r="N503" i="4"/>
  <c r="O503" i="4"/>
  <c r="P503" i="4"/>
  <c r="Q503" i="4"/>
  <c r="R503" i="4"/>
  <c r="K504" i="4"/>
  <c r="L504" i="4"/>
  <c r="M504" i="4"/>
  <c r="N504" i="4"/>
  <c r="O504" i="4"/>
  <c r="P504" i="4"/>
  <c r="Q504" i="4"/>
  <c r="R504" i="4"/>
  <c r="K505" i="4"/>
  <c r="L505" i="4"/>
  <c r="M505" i="4"/>
  <c r="N505" i="4"/>
  <c r="O505" i="4"/>
  <c r="P505" i="4"/>
  <c r="Q505" i="4"/>
  <c r="R505" i="4"/>
  <c r="K506" i="4"/>
  <c r="L506" i="4"/>
  <c r="M506" i="4"/>
  <c r="N506" i="4"/>
  <c r="O506" i="4"/>
  <c r="P506" i="4"/>
  <c r="Q506" i="4"/>
  <c r="R506" i="4"/>
  <c r="K507" i="4"/>
  <c r="L507" i="4"/>
  <c r="M507" i="4"/>
  <c r="N507" i="4"/>
  <c r="O507" i="4"/>
  <c r="P507" i="4"/>
  <c r="Q507" i="4"/>
  <c r="R507" i="4"/>
  <c r="K508" i="4"/>
  <c r="L508" i="4"/>
  <c r="M508" i="4"/>
  <c r="N508" i="4"/>
  <c r="O508" i="4"/>
  <c r="P508" i="4"/>
  <c r="Q508" i="4"/>
  <c r="R508" i="4"/>
  <c r="K509" i="4"/>
  <c r="L509" i="4"/>
  <c r="M509" i="4"/>
  <c r="N509" i="4"/>
  <c r="O509" i="4"/>
  <c r="P509" i="4"/>
  <c r="Q509" i="4"/>
  <c r="R509" i="4"/>
  <c r="K510" i="4"/>
  <c r="L510" i="4"/>
  <c r="M510" i="4"/>
  <c r="N510" i="4"/>
  <c r="O510" i="4"/>
  <c r="P510" i="4"/>
  <c r="Q510" i="4"/>
  <c r="R510" i="4"/>
  <c r="K511" i="4"/>
  <c r="L511" i="4"/>
  <c r="M511" i="4"/>
  <c r="N511" i="4"/>
  <c r="O511" i="4"/>
  <c r="P511" i="4"/>
  <c r="Q511" i="4"/>
  <c r="R511" i="4"/>
  <c r="K512" i="4"/>
  <c r="L512" i="4"/>
  <c r="M512" i="4"/>
  <c r="N512" i="4"/>
  <c r="O512" i="4"/>
  <c r="P512" i="4"/>
  <c r="Q512" i="4"/>
  <c r="R512" i="4"/>
  <c r="K513" i="4"/>
  <c r="L513" i="4"/>
  <c r="M513" i="4"/>
  <c r="N513" i="4"/>
  <c r="O513" i="4"/>
  <c r="P513" i="4"/>
  <c r="Q513" i="4"/>
  <c r="R513" i="4"/>
  <c r="K514" i="4"/>
  <c r="L514" i="4"/>
  <c r="M514" i="4"/>
  <c r="N514" i="4"/>
  <c r="O514" i="4"/>
  <c r="P514" i="4"/>
  <c r="Q514" i="4"/>
  <c r="R514" i="4"/>
  <c r="K515" i="4"/>
  <c r="L515" i="4"/>
  <c r="M515" i="4"/>
  <c r="N515" i="4"/>
  <c r="O515" i="4"/>
  <c r="P515" i="4"/>
  <c r="Q515" i="4"/>
  <c r="R515" i="4"/>
  <c r="K516" i="4"/>
  <c r="L516" i="4"/>
  <c r="M516" i="4"/>
  <c r="N516" i="4"/>
  <c r="O516" i="4"/>
  <c r="P516" i="4"/>
  <c r="Q516" i="4"/>
  <c r="R516" i="4"/>
  <c r="K517" i="4"/>
  <c r="L517" i="4"/>
  <c r="M517" i="4"/>
  <c r="N517" i="4"/>
  <c r="O517" i="4"/>
  <c r="P517" i="4"/>
  <c r="Q517" i="4"/>
  <c r="R517" i="4"/>
  <c r="K518" i="4"/>
  <c r="L518" i="4"/>
  <c r="M518" i="4"/>
  <c r="N518" i="4"/>
  <c r="O518" i="4"/>
  <c r="P518" i="4"/>
  <c r="Q518" i="4"/>
  <c r="R518" i="4"/>
  <c r="K519" i="4"/>
  <c r="L519" i="4"/>
  <c r="M519" i="4"/>
  <c r="N519" i="4"/>
  <c r="O519" i="4"/>
  <c r="P519" i="4"/>
  <c r="Q519" i="4"/>
  <c r="R519" i="4"/>
  <c r="K520" i="4"/>
  <c r="L520" i="4"/>
  <c r="M520" i="4"/>
  <c r="N520" i="4"/>
  <c r="O520" i="4"/>
  <c r="P520" i="4"/>
  <c r="Q520" i="4"/>
  <c r="R520" i="4"/>
  <c r="K521" i="4"/>
  <c r="L521" i="4"/>
  <c r="M521" i="4"/>
  <c r="N521" i="4"/>
  <c r="O521" i="4"/>
  <c r="P521" i="4"/>
  <c r="Q521" i="4"/>
  <c r="R521" i="4"/>
  <c r="K522" i="4"/>
  <c r="L522" i="4"/>
  <c r="M522" i="4"/>
  <c r="N522" i="4"/>
  <c r="O522" i="4"/>
  <c r="P522" i="4"/>
  <c r="Q522" i="4"/>
  <c r="R522" i="4"/>
  <c r="K523" i="4"/>
  <c r="L523" i="4"/>
  <c r="M523" i="4"/>
  <c r="N523" i="4"/>
  <c r="O523" i="4"/>
  <c r="P523" i="4"/>
  <c r="Q523" i="4"/>
  <c r="R523" i="4"/>
  <c r="K524" i="4"/>
  <c r="L524" i="4"/>
  <c r="M524" i="4"/>
  <c r="N524" i="4"/>
  <c r="O524" i="4"/>
  <c r="P524" i="4"/>
  <c r="Q524" i="4"/>
  <c r="R524" i="4"/>
  <c r="K525" i="4"/>
  <c r="L525" i="4"/>
  <c r="M525" i="4"/>
  <c r="N525" i="4"/>
  <c r="O525" i="4"/>
  <c r="P525" i="4"/>
  <c r="Q525" i="4"/>
  <c r="R525" i="4"/>
  <c r="K526" i="4"/>
  <c r="L526" i="4"/>
  <c r="M526" i="4"/>
  <c r="N526" i="4"/>
  <c r="O526" i="4"/>
  <c r="P526" i="4"/>
  <c r="Q526" i="4"/>
  <c r="R526" i="4"/>
  <c r="K527" i="4"/>
  <c r="L527" i="4"/>
  <c r="M527" i="4"/>
  <c r="N527" i="4"/>
  <c r="O527" i="4"/>
  <c r="P527" i="4"/>
  <c r="Q527" i="4"/>
  <c r="R527" i="4"/>
  <c r="K528" i="4"/>
  <c r="L528" i="4"/>
  <c r="M528" i="4"/>
  <c r="N528" i="4"/>
  <c r="O528" i="4"/>
  <c r="P528" i="4"/>
  <c r="Q528" i="4"/>
  <c r="R528" i="4"/>
  <c r="K529" i="4"/>
  <c r="L529" i="4"/>
  <c r="M529" i="4"/>
  <c r="N529" i="4"/>
  <c r="O529" i="4"/>
  <c r="P529" i="4"/>
  <c r="Q529" i="4"/>
  <c r="R529" i="4"/>
  <c r="K530" i="4"/>
  <c r="L530" i="4"/>
  <c r="M530" i="4"/>
  <c r="N530" i="4"/>
  <c r="O530" i="4"/>
  <c r="P530" i="4"/>
  <c r="Q530" i="4"/>
  <c r="R530" i="4"/>
  <c r="K531" i="4"/>
  <c r="L531" i="4"/>
  <c r="M531" i="4"/>
  <c r="N531" i="4"/>
  <c r="O531" i="4"/>
  <c r="P531" i="4"/>
  <c r="Q531" i="4"/>
  <c r="R531" i="4"/>
  <c r="K532" i="4"/>
  <c r="L532" i="4"/>
  <c r="M532" i="4"/>
  <c r="N532" i="4"/>
  <c r="O532" i="4"/>
  <c r="P532" i="4"/>
  <c r="Q532" i="4"/>
  <c r="R532" i="4"/>
  <c r="K533" i="4"/>
  <c r="L533" i="4"/>
  <c r="M533" i="4"/>
  <c r="N533" i="4"/>
  <c r="O533" i="4"/>
  <c r="P533" i="4"/>
  <c r="Q533" i="4"/>
  <c r="R533" i="4"/>
  <c r="K534" i="4"/>
  <c r="L534" i="4"/>
  <c r="M534" i="4"/>
  <c r="N534" i="4"/>
  <c r="O534" i="4"/>
  <c r="P534" i="4"/>
  <c r="Q534" i="4"/>
  <c r="R534" i="4"/>
  <c r="K535" i="4"/>
  <c r="L535" i="4"/>
  <c r="M535" i="4"/>
  <c r="N535" i="4"/>
  <c r="O535" i="4"/>
  <c r="P535" i="4"/>
  <c r="Q535" i="4"/>
  <c r="R535" i="4"/>
  <c r="K536" i="4"/>
  <c r="L536" i="4"/>
  <c r="M536" i="4"/>
  <c r="N536" i="4"/>
  <c r="O536" i="4"/>
  <c r="P536" i="4"/>
  <c r="Q536" i="4"/>
  <c r="R536" i="4"/>
  <c r="K537" i="4"/>
  <c r="L537" i="4"/>
  <c r="M537" i="4"/>
  <c r="N537" i="4"/>
  <c r="O537" i="4"/>
  <c r="P537" i="4"/>
  <c r="Q537" i="4"/>
  <c r="R537" i="4"/>
  <c r="K538" i="4"/>
  <c r="L538" i="4"/>
  <c r="M538" i="4"/>
  <c r="N538" i="4"/>
  <c r="O538" i="4"/>
  <c r="P538" i="4"/>
  <c r="Q538" i="4"/>
  <c r="R538" i="4"/>
  <c r="K539" i="4"/>
  <c r="L539" i="4"/>
  <c r="M539" i="4"/>
  <c r="N539" i="4"/>
  <c r="O539" i="4"/>
  <c r="P539" i="4"/>
  <c r="Q539" i="4"/>
  <c r="R539" i="4"/>
  <c r="K540" i="4"/>
  <c r="L540" i="4"/>
  <c r="M540" i="4"/>
  <c r="N540" i="4"/>
  <c r="O540" i="4"/>
  <c r="P540" i="4"/>
  <c r="Q540" i="4"/>
  <c r="R540" i="4"/>
  <c r="K541" i="4"/>
  <c r="L541" i="4"/>
  <c r="M541" i="4"/>
  <c r="N541" i="4"/>
  <c r="O541" i="4"/>
  <c r="P541" i="4"/>
  <c r="Q541" i="4"/>
  <c r="R541" i="4"/>
  <c r="K542" i="4"/>
  <c r="L542" i="4"/>
  <c r="M542" i="4"/>
  <c r="N542" i="4"/>
  <c r="O542" i="4"/>
  <c r="P542" i="4"/>
  <c r="Q542" i="4"/>
  <c r="R542" i="4"/>
  <c r="K543" i="4"/>
  <c r="L543" i="4"/>
  <c r="M543" i="4"/>
  <c r="N543" i="4"/>
  <c r="O543" i="4"/>
  <c r="P543" i="4"/>
  <c r="Q543" i="4"/>
  <c r="R543" i="4"/>
  <c r="K544" i="4"/>
  <c r="L544" i="4"/>
  <c r="M544" i="4"/>
  <c r="N544" i="4"/>
  <c r="O544" i="4"/>
  <c r="P544" i="4"/>
  <c r="Q544" i="4"/>
  <c r="R544" i="4"/>
  <c r="K545" i="4"/>
  <c r="L545" i="4"/>
  <c r="M545" i="4"/>
  <c r="N545" i="4"/>
  <c r="O545" i="4"/>
  <c r="P545" i="4"/>
  <c r="Q545" i="4"/>
  <c r="R545" i="4"/>
  <c r="K546" i="4"/>
  <c r="L546" i="4"/>
  <c r="M546" i="4"/>
  <c r="N546" i="4"/>
  <c r="O546" i="4"/>
  <c r="P546" i="4"/>
  <c r="Q546" i="4"/>
  <c r="R546" i="4"/>
  <c r="K547" i="4"/>
  <c r="L547" i="4"/>
  <c r="M547" i="4"/>
  <c r="N547" i="4"/>
  <c r="O547" i="4"/>
  <c r="P547" i="4"/>
  <c r="Q547" i="4"/>
  <c r="R547" i="4"/>
  <c r="K548" i="4"/>
  <c r="L548" i="4"/>
  <c r="M548" i="4"/>
  <c r="N548" i="4"/>
  <c r="O548" i="4"/>
  <c r="P548" i="4"/>
  <c r="Q548" i="4"/>
  <c r="R548" i="4"/>
  <c r="K549" i="4"/>
  <c r="L549" i="4"/>
  <c r="M549" i="4"/>
  <c r="N549" i="4"/>
  <c r="O549" i="4"/>
  <c r="P549" i="4"/>
  <c r="Q549" i="4"/>
  <c r="R549" i="4"/>
  <c r="K550" i="4"/>
  <c r="L550" i="4"/>
  <c r="M550" i="4"/>
  <c r="N550" i="4"/>
  <c r="O550" i="4"/>
  <c r="P550" i="4"/>
  <c r="Q550" i="4"/>
  <c r="R550" i="4"/>
  <c r="K551" i="4"/>
  <c r="L551" i="4"/>
  <c r="M551" i="4"/>
  <c r="N551" i="4"/>
  <c r="O551" i="4"/>
  <c r="P551" i="4"/>
  <c r="Q551" i="4"/>
  <c r="R551" i="4"/>
  <c r="K552" i="4"/>
  <c r="L552" i="4"/>
  <c r="M552" i="4"/>
  <c r="N552" i="4"/>
  <c r="O552" i="4"/>
  <c r="P552" i="4"/>
  <c r="Q552" i="4"/>
  <c r="R552" i="4"/>
  <c r="K553" i="4"/>
  <c r="L553" i="4"/>
  <c r="M553" i="4"/>
  <c r="N553" i="4"/>
  <c r="O553" i="4"/>
  <c r="P553" i="4"/>
  <c r="Q553" i="4"/>
  <c r="R553" i="4"/>
  <c r="K554" i="4"/>
  <c r="L554" i="4"/>
  <c r="M554" i="4"/>
  <c r="N554" i="4"/>
  <c r="O554" i="4"/>
  <c r="P554" i="4"/>
  <c r="Q554" i="4"/>
  <c r="R554" i="4"/>
  <c r="K555" i="4"/>
  <c r="L555" i="4"/>
  <c r="M555" i="4"/>
  <c r="N555" i="4"/>
  <c r="O555" i="4"/>
  <c r="P555" i="4"/>
  <c r="Q555" i="4"/>
  <c r="R555" i="4"/>
  <c r="K556" i="4"/>
  <c r="L556" i="4"/>
  <c r="M556" i="4"/>
  <c r="N556" i="4"/>
  <c r="O556" i="4"/>
  <c r="P556" i="4"/>
  <c r="Q556" i="4"/>
  <c r="R556" i="4"/>
  <c r="K557" i="4"/>
  <c r="L557" i="4"/>
  <c r="M557" i="4"/>
  <c r="N557" i="4"/>
  <c r="O557" i="4"/>
  <c r="P557" i="4"/>
  <c r="Q557" i="4"/>
  <c r="R557" i="4"/>
  <c r="K558" i="4"/>
  <c r="L558" i="4"/>
  <c r="M558" i="4"/>
  <c r="N558" i="4"/>
  <c r="O558" i="4"/>
  <c r="P558" i="4"/>
  <c r="Q558" i="4"/>
  <c r="R558" i="4"/>
  <c r="K559" i="4"/>
  <c r="L559" i="4"/>
  <c r="M559" i="4"/>
  <c r="N559" i="4"/>
  <c r="O559" i="4"/>
  <c r="P559" i="4"/>
  <c r="Q559" i="4"/>
  <c r="R559" i="4"/>
  <c r="K560" i="4"/>
  <c r="L560" i="4"/>
  <c r="M560" i="4"/>
  <c r="N560" i="4"/>
  <c r="O560" i="4"/>
  <c r="P560" i="4"/>
  <c r="Q560" i="4"/>
  <c r="R560" i="4"/>
  <c r="K561" i="4"/>
  <c r="L561" i="4"/>
  <c r="M561" i="4"/>
  <c r="N561" i="4"/>
  <c r="O561" i="4"/>
  <c r="P561" i="4"/>
  <c r="Q561" i="4"/>
  <c r="R561" i="4"/>
  <c r="K562" i="4"/>
  <c r="L562" i="4"/>
  <c r="M562" i="4"/>
  <c r="N562" i="4"/>
  <c r="O562" i="4"/>
  <c r="P562" i="4"/>
  <c r="Q562" i="4"/>
  <c r="R562" i="4"/>
  <c r="K563" i="4"/>
  <c r="L563" i="4"/>
  <c r="M563" i="4"/>
  <c r="N563" i="4"/>
  <c r="O563" i="4"/>
  <c r="P563" i="4"/>
  <c r="Q563" i="4"/>
  <c r="R563" i="4"/>
  <c r="K564" i="4"/>
  <c r="L564" i="4"/>
  <c r="M564" i="4"/>
  <c r="N564" i="4"/>
  <c r="O564" i="4"/>
  <c r="P564" i="4"/>
  <c r="Q564" i="4"/>
  <c r="R564" i="4"/>
  <c r="K565" i="4"/>
  <c r="L565" i="4"/>
  <c r="M565" i="4"/>
  <c r="N565" i="4"/>
  <c r="O565" i="4"/>
  <c r="P565" i="4"/>
  <c r="Q565" i="4"/>
  <c r="R565" i="4"/>
  <c r="K566" i="4"/>
  <c r="L566" i="4"/>
  <c r="M566" i="4"/>
  <c r="N566" i="4"/>
  <c r="O566" i="4"/>
  <c r="P566" i="4"/>
  <c r="Q566" i="4"/>
  <c r="R566" i="4"/>
  <c r="K567" i="4"/>
  <c r="L567" i="4"/>
  <c r="M567" i="4"/>
  <c r="N567" i="4"/>
  <c r="O567" i="4"/>
  <c r="P567" i="4"/>
  <c r="Q567" i="4"/>
  <c r="R567" i="4"/>
  <c r="K568" i="4"/>
  <c r="L568" i="4"/>
  <c r="M568" i="4"/>
  <c r="N568" i="4"/>
  <c r="O568" i="4"/>
  <c r="P568" i="4"/>
  <c r="Q568" i="4"/>
  <c r="R568" i="4"/>
  <c r="K569" i="4"/>
  <c r="L569" i="4"/>
  <c r="M569" i="4"/>
  <c r="N569" i="4"/>
  <c r="O569" i="4"/>
  <c r="P569" i="4"/>
  <c r="Q569" i="4"/>
  <c r="R569" i="4"/>
  <c r="K570" i="4"/>
  <c r="L570" i="4"/>
  <c r="M570" i="4"/>
  <c r="N570" i="4"/>
  <c r="O570" i="4"/>
  <c r="P570" i="4"/>
  <c r="Q570" i="4"/>
  <c r="R570" i="4"/>
  <c r="K571" i="4"/>
  <c r="L571" i="4"/>
  <c r="M571" i="4"/>
  <c r="N571" i="4"/>
  <c r="O571" i="4"/>
  <c r="P571" i="4"/>
  <c r="Q571" i="4"/>
  <c r="R571" i="4"/>
  <c r="K572" i="4"/>
  <c r="L572" i="4"/>
  <c r="M572" i="4"/>
  <c r="N572" i="4"/>
  <c r="O572" i="4"/>
  <c r="P572" i="4"/>
  <c r="Q572" i="4"/>
  <c r="R572" i="4"/>
  <c r="K573" i="4"/>
  <c r="L573" i="4"/>
  <c r="M573" i="4"/>
  <c r="N573" i="4"/>
  <c r="O573" i="4"/>
  <c r="P573" i="4"/>
  <c r="Q573" i="4"/>
  <c r="R573" i="4"/>
  <c r="K574" i="4"/>
  <c r="L574" i="4"/>
  <c r="M574" i="4"/>
  <c r="N574" i="4"/>
  <c r="O574" i="4"/>
  <c r="P574" i="4"/>
  <c r="Q574" i="4"/>
  <c r="R574" i="4"/>
  <c r="K575" i="4"/>
  <c r="L575" i="4"/>
  <c r="M575" i="4"/>
  <c r="N575" i="4"/>
  <c r="O575" i="4"/>
  <c r="P575" i="4"/>
  <c r="Q575" i="4"/>
  <c r="R575" i="4"/>
  <c r="K576" i="4"/>
  <c r="L576" i="4"/>
  <c r="M576" i="4"/>
  <c r="N576" i="4"/>
  <c r="O576" i="4"/>
  <c r="P576" i="4"/>
  <c r="Q576" i="4"/>
  <c r="R576" i="4"/>
  <c r="K577" i="4"/>
  <c r="L577" i="4"/>
  <c r="M577" i="4"/>
  <c r="N577" i="4"/>
  <c r="O577" i="4"/>
  <c r="P577" i="4"/>
  <c r="Q577" i="4"/>
  <c r="R577" i="4"/>
  <c r="K578" i="4"/>
  <c r="L578" i="4"/>
  <c r="M578" i="4"/>
  <c r="N578" i="4"/>
  <c r="O578" i="4"/>
  <c r="P578" i="4"/>
  <c r="Q578" i="4"/>
  <c r="R578" i="4"/>
  <c r="K579" i="4"/>
  <c r="L579" i="4"/>
  <c r="M579" i="4"/>
  <c r="N579" i="4"/>
  <c r="O579" i="4"/>
  <c r="P579" i="4"/>
  <c r="Q579" i="4"/>
  <c r="R579" i="4"/>
  <c r="K580" i="4"/>
  <c r="L580" i="4"/>
  <c r="M580" i="4"/>
  <c r="N580" i="4"/>
  <c r="O580" i="4"/>
  <c r="P580" i="4"/>
  <c r="Q580" i="4"/>
  <c r="R580" i="4"/>
  <c r="K581" i="4"/>
  <c r="L581" i="4"/>
  <c r="M581" i="4"/>
  <c r="N581" i="4"/>
  <c r="O581" i="4"/>
  <c r="P581" i="4"/>
  <c r="Q581" i="4"/>
  <c r="R581" i="4"/>
  <c r="K582" i="4"/>
  <c r="L582" i="4"/>
  <c r="M582" i="4"/>
  <c r="N582" i="4"/>
  <c r="O582" i="4"/>
  <c r="P582" i="4"/>
  <c r="Q582" i="4"/>
  <c r="R582" i="4"/>
  <c r="K583" i="4"/>
  <c r="L583" i="4"/>
  <c r="M583" i="4"/>
  <c r="N583" i="4"/>
  <c r="O583" i="4"/>
  <c r="P583" i="4"/>
  <c r="Q583" i="4"/>
  <c r="R583" i="4"/>
  <c r="K584" i="4"/>
  <c r="L584" i="4"/>
  <c r="M584" i="4"/>
  <c r="N584" i="4"/>
  <c r="O584" i="4"/>
  <c r="P584" i="4"/>
  <c r="Q584" i="4"/>
  <c r="R584" i="4"/>
  <c r="K585" i="4"/>
  <c r="L585" i="4"/>
  <c r="M585" i="4"/>
  <c r="N585" i="4"/>
  <c r="O585" i="4"/>
  <c r="P585" i="4"/>
  <c r="Q585" i="4"/>
  <c r="R585" i="4"/>
  <c r="K586" i="4"/>
  <c r="L586" i="4"/>
  <c r="M586" i="4"/>
  <c r="N586" i="4"/>
  <c r="O586" i="4"/>
  <c r="P586" i="4"/>
  <c r="Q586" i="4"/>
  <c r="R586" i="4"/>
  <c r="K587" i="4"/>
  <c r="L587" i="4"/>
  <c r="M587" i="4"/>
  <c r="N587" i="4"/>
  <c r="O587" i="4"/>
  <c r="P587" i="4"/>
  <c r="Q587" i="4"/>
  <c r="R587" i="4"/>
  <c r="K588" i="4"/>
  <c r="L588" i="4"/>
  <c r="M588" i="4"/>
  <c r="N588" i="4"/>
  <c r="O588" i="4"/>
  <c r="P588" i="4"/>
  <c r="Q588" i="4"/>
  <c r="R588" i="4"/>
  <c r="K589" i="4"/>
  <c r="L589" i="4"/>
  <c r="M589" i="4"/>
  <c r="N589" i="4"/>
  <c r="O589" i="4"/>
  <c r="P589" i="4"/>
  <c r="Q589" i="4"/>
  <c r="R589" i="4"/>
  <c r="K590" i="4"/>
  <c r="L590" i="4"/>
  <c r="M590" i="4"/>
  <c r="N590" i="4"/>
  <c r="O590" i="4"/>
  <c r="P590" i="4"/>
  <c r="Q590" i="4"/>
  <c r="R590" i="4"/>
  <c r="K591" i="4"/>
  <c r="L591" i="4"/>
  <c r="M591" i="4"/>
  <c r="N591" i="4"/>
  <c r="O591" i="4"/>
  <c r="P591" i="4"/>
  <c r="Q591" i="4"/>
  <c r="R591" i="4"/>
  <c r="K592" i="4"/>
  <c r="L592" i="4"/>
  <c r="M592" i="4"/>
  <c r="N592" i="4"/>
  <c r="O592" i="4"/>
  <c r="P592" i="4"/>
  <c r="Q592" i="4"/>
  <c r="R592" i="4"/>
  <c r="K593" i="4"/>
  <c r="L593" i="4"/>
  <c r="M593" i="4"/>
  <c r="N593" i="4"/>
  <c r="O593" i="4"/>
  <c r="P593" i="4"/>
  <c r="Q593" i="4"/>
  <c r="R593" i="4"/>
  <c r="K594" i="4"/>
  <c r="L594" i="4"/>
  <c r="M594" i="4"/>
  <c r="N594" i="4"/>
  <c r="O594" i="4"/>
  <c r="P594" i="4"/>
  <c r="Q594" i="4"/>
  <c r="R594" i="4"/>
  <c r="K595" i="4"/>
  <c r="L595" i="4"/>
  <c r="M595" i="4"/>
  <c r="N595" i="4"/>
  <c r="O595" i="4"/>
  <c r="P595" i="4"/>
  <c r="Q595" i="4"/>
  <c r="R595" i="4"/>
  <c r="K596" i="4"/>
  <c r="L596" i="4"/>
  <c r="M596" i="4"/>
  <c r="N596" i="4"/>
  <c r="O596" i="4"/>
  <c r="P596" i="4"/>
  <c r="Q596" i="4"/>
  <c r="R596" i="4"/>
  <c r="K597" i="4"/>
  <c r="L597" i="4"/>
  <c r="M597" i="4"/>
  <c r="N597" i="4"/>
  <c r="O597" i="4"/>
  <c r="P597" i="4"/>
  <c r="Q597" i="4"/>
  <c r="R597" i="4"/>
  <c r="K598" i="4"/>
  <c r="L598" i="4"/>
  <c r="M598" i="4"/>
  <c r="N598" i="4"/>
  <c r="O598" i="4"/>
  <c r="P598" i="4"/>
  <c r="Q598" i="4"/>
  <c r="R598" i="4"/>
  <c r="K599" i="4"/>
  <c r="L599" i="4"/>
  <c r="M599" i="4"/>
  <c r="N599" i="4"/>
  <c r="O599" i="4"/>
  <c r="P599" i="4"/>
  <c r="Q599" i="4"/>
  <c r="R599" i="4"/>
  <c r="K600" i="4"/>
  <c r="L600" i="4"/>
  <c r="M600" i="4"/>
  <c r="N600" i="4"/>
  <c r="O600" i="4"/>
  <c r="P600" i="4"/>
  <c r="Q600" i="4"/>
  <c r="R600" i="4"/>
  <c r="K601" i="4"/>
  <c r="L601" i="4"/>
  <c r="M601" i="4"/>
  <c r="N601" i="4"/>
  <c r="O601" i="4"/>
  <c r="P601" i="4"/>
  <c r="Q601" i="4"/>
  <c r="R601" i="4"/>
  <c r="K602" i="4"/>
  <c r="L602" i="4"/>
  <c r="M602" i="4"/>
  <c r="N602" i="4"/>
  <c r="O602" i="4"/>
  <c r="P602" i="4"/>
  <c r="Q602" i="4"/>
  <c r="R602" i="4"/>
  <c r="K603" i="4"/>
  <c r="L603" i="4"/>
  <c r="M603" i="4"/>
  <c r="N603" i="4"/>
  <c r="O603" i="4"/>
  <c r="P603" i="4"/>
  <c r="Q603" i="4"/>
  <c r="R603" i="4"/>
  <c r="K604" i="4"/>
  <c r="L604" i="4"/>
  <c r="M604" i="4"/>
  <c r="N604" i="4"/>
  <c r="O604" i="4"/>
  <c r="P604" i="4"/>
  <c r="Q604" i="4"/>
  <c r="R604" i="4"/>
  <c r="K605" i="4"/>
  <c r="L605" i="4"/>
  <c r="M605" i="4"/>
  <c r="N605" i="4"/>
  <c r="O605" i="4"/>
  <c r="P605" i="4"/>
  <c r="Q605" i="4"/>
  <c r="R605" i="4"/>
  <c r="K606" i="4"/>
  <c r="L606" i="4"/>
  <c r="M606" i="4"/>
  <c r="N606" i="4"/>
  <c r="O606" i="4"/>
  <c r="P606" i="4"/>
  <c r="Q606" i="4"/>
  <c r="R606" i="4"/>
  <c r="K607" i="4"/>
  <c r="L607" i="4"/>
  <c r="M607" i="4"/>
  <c r="N607" i="4"/>
  <c r="O607" i="4"/>
  <c r="P607" i="4"/>
  <c r="Q607" i="4"/>
  <c r="R607" i="4"/>
  <c r="K608" i="4"/>
  <c r="L608" i="4"/>
  <c r="M608" i="4"/>
  <c r="N608" i="4"/>
  <c r="O608" i="4"/>
  <c r="P608" i="4"/>
  <c r="Q608" i="4"/>
  <c r="R608" i="4"/>
  <c r="K609" i="4"/>
  <c r="L609" i="4"/>
  <c r="M609" i="4"/>
  <c r="N609" i="4"/>
  <c r="O609" i="4"/>
  <c r="P609" i="4"/>
  <c r="Q609" i="4"/>
  <c r="R609" i="4"/>
  <c r="K610" i="4"/>
  <c r="L610" i="4"/>
  <c r="M610" i="4"/>
  <c r="N610" i="4"/>
  <c r="O610" i="4"/>
  <c r="P610" i="4"/>
  <c r="Q610" i="4"/>
  <c r="R610" i="4"/>
  <c r="K611" i="4"/>
  <c r="L611" i="4"/>
  <c r="M611" i="4"/>
  <c r="N611" i="4"/>
  <c r="O611" i="4"/>
  <c r="P611" i="4"/>
  <c r="Q611" i="4"/>
  <c r="R611" i="4"/>
  <c r="K612" i="4"/>
  <c r="L612" i="4"/>
  <c r="M612" i="4"/>
  <c r="N612" i="4"/>
  <c r="O612" i="4"/>
  <c r="P612" i="4"/>
  <c r="Q612" i="4"/>
  <c r="R612" i="4"/>
  <c r="K613" i="4"/>
  <c r="L613" i="4"/>
  <c r="M613" i="4"/>
  <c r="N613" i="4"/>
  <c r="O613" i="4"/>
  <c r="P613" i="4"/>
  <c r="Q613" i="4"/>
  <c r="R613" i="4"/>
  <c r="K614" i="4"/>
  <c r="L614" i="4"/>
  <c r="M614" i="4"/>
  <c r="N614" i="4"/>
  <c r="O614" i="4"/>
  <c r="P614" i="4"/>
  <c r="Q614" i="4"/>
  <c r="R614" i="4"/>
  <c r="K615" i="4"/>
  <c r="L615" i="4"/>
  <c r="M615" i="4"/>
  <c r="N615" i="4"/>
  <c r="O615" i="4"/>
  <c r="P615" i="4"/>
  <c r="Q615" i="4"/>
  <c r="R615" i="4"/>
  <c r="K616" i="4"/>
  <c r="L616" i="4"/>
  <c r="M616" i="4"/>
  <c r="N616" i="4"/>
  <c r="O616" i="4"/>
  <c r="P616" i="4"/>
  <c r="Q616" i="4"/>
  <c r="R616" i="4"/>
  <c r="K617" i="4"/>
  <c r="L617" i="4"/>
  <c r="M617" i="4"/>
  <c r="N617" i="4"/>
  <c r="O617" i="4"/>
  <c r="P617" i="4"/>
  <c r="Q617" i="4"/>
  <c r="R617" i="4"/>
  <c r="K618" i="4"/>
  <c r="L618" i="4"/>
  <c r="M618" i="4"/>
  <c r="N618" i="4"/>
  <c r="O618" i="4"/>
  <c r="P618" i="4"/>
  <c r="Q618" i="4"/>
  <c r="R618" i="4"/>
  <c r="K619" i="4"/>
  <c r="L619" i="4"/>
  <c r="M619" i="4"/>
  <c r="N619" i="4"/>
  <c r="O619" i="4"/>
  <c r="P619" i="4"/>
  <c r="Q619" i="4"/>
  <c r="R619" i="4"/>
  <c r="K620" i="4"/>
  <c r="L620" i="4"/>
  <c r="M620" i="4"/>
  <c r="N620" i="4"/>
  <c r="O620" i="4"/>
  <c r="P620" i="4"/>
  <c r="Q620" i="4"/>
  <c r="R620" i="4"/>
  <c r="K621" i="4"/>
  <c r="L621" i="4"/>
  <c r="M621" i="4"/>
  <c r="N621" i="4"/>
  <c r="O621" i="4"/>
  <c r="P621" i="4"/>
  <c r="Q621" i="4"/>
  <c r="R621" i="4"/>
  <c r="K622" i="4"/>
  <c r="L622" i="4"/>
  <c r="M622" i="4"/>
  <c r="N622" i="4"/>
  <c r="O622" i="4"/>
  <c r="P622" i="4"/>
  <c r="Q622" i="4"/>
  <c r="R622" i="4"/>
  <c r="K623" i="4"/>
  <c r="L623" i="4"/>
  <c r="M623" i="4"/>
  <c r="N623" i="4"/>
  <c r="O623" i="4"/>
  <c r="P623" i="4"/>
  <c r="Q623" i="4"/>
  <c r="R623" i="4"/>
  <c r="K624" i="4"/>
  <c r="L624" i="4"/>
  <c r="M624" i="4"/>
  <c r="N624" i="4"/>
  <c r="O624" i="4"/>
  <c r="P624" i="4"/>
  <c r="Q624" i="4"/>
  <c r="R624" i="4"/>
  <c r="K625" i="4"/>
  <c r="L625" i="4"/>
  <c r="M625" i="4"/>
  <c r="N625" i="4"/>
  <c r="O625" i="4"/>
  <c r="P625" i="4"/>
  <c r="Q625" i="4"/>
  <c r="R625" i="4"/>
  <c r="K626" i="4"/>
  <c r="L626" i="4"/>
  <c r="M626" i="4"/>
  <c r="N626" i="4"/>
  <c r="O626" i="4"/>
  <c r="P626" i="4"/>
  <c r="Q626" i="4"/>
  <c r="R626" i="4"/>
  <c r="K627" i="4"/>
  <c r="L627" i="4"/>
  <c r="M627" i="4"/>
  <c r="N627" i="4"/>
  <c r="O627" i="4"/>
  <c r="P627" i="4"/>
  <c r="Q627" i="4"/>
  <c r="R627" i="4"/>
  <c r="K628" i="4"/>
  <c r="L628" i="4"/>
  <c r="M628" i="4"/>
  <c r="N628" i="4"/>
  <c r="O628" i="4"/>
  <c r="P628" i="4"/>
  <c r="Q628" i="4"/>
  <c r="R628" i="4"/>
  <c r="K629" i="4"/>
  <c r="L629" i="4"/>
  <c r="M629" i="4"/>
  <c r="N629" i="4"/>
  <c r="O629" i="4"/>
  <c r="P629" i="4"/>
  <c r="Q629" i="4"/>
  <c r="R629" i="4"/>
  <c r="K630" i="4"/>
  <c r="L630" i="4"/>
  <c r="M630" i="4"/>
  <c r="N630" i="4"/>
  <c r="O630" i="4"/>
  <c r="P630" i="4"/>
  <c r="Q630" i="4"/>
  <c r="R630" i="4"/>
  <c r="K631" i="4"/>
  <c r="L631" i="4"/>
  <c r="M631" i="4"/>
  <c r="N631" i="4"/>
  <c r="O631" i="4"/>
  <c r="P631" i="4"/>
  <c r="Q631" i="4"/>
  <c r="R631" i="4"/>
  <c r="K632" i="4"/>
  <c r="L632" i="4"/>
  <c r="M632" i="4"/>
  <c r="N632" i="4"/>
  <c r="O632" i="4"/>
  <c r="P632" i="4"/>
  <c r="Q632" i="4"/>
  <c r="R632" i="4"/>
  <c r="K633" i="4"/>
  <c r="L633" i="4"/>
  <c r="M633" i="4"/>
  <c r="N633" i="4"/>
  <c r="O633" i="4"/>
  <c r="P633" i="4"/>
  <c r="Q633" i="4"/>
  <c r="R633" i="4"/>
  <c r="K634" i="4"/>
  <c r="L634" i="4"/>
  <c r="M634" i="4"/>
  <c r="N634" i="4"/>
  <c r="O634" i="4"/>
  <c r="P634" i="4"/>
  <c r="Q634" i="4"/>
  <c r="R634" i="4"/>
  <c r="K635" i="4"/>
  <c r="L635" i="4"/>
  <c r="M635" i="4"/>
  <c r="N635" i="4"/>
  <c r="O635" i="4"/>
  <c r="P635" i="4"/>
  <c r="Q635" i="4"/>
  <c r="R635" i="4"/>
  <c r="K636" i="4"/>
  <c r="L636" i="4"/>
  <c r="M636" i="4"/>
  <c r="N636" i="4"/>
  <c r="O636" i="4"/>
  <c r="P636" i="4"/>
  <c r="Q636" i="4"/>
  <c r="R636" i="4"/>
  <c r="K637" i="4"/>
  <c r="L637" i="4"/>
  <c r="M637" i="4"/>
  <c r="N637" i="4"/>
  <c r="O637" i="4"/>
  <c r="P637" i="4"/>
  <c r="Q637" i="4"/>
  <c r="R637" i="4"/>
  <c r="K638" i="4"/>
  <c r="L638" i="4"/>
  <c r="M638" i="4"/>
  <c r="N638" i="4"/>
  <c r="O638" i="4"/>
  <c r="P638" i="4"/>
  <c r="Q638" i="4"/>
  <c r="R638" i="4"/>
  <c r="K639" i="4"/>
  <c r="L639" i="4"/>
  <c r="M639" i="4"/>
  <c r="N639" i="4"/>
  <c r="O639" i="4"/>
  <c r="P639" i="4"/>
  <c r="Q639" i="4"/>
  <c r="R639" i="4"/>
  <c r="K640" i="4"/>
  <c r="L640" i="4"/>
  <c r="M640" i="4"/>
  <c r="N640" i="4"/>
  <c r="O640" i="4"/>
  <c r="P640" i="4"/>
  <c r="Q640" i="4"/>
  <c r="R640" i="4"/>
  <c r="K641" i="4"/>
  <c r="L641" i="4"/>
  <c r="M641" i="4"/>
  <c r="N641" i="4"/>
  <c r="O641" i="4"/>
  <c r="P641" i="4"/>
  <c r="Q641" i="4"/>
  <c r="R641" i="4"/>
  <c r="K642" i="4"/>
  <c r="L642" i="4"/>
  <c r="M642" i="4"/>
  <c r="N642" i="4"/>
  <c r="O642" i="4"/>
  <c r="P642" i="4"/>
  <c r="Q642" i="4"/>
  <c r="R642" i="4"/>
  <c r="K643" i="4"/>
  <c r="L643" i="4"/>
  <c r="M643" i="4"/>
  <c r="N643" i="4"/>
  <c r="O643" i="4"/>
  <c r="P643" i="4"/>
  <c r="Q643" i="4"/>
  <c r="R643" i="4"/>
  <c r="K644" i="4"/>
  <c r="L644" i="4"/>
  <c r="M644" i="4"/>
  <c r="N644" i="4"/>
  <c r="O644" i="4"/>
  <c r="P644" i="4"/>
  <c r="Q644" i="4"/>
  <c r="R644" i="4"/>
  <c r="K645" i="4"/>
  <c r="L645" i="4"/>
  <c r="M645" i="4"/>
  <c r="N645" i="4"/>
  <c r="O645" i="4"/>
  <c r="P645" i="4"/>
  <c r="Q645" i="4"/>
  <c r="R645" i="4"/>
  <c r="K646" i="4"/>
  <c r="L646" i="4"/>
  <c r="M646" i="4"/>
  <c r="N646" i="4"/>
  <c r="O646" i="4"/>
  <c r="P646" i="4"/>
  <c r="Q646" i="4"/>
  <c r="R646" i="4"/>
  <c r="K647" i="4"/>
  <c r="L647" i="4"/>
  <c r="M647" i="4"/>
  <c r="N647" i="4"/>
  <c r="O647" i="4"/>
  <c r="P647" i="4"/>
  <c r="Q647" i="4"/>
  <c r="R647" i="4"/>
  <c r="K648" i="4"/>
  <c r="L648" i="4"/>
  <c r="M648" i="4"/>
  <c r="N648" i="4"/>
  <c r="O648" i="4"/>
  <c r="P648" i="4"/>
  <c r="Q648" i="4"/>
  <c r="R648" i="4"/>
  <c r="K649" i="4"/>
  <c r="L649" i="4"/>
  <c r="M649" i="4"/>
  <c r="N649" i="4"/>
  <c r="O649" i="4"/>
  <c r="P649" i="4"/>
  <c r="Q649" i="4"/>
  <c r="R649" i="4"/>
  <c r="K650" i="4"/>
  <c r="L650" i="4"/>
  <c r="M650" i="4"/>
  <c r="N650" i="4"/>
  <c r="O650" i="4"/>
  <c r="P650" i="4"/>
  <c r="Q650" i="4"/>
  <c r="R650" i="4"/>
  <c r="K651" i="4"/>
  <c r="L651" i="4"/>
  <c r="M651" i="4"/>
  <c r="N651" i="4"/>
  <c r="O651" i="4"/>
  <c r="P651" i="4"/>
  <c r="Q651" i="4"/>
  <c r="R651" i="4"/>
  <c r="K652" i="4"/>
  <c r="L652" i="4"/>
  <c r="M652" i="4"/>
  <c r="N652" i="4"/>
  <c r="O652" i="4"/>
  <c r="P652" i="4"/>
  <c r="Q652" i="4"/>
  <c r="R652" i="4"/>
  <c r="K653" i="4"/>
  <c r="L653" i="4"/>
  <c r="M653" i="4"/>
  <c r="N653" i="4"/>
  <c r="O653" i="4"/>
  <c r="P653" i="4"/>
  <c r="Q653" i="4"/>
  <c r="R653" i="4"/>
  <c r="K654" i="4"/>
  <c r="L654" i="4"/>
  <c r="M654" i="4"/>
  <c r="N654" i="4"/>
  <c r="O654" i="4"/>
  <c r="P654" i="4"/>
  <c r="Q654" i="4"/>
  <c r="R654" i="4"/>
  <c r="K655" i="4"/>
  <c r="L655" i="4"/>
  <c r="M655" i="4"/>
  <c r="N655" i="4"/>
  <c r="O655" i="4"/>
  <c r="P655" i="4"/>
  <c r="Q655" i="4"/>
  <c r="R655" i="4"/>
  <c r="K656" i="4"/>
  <c r="L656" i="4"/>
  <c r="M656" i="4"/>
  <c r="N656" i="4"/>
  <c r="O656" i="4"/>
  <c r="P656" i="4"/>
  <c r="Q656" i="4"/>
  <c r="R656" i="4"/>
  <c r="K657" i="4"/>
  <c r="L657" i="4"/>
  <c r="M657" i="4"/>
  <c r="N657" i="4"/>
  <c r="O657" i="4"/>
  <c r="P657" i="4"/>
  <c r="Q657" i="4"/>
  <c r="R657" i="4"/>
  <c r="K658" i="4"/>
  <c r="L658" i="4"/>
  <c r="M658" i="4"/>
  <c r="N658" i="4"/>
  <c r="O658" i="4"/>
  <c r="P658" i="4"/>
  <c r="Q658" i="4"/>
  <c r="R658" i="4"/>
  <c r="K659" i="4"/>
  <c r="L659" i="4"/>
  <c r="M659" i="4"/>
  <c r="N659" i="4"/>
  <c r="O659" i="4"/>
  <c r="P659" i="4"/>
  <c r="Q659" i="4"/>
  <c r="R659" i="4"/>
  <c r="K660" i="4"/>
  <c r="L660" i="4"/>
  <c r="M660" i="4"/>
  <c r="N660" i="4"/>
  <c r="O660" i="4"/>
  <c r="P660" i="4"/>
  <c r="Q660" i="4"/>
  <c r="R660" i="4"/>
  <c r="K661" i="4"/>
  <c r="L661" i="4"/>
  <c r="M661" i="4"/>
  <c r="N661" i="4"/>
  <c r="O661" i="4"/>
  <c r="P661" i="4"/>
  <c r="Q661" i="4"/>
  <c r="R661" i="4"/>
  <c r="K662" i="4"/>
  <c r="L662" i="4"/>
  <c r="M662" i="4"/>
  <c r="N662" i="4"/>
  <c r="O662" i="4"/>
  <c r="P662" i="4"/>
  <c r="Q662" i="4"/>
  <c r="R662" i="4"/>
  <c r="K663" i="4"/>
  <c r="L663" i="4"/>
  <c r="M663" i="4"/>
  <c r="N663" i="4"/>
  <c r="O663" i="4"/>
  <c r="P663" i="4"/>
  <c r="Q663" i="4"/>
  <c r="R663" i="4"/>
  <c r="K664" i="4"/>
  <c r="L664" i="4"/>
  <c r="M664" i="4"/>
  <c r="N664" i="4"/>
  <c r="O664" i="4"/>
  <c r="P664" i="4"/>
  <c r="Q664" i="4"/>
  <c r="R664" i="4"/>
  <c r="K2" i="4" l="1"/>
  <c r="K962" i="4"/>
  <c r="L962" i="4"/>
  <c r="M962" i="4"/>
  <c r="R962" i="4" s="1"/>
  <c r="N962" i="4"/>
  <c r="O962" i="4"/>
  <c r="P962" i="4"/>
  <c r="Q962" i="4"/>
  <c r="K963" i="4"/>
  <c r="L963" i="4"/>
  <c r="M963" i="4"/>
  <c r="R963" i="4" s="1"/>
  <c r="N963" i="4"/>
  <c r="O963" i="4"/>
  <c r="P963" i="4"/>
  <c r="Q963" i="4"/>
  <c r="K964" i="4"/>
  <c r="L964" i="4"/>
  <c r="M964" i="4"/>
  <c r="R964" i="4" s="1"/>
  <c r="N964" i="4"/>
  <c r="O964" i="4"/>
  <c r="P964" i="4"/>
  <c r="Q964" i="4"/>
  <c r="K965" i="4"/>
  <c r="L965" i="4"/>
  <c r="M965" i="4"/>
  <c r="R965" i="4" s="1"/>
  <c r="N965" i="4"/>
  <c r="O965" i="4"/>
  <c r="P965" i="4"/>
  <c r="Q965" i="4"/>
  <c r="K966" i="4"/>
  <c r="L966" i="4"/>
  <c r="M966" i="4"/>
  <c r="R966" i="4" s="1"/>
  <c r="N966" i="4"/>
  <c r="O966" i="4"/>
  <c r="P966" i="4"/>
  <c r="Q966" i="4"/>
  <c r="K967" i="4"/>
  <c r="L967" i="4"/>
  <c r="M967" i="4"/>
  <c r="R967" i="4" s="1"/>
  <c r="N967" i="4"/>
  <c r="O967" i="4"/>
  <c r="P967" i="4"/>
  <c r="Q967" i="4"/>
  <c r="K968" i="4"/>
  <c r="L968" i="4"/>
  <c r="M968" i="4"/>
  <c r="R968" i="4" s="1"/>
  <c r="N968" i="4"/>
  <c r="O968" i="4"/>
  <c r="P968" i="4"/>
  <c r="Q968" i="4"/>
  <c r="K969" i="4"/>
  <c r="L969" i="4"/>
  <c r="M969" i="4"/>
  <c r="R969" i="4" s="1"/>
  <c r="N969" i="4"/>
  <c r="O969" i="4"/>
  <c r="P969" i="4"/>
  <c r="Q969" i="4"/>
  <c r="K970" i="4"/>
  <c r="L970" i="4"/>
  <c r="M970" i="4"/>
  <c r="R970" i="4" s="1"/>
  <c r="N970" i="4"/>
  <c r="O970" i="4"/>
  <c r="P970" i="4"/>
  <c r="Q970" i="4"/>
  <c r="K971" i="4"/>
  <c r="L971" i="4"/>
  <c r="M971" i="4"/>
  <c r="R971" i="4" s="1"/>
  <c r="N971" i="4"/>
  <c r="O971" i="4"/>
  <c r="P971" i="4"/>
  <c r="Q971" i="4"/>
  <c r="K972" i="4"/>
  <c r="L972" i="4"/>
  <c r="M972" i="4"/>
  <c r="R972" i="4" s="1"/>
  <c r="N972" i="4"/>
  <c r="O972" i="4"/>
  <c r="P972" i="4"/>
  <c r="Q972" i="4"/>
  <c r="K973" i="4"/>
  <c r="L973" i="4"/>
  <c r="M973" i="4"/>
  <c r="R973" i="4" s="1"/>
  <c r="N973" i="4"/>
  <c r="O973" i="4"/>
  <c r="P973" i="4"/>
  <c r="Q973" i="4"/>
  <c r="K974" i="4"/>
  <c r="L974" i="4"/>
  <c r="M974" i="4"/>
  <c r="R974" i="4" s="1"/>
  <c r="N974" i="4"/>
  <c r="O974" i="4"/>
  <c r="P974" i="4"/>
  <c r="Q974" i="4"/>
  <c r="K975" i="4"/>
  <c r="L975" i="4"/>
  <c r="M975" i="4"/>
  <c r="R975" i="4" s="1"/>
  <c r="N975" i="4"/>
  <c r="O975" i="4"/>
  <c r="P975" i="4"/>
  <c r="Q975" i="4"/>
  <c r="K976" i="4"/>
  <c r="L976" i="4"/>
  <c r="M976" i="4"/>
  <c r="R976" i="4" s="1"/>
  <c r="N976" i="4"/>
  <c r="O976" i="4"/>
  <c r="P976" i="4"/>
  <c r="Q976" i="4"/>
  <c r="K977" i="4"/>
  <c r="L977" i="4"/>
  <c r="M977" i="4"/>
  <c r="R977" i="4" s="1"/>
  <c r="N977" i="4"/>
  <c r="O977" i="4"/>
  <c r="P977" i="4"/>
  <c r="Q977" i="4"/>
  <c r="K978" i="4"/>
  <c r="L978" i="4"/>
  <c r="M978" i="4"/>
  <c r="R978" i="4" s="1"/>
  <c r="N978" i="4"/>
  <c r="O978" i="4"/>
  <c r="P978" i="4"/>
  <c r="Q978" i="4"/>
  <c r="K979" i="4"/>
  <c r="L979" i="4"/>
  <c r="M979" i="4"/>
  <c r="R979" i="4" s="1"/>
  <c r="N979" i="4"/>
  <c r="O979" i="4"/>
  <c r="P979" i="4"/>
  <c r="Q979" i="4"/>
  <c r="K980" i="4"/>
  <c r="L980" i="4"/>
  <c r="M980" i="4"/>
  <c r="R980" i="4" s="1"/>
  <c r="N980" i="4"/>
  <c r="O980" i="4"/>
  <c r="P980" i="4"/>
  <c r="Q980" i="4"/>
  <c r="K981" i="4"/>
  <c r="L981" i="4"/>
  <c r="M981" i="4"/>
  <c r="R981" i="4" s="1"/>
  <c r="N981" i="4"/>
  <c r="O981" i="4"/>
  <c r="P981" i="4"/>
  <c r="Q981" i="4"/>
  <c r="K982" i="4"/>
  <c r="L982" i="4"/>
  <c r="M982" i="4"/>
  <c r="R982" i="4" s="1"/>
  <c r="N982" i="4"/>
  <c r="O982" i="4"/>
  <c r="P982" i="4"/>
  <c r="Q982" i="4"/>
  <c r="K983" i="4"/>
  <c r="L983" i="4"/>
  <c r="M983" i="4"/>
  <c r="R983" i="4" s="1"/>
  <c r="N983" i="4"/>
  <c r="O983" i="4"/>
  <c r="P983" i="4"/>
  <c r="Q983" i="4"/>
  <c r="K984" i="4"/>
  <c r="L984" i="4"/>
  <c r="M984" i="4"/>
  <c r="R984" i="4" s="1"/>
  <c r="N984" i="4"/>
  <c r="O984" i="4"/>
  <c r="P984" i="4"/>
  <c r="Q984" i="4"/>
  <c r="K985" i="4"/>
  <c r="L985" i="4"/>
  <c r="M985" i="4"/>
  <c r="R985" i="4" s="1"/>
  <c r="N985" i="4"/>
  <c r="O985" i="4"/>
  <c r="P985" i="4"/>
  <c r="Q985" i="4"/>
  <c r="K986" i="4"/>
  <c r="L986" i="4"/>
  <c r="M986" i="4"/>
  <c r="R986" i="4" s="1"/>
  <c r="N986" i="4"/>
  <c r="O986" i="4"/>
  <c r="P986" i="4"/>
  <c r="Q986" i="4"/>
  <c r="K987" i="4"/>
  <c r="L987" i="4"/>
  <c r="M987" i="4"/>
  <c r="R987" i="4" s="1"/>
  <c r="N987" i="4"/>
  <c r="O987" i="4"/>
  <c r="P987" i="4"/>
  <c r="Q987" i="4"/>
  <c r="K988" i="4"/>
  <c r="L988" i="4"/>
  <c r="M988" i="4"/>
  <c r="R988" i="4" s="1"/>
  <c r="N988" i="4"/>
  <c r="O988" i="4"/>
  <c r="P988" i="4"/>
  <c r="Q988" i="4"/>
  <c r="K989" i="4"/>
  <c r="L989" i="4"/>
  <c r="M989" i="4"/>
  <c r="R989" i="4" s="1"/>
  <c r="N989" i="4"/>
  <c r="O989" i="4"/>
  <c r="P989" i="4"/>
  <c r="Q989" i="4"/>
  <c r="K990" i="4"/>
  <c r="L990" i="4"/>
  <c r="M990" i="4"/>
  <c r="R990" i="4" s="1"/>
  <c r="N990" i="4"/>
  <c r="O990" i="4"/>
  <c r="P990" i="4"/>
  <c r="Q990" i="4"/>
  <c r="K991" i="4"/>
  <c r="L991" i="4"/>
  <c r="M991" i="4"/>
  <c r="R991" i="4" s="1"/>
  <c r="N991" i="4"/>
  <c r="O991" i="4"/>
  <c r="P991" i="4"/>
  <c r="Q991" i="4"/>
  <c r="K992" i="4"/>
  <c r="L992" i="4"/>
  <c r="M992" i="4"/>
  <c r="R992" i="4" s="1"/>
  <c r="N992" i="4"/>
  <c r="O992" i="4"/>
  <c r="P992" i="4"/>
  <c r="Q992" i="4"/>
  <c r="K993" i="4"/>
  <c r="L993" i="4"/>
  <c r="M993" i="4"/>
  <c r="R993" i="4" s="1"/>
  <c r="N993" i="4"/>
  <c r="O993" i="4"/>
  <c r="P993" i="4"/>
  <c r="Q993" i="4"/>
  <c r="K994" i="4"/>
  <c r="L994" i="4"/>
  <c r="M994" i="4"/>
  <c r="R994" i="4" s="1"/>
  <c r="N994" i="4"/>
  <c r="O994" i="4"/>
  <c r="P994" i="4"/>
  <c r="Q994" i="4"/>
  <c r="K995" i="4"/>
  <c r="L995" i="4"/>
  <c r="M995" i="4"/>
  <c r="R995" i="4" s="1"/>
  <c r="N995" i="4"/>
  <c r="O995" i="4"/>
  <c r="P995" i="4"/>
  <c r="Q995" i="4"/>
  <c r="K996" i="4"/>
  <c r="L996" i="4"/>
  <c r="M996" i="4"/>
  <c r="R996" i="4" s="1"/>
  <c r="N996" i="4"/>
  <c r="O996" i="4"/>
  <c r="P996" i="4"/>
  <c r="Q996" i="4"/>
  <c r="K997" i="4"/>
  <c r="L997" i="4"/>
  <c r="M997" i="4"/>
  <c r="R997" i="4" s="1"/>
  <c r="N997" i="4"/>
  <c r="O997" i="4"/>
  <c r="P997" i="4"/>
  <c r="Q997" i="4"/>
  <c r="K998" i="4"/>
  <c r="L998" i="4"/>
  <c r="M998" i="4"/>
  <c r="R998" i="4" s="1"/>
  <c r="N998" i="4"/>
  <c r="O998" i="4"/>
  <c r="P998" i="4"/>
  <c r="Q998" i="4"/>
  <c r="K999" i="4"/>
  <c r="L999" i="4"/>
  <c r="M999" i="4"/>
  <c r="R999" i="4" s="1"/>
  <c r="N999" i="4"/>
  <c r="O999" i="4"/>
  <c r="P999" i="4"/>
  <c r="Q999" i="4"/>
  <c r="K1000" i="4"/>
  <c r="L1000" i="4"/>
  <c r="M1000" i="4"/>
  <c r="R1000" i="4" s="1"/>
  <c r="N1000" i="4"/>
  <c r="O1000" i="4"/>
  <c r="P1000" i="4"/>
  <c r="Q1000" i="4"/>
  <c r="K1001" i="4"/>
  <c r="L1001" i="4"/>
  <c r="M1001" i="4"/>
  <c r="R1001" i="4" s="1"/>
  <c r="N1001" i="4"/>
  <c r="O1001" i="4"/>
  <c r="P1001" i="4"/>
  <c r="Q1001" i="4"/>
  <c r="K1002" i="4"/>
  <c r="L1002" i="4"/>
  <c r="M1002" i="4"/>
  <c r="R1002" i="4" s="1"/>
  <c r="N1002" i="4"/>
  <c r="O1002" i="4"/>
  <c r="P1002" i="4"/>
  <c r="Q1002" i="4"/>
  <c r="K1003" i="4"/>
  <c r="L1003" i="4"/>
  <c r="M1003" i="4"/>
  <c r="R1003" i="4" s="1"/>
  <c r="N1003" i="4"/>
  <c r="O1003" i="4"/>
  <c r="P1003" i="4"/>
  <c r="Q1003" i="4"/>
  <c r="K1004" i="4"/>
  <c r="L1004" i="4"/>
  <c r="M1004" i="4"/>
  <c r="R1004" i="4" s="1"/>
  <c r="N1004" i="4"/>
  <c r="O1004" i="4"/>
  <c r="P1004" i="4"/>
  <c r="Q1004" i="4"/>
  <c r="K1005" i="4"/>
  <c r="L1005" i="4"/>
  <c r="M1005" i="4"/>
  <c r="R1005" i="4" s="1"/>
  <c r="N1005" i="4"/>
  <c r="O1005" i="4"/>
  <c r="P1005" i="4"/>
  <c r="Q1005" i="4"/>
  <c r="K1006" i="4"/>
  <c r="L1006" i="4"/>
  <c r="M1006" i="4"/>
  <c r="R1006" i="4" s="1"/>
  <c r="N1006" i="4"/>
  <c r="O1006" i="4"/>
  <c r="P1006" i="4"/>
  <c r="Q1006" i="4"/>
  <c r="K1007" i="4"/>
  <c r="L1007" i="4"/>
  <c r="M1007" i="4"/>
  <c r="R1007" i="4" s="1"/>
  <c r="N1007" i="4"/>
  <c r="O1007" i="4"/>
  <c r="P1007" i="4"/>
  <c r="Q1007" i="4"/>
  <c r="K1008" i="4"/>
  <c r="L1008" i="4"/>
  <c r="M1008" i="4"/>
  <c r="R1008" i="4" s="1"/>
  <c r="N1008" i="4"/>
  <c r="O1008" i="4"/>
  <c r="P1008" i="4"/>
  <c r="Q1008" i="4"/>
  <c r="K1009" i="4"/>
  <c r="L1009" i="4"/>
  <c r="M1009" i="4"/>
  <c r="R1009" i="4" s="1"/>
  <c r="N1009" i="4"/>
  <c r="O1009" i="4"/>
  <c r="P1009" i="4"/>
  <c r="Q1009" i="4"/>
  <c r="K1010" i="4"/>
  <c r="L1010" i="4"/>
  <c r="M1010" i="4"/>
  <c r="R1010" i="4" s="1"/>
  <c r="N1010" i="4"/>
  <c r="O1010" i="4"/>
  <c r="P1010" i="4"/>
  <c r="Q1010" i="4"/>
  <c r="K1011" i="4"/>
  <c r="L1011" i="4"/>
  <c r="M1011" i="4"/>
  <c r="R1011" i="4" s="1"/>
  <c r="N1011" i="4"/>
  <c r="O1011" i="4"/>
  <c r="P1011" i="4"/>
  <c r="Q1011" i="4"/>
  <c r="K1012" i="4"/>
  <c r="L1012" i="4"/>
  <c r="M1012" i="4"/>
  <c r="R1012" i="4" s="1"/>
  <c r="N1012" i="4"/>
  <c r="O1012" i="4"/>
  <c r="P1012" i="4"/>
  <c r="Q1012" i="4"/>
  <c r="K1013" i="4"/>
  <c r="L1013" i="4"/>
  <c r="M1013" i="4"/>
  <c r="R1013" i="4" s="1"/>
  <c r="N1013" i="4"/>
  <c r="O1013" i="4"/>
  <c r="P1013" i="4"/>
  <c r="Q1013" i="4"/>
  <c r="K1014" i="4"/>
  <c r="L1014" i="4"/>
  <c r="M1014" i="4"/>
  <c r="R1014" i="4" s="1"/>
  <c r="N1014" i="4"/>
  <c r="O1014" i="4"/>
  <c r="P1014" i="4"/>
  <c r="Q1014" i="4"/>
  <c r="K1015" i="4"/>
  <c r="L1015" i="4"/>
  <c r="M1015" i="4"/>
  <c r="R1015" i="4" s="1"/>
  <c r="N1015" i="4"/>
  <c r="O1015" i="4"/>
  <c r="P1015" i="4"/>
  <c r="Q1015" i="4"/>
  <c r="K1016" i="4"/>
  <c r="L1016" i="4"/>
  <c r="M1016" i="4"/>
  <c r="R1016" i="4" s="1"/>
  <c r="N1016" i="4"/>
  <c r="O1016" i="4"/>
  <c r="P1016" i="4"/>
  <c r="Q1016" i="4"/>
  <c r="K1017" i="4"/>
  <c r="L1017" i="4"/>
  <c r="M1017" i="4"/>
  <c r="R1017" i="4" s="1"/>
  <c r="N1017" i="4"/>
  <c r="O1017" i="4"/>
  <c r="P1017" i="4"/>
  <c r="Q1017" i="4"/>
  <c r="K1018" i="4"/>
  <c r="L1018" i="4"/>
  <c r="M1018" i="4"/>
  <c r="R1018" i="4" s="1"/>
  <c r="N1018" i="4"/>
  <c r="O1018" i="4"/>
  <c r="P1018" i="4"/>
  <c r="Q1018" i="4"/>
  <c r="K1019" i="4"/>
  <c r="L1019" i="4"/>
  <c r="M1019" i="4"/>
  <c r="R1019" i="4" s="1"/>
  <c r="N1019" i="4"/>
  <c r="O1019" i="4"/>
  <c r="P1019" i="4"/>
  <c r="Q1019" i="4"/>
  <c r="K1020" i="4"/>
  <c r="L1020" i="4"/>
  <c r="M1020" i="4"/>
  <c r="R1020" i="4" s="1"/>
  <c r="N1020" i="4"/>
  <c r="O1020" i="4"/>
  <c r="P1020" i="4"/>
  <c r="Q1020" i="4"/>
  <c r="K1021" i="4"/>
  <c r="L1021" i="4"/>
  <c r="M1021" i="4"/>
  <c r="R1021" i="4" s="1"/>
  <c r="N1021" i="4"/>
  <c r="O1021" i="4"/>
  <c r="P1021" i="4"/>
  <c r="Q1021" i="4"/>
  <c r="K1022" i="4"/>
  <c r="L1022" i="4"/>
  <c r="M1022" i="4"/>
  <c r="R1022" i="4" s="1"/>
  <c r="N1022" i="4"/>
  <c r="O1022" i="4"/>
  <c r="P1022" i="4"/>
  <c r="Q1022" i="4"/>
  <c r="K1023" i="4"/>
  <c r="L1023" i="4"/>
  <c r="M1023" i="4"/>
  <c r="R1023" i="4" s="1"/>
  <c r="N1023" i="4"/>
  <c r="O1023" i="4"/>
  <c r="P1023" i="4"/>
  <c r="Q1023" i="4"/>
  <c r="K1024" i="4"/>
  <c r="L1024" i="4"/>
  <c r="M1024" i="4"/>
  <c r="R1024" i="4" s="1"/>
  <c r="N1024" i="4"/>
  <c r="O1024" i="4"/>
  <c r="P1024" i="4"/>
  <c r="Q1024" i="4"/>
  <c r="K1025" i="4"/>
  <c r="L1025" i="4"/>
  <c r="M1025" i="4"/>
  <c r="R1025" i="4" s="1"/>
  <c r="N1025" i="4"/>
  <c r="O1025" i="4"/>
  <c r="P1025" i="4"/>
  <c r="Q1025" i="4"/>
  <c r="K1026" i="4"/>
  <c r="L1026" i="4"/>
  <c r="M1026" i="4"/>
  <c r="R1026" i="4" s="1"/>
  <c r="N1026" i="4"/>
  <c r="O1026" i="4"/>
  <c r="P1026" i="4"/>
  <c r="Q1026" i="4"/>
  <c r="K1027" i="4"/>
  <c r="L1027" i="4"/>
  <c r="M1027" i="4"/>
  <c r="R1027" i="4" s="1"/>
  <c r="N1027" i="4"/>
  <c r="O1027" i="4"/>
  <c r="P1027" i="4"/>
  <c r="Q1027" i="4"/>
  <c r="K1028" i="4"/>
  <c r="L1028" i="4"/>
  <c r="M1028" i="4"/>
  <c r="R1028" i="4" s="1"/>
  <c r="N1028" i="4"/>
  <c r="O1028" i="4"/>
  <c r="P1028" i="4"/>
  <c r="Q1028" i="4"/>
  <c r="K1029" i="4"/>
  <c r="L1029" i="4"/>
  <c r="M1029" i="4"/>
  <c r="R1029" i="4" s="1"/>
  <c r="N1029" i="4"/>
  <c r="O1029" i="4"/>
  <c r="P1029" i="4"/>
  <c r="Q1029" i="4"/>
  <c r="K1030" i="4"/>
  <c r="L1030" i="4"/>
  <c r="M1030" i="4"/>
  <c r="R1030" i="4" s="1"/>
  <c r="N1030" i="4"/>
  <c r="O1030" i="4"/>
  <c r="P1030" i="4"/>
  <c r="Q1030" i="4"/>
  <c r="K1031" i="4"/>
  <c r="L1031" i="4"/>
  <c r="M1031" i="4"/>
  <c r="R1031" i="4" s="1"/>
  <c r="N1031" i="4"/>
  <c r="O1031" i="4"/>
  <c r="P1031" i="4"/>
  <c r="Q1031" i="4"/>
  <c r="K1032" i="4"/>
  <c r="L1032" i="4"/>
  <c r="M1032" i="4"/>
  <c r="R1032" i="4" s="1"/>
  <c r="N1032" i="4"/>
  <c r="O1032" i="4"/>
  <c r="P1032" i="4"/>
  <c r="Q1032" i="4"/>
  <c r="K1033" i="4"/>
  <c r="L1033" i="4"/>
  <c r="M1033" i="4"/>
  <c r="R1033" i="4" s="1"/>
  <c r="N1033" i="4"/>
  <c r="O1033" i="4"/>
  <c r="P1033" i="4"/>
  <c r="Q1033" i="4"/>
  <c r="K1034" i="4"/>
  <c r="L1034" i="4"/>
  <c r="M1034" i="4"/>
  <c r="R1034" i="4" s="1"/>
  <c r="N1034" i="4"/>
  <c r="O1034" i="4"/>
  <c r="P1034" i="4"/>
  <c r="Q1034" i="4"/>
  <c r="K1035" i="4"/>
  <c r="L1035" i="4"/>
  <c r="M1035" i="4"/>
  <c r="R1035" i="4" s="1"/>
  <c r="N1035" i="4"/>
  <c r="O1035" i="4"/>
  <c r="P1035" i="4"/>
  <c r="Q1035" i="4"/>
  <c r="K1036" i="4"/>
  <c r="L1036" i="4"/>
  <c r="M1036" i="4"/>
  <c r="R1036" i="4" s="1"/>
  <c r="N1036" i="4"/>
  <c r="O1036" i="4"/>
  <c r="P1036" i="4"/>
  <c r="Q1036" i="4"/>
  <c r="K1037" i="4"/>
  <c r="L1037" i="4"/>
  <c r="M1037" i="4"/>
  <c r="R1037" i="4" s="1"/>
  <c r="N1037" i="4"/>
  <c r="O1037" i="4"/>
  <c r="P1037" i="4"/>
  <c r="Q1037" i="4"/>
  <c r="K1038" i="4"/>
  <c r="L1038" i="4"/>
  <c r="M1038" i="4"/>
  <c r="R1038" i="4" s="1"/>
  <c r="N1038" i="4"/>
  <c r="O1038" i="4"/>
  <c r="P1038" i="4"/>
  <c r="Q1038" i="4"/>
  <c r="K1039" i="4"/>
  <c r="L1039" i="4"/>
  <c r="M1039" i="4"/>
  <c r="R1039" i="4" s="1"/>
  <c r="N1039" i="4"/>
  <c r="O1039" i="4"/>
  <c r="P1039" i="4"/>
  <c r="Q1039" i="4"/>
  <c r="K1040" i="4"/>
  <c r="L1040" i="4"/>
  <c r="M1040" i="4"/>
  <c r="R1040" i="4" s="1"/>
  <c r="N1040" i="4"/>
  <c r="O1040" i="4"/>
  <c r="P1040" i="4"/>
  <c r="Q1040" i="4"/>
  <c r="K1041" i="4"/>
  <c r="L1041" i="4"/>
  <c r="M1041" i="4"/>
  <c r="R1041" i="4" s="1"/>
  <c r="N1041" i="4"/>
  <c r="O1041" i="4"/>
  <c r="P1041" i="4"/>
  <c r="Q1041" i="4"/>
  <c r="K1042" i="4"/>
  <c r="L1042" i="4"/>
  <c r="M1042" i="4"/>
  <c r="R1042" i="4" s="1"/>
  <c r="N1042" i="4"/>
  <c r="O1042" i="4"/>
  <c r="P1042" i="4"/>
  <c r="Q1042" i="4"/>
  <c r="K1043" i="4"/>
  <c r="L1043" i="4"/>
  <c r="M1043" i="4"/>
  <c r="R1043" i="4" s="1"/>
  <c r="N1043" i="4"/>
  <c r="O1043" i="4"/>
  <c r="P1043" i="4"/>
  <c r="Q1043" i="4"/>
  <c r="K1044" i="4"/>
  <c r="L1044" i="4"/>
  <c r="M1044" i="4"/>
  <c r="R1044" i="4" s="1"/>
  <c r="N1044" i="4"/>
  <c r="O1044" i="4"/>
  <c r="P1044" i="4"/>
  <c r="Q1044" i="4"/>
  <c r="K1045" i="4"/>
  <c r="L1045" i="4"/>
  <c r="M1045" i="4"/>
  <c r="R1045" i="4" s="1"/>
  <c r="N1045" i="4"/>
  <c r="O1045" i="4"/>
  <c r="P1045" i="4"/>
  <c r="Q1045" i="4"/>
  <c r="K1046" i="4"/>
  <c r="L1046" i="4"/>
  <c r="M1046" i="4"/>
  <c r="R1046" i="4" s="1"/>
  <c r="N1046" i="4"/>
  <c r="O1046" i="4"/>
  <c r="P1046" i="4"/>
  <c r="Q1046" i="4"/>
  <c r="K1047" i="4"/>
  <c r="L1047" i="4"/>
  <c r="M1047" i="4"/>
  <c r="R1047" i="4" s="1"/>
  <c r="N1047" i="4"/>
  <c r="O1047" i="4"/>
  <c r="P1047" i="4"/>
  <c r="Q1047" i="4"/>
  <c r="K1048" i="4"/>
  <c r="L1048" i="4"/>
  <c r="M1048" i="4"/>
  <c r="R1048" i="4" s="1"/>
  <c r="N1048" i="4"/>
  <c r="O1048" i="4"/>
  <c r="P1048" i="4"/>
  <c r="Q1048" i="4"/>
  <c r="K1049" i="4"/>
  <c r="L1049" i="4"/>
  <c r="M1049" i="4"/>
  <c r="R1049" i="4" s="1"/>
  <c r="N1049" i="4"/>
  <c r="O1049" i="4"/>
  <c r="P1049" i="4"/>
  <c r="Q1049" i="4"/>
  <c r="K1050" i="4"/>
  <c r="L1050" i="4"/>
  <c r="M1050" i="4"/>
  <c r="R1050" i="4" s="1"/>
  <c r="N1050" i="4"/>
  <c r="O1050" i="4"/>
  <c r="P1050" i="4"/>
  <c r="Q1050" i="4"/>
  <c r="K1051" i="4"/>
  <c r="L1051" i="4"/>
  <c r="M1051" i="4"/>
  <c r="R1051" i="4" s="1"/>
  <c r="N1051" i="4"/>
  <c r="O1051" i="4"/>
  <c r="P1051" i="4"/>
  <c r="Q1051" i="4"/>
  <c r="K1052" i="4"/>
  <c r="L1052" i="4"/>
  <c r="M1052" i="4"/>
  <c r="R1052" i="4" s="1"/>
  <c r="N1052" i="4"/>
  <c r="O1052" i="4"/>
  <c r="P1052" i="4"/>
  <c r="Q1052" i="4"/>
  <c r="K1053" i="4"/>
  <c r="L1053" i="4"/>
  <c r="M1053" i="4"/>
  <c r="R1053" i="4" s="1"/>
  <c r="N1053" i="4"/>
  <c r="O1053" i="4"/>
  <c r="P1053" i="4"/>
  <c r="Q1053" i="4"/>
  <c r="K1054" i="4"/>
  <c r="L1054" i="4"/>
  <c r="M1054" i="4"/>
  <c r="R1054" i="4" s="1"/>
  <c r="N1054" i="4"/>
  <c r="O1054" i="4"/>
  <c r="P1054" i="4"/>
  <c r="Q1054" i="4"/>
  <c r="K1055" i="4"/>
  <c r="L1055" i="4"/>
  <c r="M1055" i="4"/>
  <c r="R1055" i="4" s="1"/>
  <c r="N1055" i="4"/>
  <c r="O1055" i="4"/>
  <c r="P1055" i="4"/>
  <c r="Q1055" i="4"/>
  <c r="K1056" i="4"/>
  <c r="L1056" i="4"/>
  <c r="M1056" i="4"/>
  <c r="R1056" i="4" s="1"/>
  <c r="N1056" i="4"/>
  <c r="O1056" i="4"/>
  <c r="P1056" i="4"/>
  <c r="Q1056" i="4"/>
  <c r="K1057" i="4"/>
  <c r="L1057" i="4"/>
  <c r="M1057" i="4"/>
  <c r="R1057" i="4" s="1"/>
  <c r="N1057" i="4"/>
  <c r="O1057" i="4"/>
  <c r="P1057" i="4"/>
  <c r="Q1057" i="4"/>
  <c r="K1058" i="4"/>
  <c r="L1058" i="4"/>
  <c r="M1058" i="4"/>
  <c r="R1058" i="4" s="1"/>
  <c r="N1058" i="4"/>
  <c r="O1058" i="4"/>
  <c r="P1058" i="4"/>
  <c r="Q1058" i="4"/>
  <c r="K1059" i="4"/>
  <c r="L1059" i="4"/>
  <c r="M1059" i="4"/>
  <c r="N1059" i="4"/>
  <c r="O1059" i="4"/>
  <c r="P1059" i="4"/>
  <c r="Q1059" i="4"/>
  <c r="R1059" i="4"/>
  <c r="K1060" i="4"/>
  <c r="L1060" i="4"/>
  <c r="M1060" i="4"/>
  <c r="N1060" i="4"/>
  <c r="O1060" i="4"/>
  <c r="P1060" i="4"/>
  <c r="Q1060" i="4"/>
  <c r="R1060" i="4"/>
  <c r="K1061" i="4"/>
  <c r="L1061" i="4"/>
  <c r="M1061" i="4"/>
  <c r="N1061" i="4"/>
  <c r="O1061" i="4"/>
  <c r="P1061" i="4"/>
  <c r="Q1061" i="4"/>
  <c r="R1061" i="4"/>
  <c r="K1062" i="4"/>
  <c r="L1062" i="4"/>
  <c r="M1062" i="4"/>
  <c r="N1062" i="4"/>
  <c r="O1062" i="4"/>
  <c r="P1062" i="4"/>
  <c r="Q1062" i="4"/>
  <c r="R1062" i="4"/>
  <c r="K1063" i="4"/>
  <c r="L1063" i="4"/>
  <c r="M1063" i="4"/>
  <c r="N1063" i="4"/>
  <c r="O1063" i="4"/>
  <c r="P1063" i="4"/>
  <c r="Q1063" i="4"/>
  <c r="R1063" i="4"/>
  <c r="K1064" i="4"/>
  <c r="L1064" i="4"/>
  <c r="M1064" i="4"/>
  <c r="N1064" i="4"/>
  <c r="O1064" i="4"/>
  <c r="P1064" i="4"/>
  <c r="Q1064" i="4"/>
  <c r="R1064" i="4"/>
  <c r="K1065" i="4"/>
  <c r="L1065" i="4"/>
  <c r="M1065" i="4"/>
  <c r="N1065" i="4"/>
  <c r="O1065" i="4"/>
  <c r="P1065" i="4"/>
  <c r="Q1065" i="4"/>
  <c r="R1065" i="4"/>
  <c r="K1066" i="4"/>
  <c r="L1066" i="4"/>
  <c r="M1066" i="4"/>
  <c r="N1066" i="4"/>
  <c r="O1066" i="4"/>
  <c r="P1066" i="4"/>
  <c r="Q1066" i="4"/>
  <c r="R1066" i="4"/>
  <c r="K1067" i="4"/>
  <c r="L1067" i="4"/>
  <c r="M1067" i="4"/>
  <c r="N1067" i="4"/>
  <c r="O1067" i="4"/>
  <c r="P1067" i="4"/>
  <c r="Q1067" i="4"/>
  <c r="R1067" i="4"/>
  <c r="K1068" i="4"/>
  <c r="L1068" i="4"/>
  <c r="M1068" i="4"/>
  <c r="N1068" i="4"/>
  <c r="O1068" i="4"/>
  <c r="P1068" i="4"/>
  <c r="Q1068" i="4"/>
  <c r="R1068" i="4"/>
  <c r="K1069" i="4"/>
  <c r="L1069" i="4"/>
  <c r="M1069" i="4"/>
  <c r="N1069" i="4"/>
  <c r="O1069" i="4"/>
  <c r="P1069" i="4"/>
  <c r="Q1069" i="4"/>
  <c r="R1069" i="4"/>
  <c r="K1070" i="4"/>
  <c r="L1070" i="4"/>
  <c r="M1070" i="4"/>
  <c r="N1070" i="4"/>
  <c r="O1070" i="4"/>
  <c r="P1070" i="4"/>
  <c r="Q1070" i="4"/>
  <c r="R1070" i="4"/>
  <c r="K1071" i="4"/>
  <c r="L1071" i="4"/>
  <c r="M1071" i="4"/>
  <c r="N1071" i="4"/>
  <c r="O1071" i="4"/>
  <c r="P1071" i="4"/>
  <c r="Q1071" i="4"/>
  <c r="R1071" i="4"/>
  <c r="K1072" i="4"/>
  <c r="L1072" i="4"/>
  <c r="M1072" i="4"/>
  <c r="N1072" i="4"/>
  <c r="O1072" i="4"/>
  <c r="P1072" i="4"/>
  <c r="Q1072" i="4"/>
  <c r="R1072" i="4"/>
  <c r="K1073" i="4"/>
  <c r="L1073" i="4"/>
  <c r="M1073" i="4"/>
  <c r="N1073" i="4"/>
  <c r="O1073" i="4"/>
  <c r="P1073" i="4"/>
  <c r="Q1073" i="4"/>
  <c r="R1073" i="4"/>
  <c r="K1074" i="4"/>
  <c r="L1074" i="4"/>
  <c r="M1074" i="4"/>
  <c r="N1074" i="4"/>
  <c r="O1074" i="4"/>
  <c r="P1074" i="4"/>
  <c r="Q1074" i="4"/>
  <c r="R1074" i="4"/>
  <c r="K1075" i="4"/>
  <c r="L1075" i="4"/>
  <c r="M1075" i="4"/>
  <c r="N1075" i="4"/>
  <c r="O1075" i="4"/>
  <c r="P1075" i="4"/>
  <c r="Q1075" i="4"/>
  <c r="R1075" i="4"/>
  <c r="K1076" i="4"/>
  <c r="L1076" i="4"/>
  <c r="M1076" i="4"/>
  <c r="N1076" i="4"/>
  <c r="O1076" i="4"/>
  <c r="P1076" i="4"/>
  <c r="Q1076" i="4"/>
  <c r="R1076" i="4"/>
  <c r="K1077" i="4"/>
  <c r="L1077" i="4"/>
  <c r="M1077" i="4"/>
  <c r="N1077" i="4"/>
  <c r="O1077" i="4"/>
  <c r="P1077" i="4"/>
  <c r="Q1077" i="4"/>
  <c r="R1077" i="4"/>
  <c r="K1078" i="4"/>
  <c r="L1078" i="4"/>
  <c r="M1078" i="4"/>
  <c r="N1078" i="4"/>
  <c r="O1078" i="4"/>
  <c r="P1078" i="4"/>
  <c r="Q1078" i="4"/>
  <c r="R1078" i="4"/>
  <c r="K1079" i="4"/>
  <c r="L1079" i="4"/>
  <c r="M1079" i="4"/>
  <c r="N1079" i="4"/>
  <c r="O1079" i="4"/>
  <c r="P1079" i="4"/>
  <c r="Q1079" i="4"/>
  <c r="R1079" i="4"/>
  <c r="K1080" i="4"/>
  <c r="L1080" i="4"/>
  <c r="M1080" i="4"/>
  <c r="N1080" i="4"/>
  <c r="O1080" i="4"/>
  <c r="P1080" i="4"/>
  <c r="Q1080" i="4"/>
  <c r="R1080" i="4"/>
  <c r="K1081" i="4"/>
  <c r="L1081" i="4"/>
  <c r="M1081" i="4"/>
  <c r="N1081" i="4"/>
  <c r="O1081" i="4"/>
  <c r="P1081" i="4"/>
  <c r="Q1081" i="4"/>
  <c r="R1081" i="4"/>
  <c r="K1082" i="4"/>
  <c r="L1082" i="4"/>
  <c r="M1082" i="4"/>
  <c r="N1082" i="4"/>
  <c r="O1082" i="4"/>
  <c r="P1082" i="4"/>
  <c r="Q1082" i="4"/>
  <c r="R1082" i="4"/>
  <c r="K1083" i="4"/>
  <c r="L1083" i="4"/>
  <c r="M1083" i="4"/>
  <c r="N1083" i="4"/>
  <c r="O1083" i="4"/>
  <c r="P1083" i="4"/>
  <c r="Q1083" i="4"/>
  <c r="R1083" i="4"/>
  <c r="K1084" i="4"/>
  <c r="L1084" i="4"/>
  <c r="M1084" i="4"/>
  <c r="N1084" i="4"/>
  <c r="O1084" i="4"/>
  <c r="P1084" i="4"/>
  <c r="Q1084" i="4"/>
  <c r="R1084" i="4"/>
  <c r="K1085" i="4"/>
  <c r="L1085" i="4"/>
  <c r="M1085" i="4"/>
  <c r="N1085" i="4"/>
  <c r="O1085" i="4"/>
  <c r="P1085" i="4"/>
  <c r="Q1085" i="4"/>
  <c r="R1085" i="4"/>
  <c r="K1086" i="4"/>
  <c r="L1086" i="4"/>
  <c r="M1086" i="4"/>
  <c r="N1086" i="4"/>
  <c r="O1086" i="4"/>
  <c r="P1086" i="4"/>
  <c r="Q1086" i="4"/>
  <c r="R1086" i="4"/>
  <c r="K1087" i="4"/>
  <c r="L1087" i="4"/>
  <c r="M1087" i="4"/>
  <c r="N1087" i="4"/>
  <c r="O1087" i="4"/>
  <c r="P1087" i="4"/>
  <c r="Q1087" i="4"/>
  <c r="R1087" i="4"/>
  <c r="K1088" i="4"/>
  <c r="L1088" i="4"/>
  <c r="M1088" i="4"/>
  <c r="N1088" i="4"/>
  <c r="O1088" i="4"/>
  <c r="P1088" i="4"/>
  <c r="Q1088" i="4"/>
  <c r="R1088" i="4"/>
  <c r="K1089" i="4"/>
  <c r="L1089" i="4"/>
  <c r="M1089" i="4"/>
  <c r="N1089" i="4"/>
  <c r="O1089" i="4"/>
  <c r="P1089" i="4"/>
  <c r="Q1089" i="4"/>
  <c r="R1089" i="4"/>
  <c r="K1090" i="4"/>
  <c r="L1090" i="4"/>
  <c r="M1090" i="4"/>
  <c r="N1090" i="4"/>
  <c r="O1090" i="4"/>
  <c r="P1090" i="4"/>
  <c r="Q1090" i="4"/>
  <c r="R1090" i="4"/>
  <c r="K1091" i="4"/>
  <c r="L1091" i="4"/>
  <c r="M1091" i="4"/>
  <c r="N1091" i="4"/>
  <c r="O1091" i="4"/>
  <c r="P1091" i="4"/>
  <c r="Q1091" i="4"/>
  <c r="R1091" i="4"/>
  <c r="K1092" i="4"/>
  <c r="L1092" i="4"/>
  <c r="M1092" i="4"/>
  <c r="N1092" i="4"/>
  <c r="O1092" i="4"/>
  <c r="P1092" i="4"/>
  <c r="Q1092" i="4"/>
  <c r="R1092" i="4"/>
  <c r="K1093" i="4"/>
  <c r="L1093" i="4"/>
  <c r="M1093" i="4"/>
  <c r="N1093" i="4"/>
  <c r="O1093" i="4"/>
  <c r="P1093" i="4"/>
  <c r="Q1093" i="4"/>
  <c r="R1093" i="4"/>
  <c r="K1094" i="4"/>
  <c r="L1094" i="4"/>
  <c r="M1094" i="4"/>
  <c r="N1094" i="4"/>
  <c r="O1094" i="4"/>
  <c r="P1094" i="4"/>
  <c r="Q1094" i="4"/>
  <c r="R1094" i="4"/>
  <c r="K1095" i="4"/>
  <c r="L1095" i="4"/>
  <c r="M1095" i="4"/>
  <c r="N1095" i="4"/>
  <c r="O1095" i="4"/>
  <c r="P1095" i="4"/>
  <c r="Q1095" i="4"/>
  <c r="R1095" i="4"/>
  <c r="K1096" i="4"/>
  <c r="L1096" i="4"/>
  <c r="M1096" i="4"/>
  <c r="N1096" i="4"/>
  <c r="O1096" i="4"/>
  <c r="P1096" i="4"/>
  <c r="Q1096" i="4"/>
  <c r="R1096" i="4"/>
  <c r="K1097" i="4"/>
  <c r="L1097" i="4"/>
  <c r="M1097" i="4"/>
  <c r="N1097" i="4"/>
  <c r="O1097" i="4"/>
  <c r="P1097" i="4"/>
  <c r="Q1097" i="4"/>
  <c r="R1097" i="4"/>
  <c r="K1098" i="4"/>
  <c r="L1098" i="4"/>
  <c r="M1098" i="4"/>
  <c r="N1098" i="4"/>
  <c r="O1098" i="4"/>
  <c r="P1098" i="4"/>
  <c r="Q1098" i="4"/>
  <c r="R1098" i="4"/>
  <c r="K1099" i="4"/>
  <c r="L1099" i="4"/>
  <c r="M1099" i="4"/>
  <c r="N1099" i="4"/>
  <c r="O1099" i="4"/>
  <c r="P1099" i="4"/>
  <c r="Q1099" i="4"/>
  <c r="R1099" i="4"/>
  <c r="K1100" i="4"/>
  <c r="L1100" i="4"/>
  <c r="M1100" i="4"/>
  <c r="N1100" i="4"/>
  <c r="O1100" i="4"/>
  <c r="P1100" i="4"/>
  <c r="Q1100" i="4"/>
  <c r="R1100" i="4"/>
  <c r="K1101" i="4"/>
  <c r="L1101" i="4"/>
  <c r="M1101" i="4"/>
  <c r="N1101" i="4"/>
  <c r="O1101" i="4"/>
  <c r="P1101" i="4"/>
  <c r="Q1101" i="4"/>
  <c r="R1101" i="4"/>
  <c r="K1102" i="4"/>
  <c r="L1102" i="4"/>
  <c r="M1102" i="4"/>
  <c r="N1102" i="4"/>
  <c r="O1102" i="4"/>
  <c r="P1102" i="4"/>
  <c r="Q1102" i="4"/>
  <c r="R1102" i="4"/>
  <c r="K1103" i="4"/>
  <c r="L1103" i="4"/>
  <c r="M1103" i="4"/>
  <c r="N1103" i="4"/>
  <c r="O1103" i="4"/>
  <c r="P1103" i="4"/>
  <c r="Q1103" i="4"/>
  <c r="R1103" i="4"/>
  <c r="K1104" i="4"/>
  <c r="L1104" i="4"/>
  <c r="M1104" i="4"/>
  <c r="N1104" i="4"/>
  <c r="O1104" i="4"/>
  <c r="P1104" i="4"/>
  <c r="Q1104" i="4"/>
  <c r="R1104" i="4"/>
  <c r="K1105" i="4"/>
  <c r="L1105" i="4"/>
  <c r="M1105" i="4"/>
  <c r="N1105" i="4"/>
  <c r="O1105" i="4"/>
  <c r="P1105" i="4"/>
  <c r="Q1105" i="4"/>
  <c r="R1105" i="4"/>
  <c r="K1106" i="4"/>
  <c r="L1106" i="4"/>
  <c r="M1106" i="4"/>
  <c r="N1106" i="4"/>
  <c r="O1106" i="4"/>
  <c r="P1106" i="4"/>
  <c r="Q1106" i="4"/>
  <c r="R1106" i="4"/>
  <c r="K1107" i="4"/>
  <c r="L1107" i="4"/>
  <c r="M1107" i="4"/>
  <c r="N1107" i="4"/>
  <c r="O1107" i="4"/>
  <c r="P1107" i="4"/>
  <c r="Q1107" i="4"/>
  <c r="R1107" i="4"/>
  <c r="K1108" i="4"/>
  <c r="L1108" i="4"/>
  <c r="M1108" i="4"/>
  <c r="N1108" i="4"/>
  <c r="O1108" i="4"/>
  <c r="P1108" i="4"/>
  <c r="Q1108" i="4"/>
  <c r="R1108" i="4"/>
  <c r="K1109" i="4"/>
  <c r="L1109" i="4"/>
  <c r="M1109" i="4"/>
  <c r="N1109" i="4"/>
  <c r="O1109" i="4"/>
  <c r="P1109" i="4"/>
  <c r="Q1109" i="4"/>
  <c r="R1109" i="4"/>
  <c r="K1110" i="4"/>
  <c r="L1110" i="4"/>
  <c r="M1110" i="4"/>
  <c r="N1110" i="4"/>
  <c r="O1110" i="4"/>
  <c r="P1110" i="4"/>
  <c r="Q1110" i="4"/>
  <c r="R1110" i="4"/>
  <c r="K1111" i="4"/>
  <c r="L1111" i="4"/>
  <c r="M1111" i="4"/>
  <c r="N1111" i="4"/>
  <c r="O1111" i="4"/>
  <c r="P1111" i="4"/>
  <c r="Q1111" i="4"/>
  <c r="R1111" i="4"/>
  <c r="K1112" i="4"/>
  <c r="L1112" i="4"/>
  <c r="M1112" i="4"/>
  <c r="N1112" i="4"/>
  <c r="O1112" i="4"/>
  <c r="P1112" i="4"/>
  <c r="Q1112" i="4"/>
  <c r="R1112" i="4"/>
  <c r="K1113" i="4"/>
  <c r="L1113" i="4"/>
  <c r="M1113" i="4"/>
  <c r="N1113" i="4"/>
  <c r="O1113" i="4"/>
  <c r="P1113" i="4"/>
  <c r="Q1113" i="4"/>
  <c r="R1113" i="4"/>
  <c r="K1114" i="4"/>
  <c r="L1114" i="4"/>
  <c r="M1114" i="4"/>
  <c r="N1114" i="4"/>
  <c r="O1114" i="4"/>
  <c r="P1114" i="4"/>
  <c r="Q1114" i="4"/>
  <c r="R1114" i="4"/>
  <c r="K1115" i="4"/>
  <c r="L1115" i="4"/>
  <c r="M1115" i="4"/>
  <c r="N1115" i="4"/>
  <c r="O1115" i="4"/>
  <c r="P1115" i="4"/>
  <c r="Q1115" i="4"/>
  <c r="R1115" i="4"/>
  <c r="K1116" i="4"/>
  <c r="L1116" i="4"/>
  <c r="M1116" i="4"/>
  <c r="N1116" i="4"/>
  <c r="O1116" i="4"/>
  <c r="P1116" i="4"/>
  <c r="Q1116" i="4"/>
  <c r="R1116" i="4"/>
  <c r="K1117" i="4"/>
  <c r="L1117" i="4"/>
  <c r="M1117" i="4"/>
  <c r="N1117" i="4"/>
  <c r="O1117" i="4"/>
  <c r="P1117" i="4"/>
  <c r="Q1117" i="4"/>
  <c r="R1117" i="4"/>
  <c r="K1118" i="4"/>
  <c r="L1118" i="4"/>
  <c r="M1118" i="4"/>
  <c r="N1118" i="4"/>
  <c r="O1118" i="4"/>
  <c r="P1118" i="4"/>
  <c r="Q1118" i="4"/>
  <c r="R1118" i="4"/>
  <c r="K1119" i="4"/>
  <c r="L1119" i="4"/>
  <c r="M1119" i="4"/>
  <c r="N1119" i="4"/>
  <c r="O1119" i="4"/>
  <c r="P1119" i="4"/>
  <c r="Q1119" i="4"/>
  <c r="R1119" i="4"/>
  <c r="K1120" i="4"/>
  <c r="L1120" i="4"/>
  <c r="M1120" i="4"/>
  <c r="N1120" i="4"/>
  <c r="O1120" i="4"/>
  <c r="P1120" i="4"/>
  <c r="Q1120" i="4"/>
  <c r="R1120" i="4"/>
  <c r="K1121" i="4"/>
  <c r="L1121" i="4"/>
  <c r="M1121" i="4"/>
  <c r="N1121" i="4"/>
  <c r="O1121" i="4"/>
  <c r="P1121" i="4"/>
  <c r="Q1121" i="4"/>
  <c r="R1121" i="4"/>
  <c r="K1122" i="4"/>
  <c r="L1122" i="4"/>
  <c r="M1122" i="4"/>
  <c r="N1122" i="4"/>
  <c r="O1122" i="4"/>
  <c r="P1122" i="4"/>
  <c r="Q1122" i="4"/>
  <c r="R1122" i="4"/>
  <c r="K1123" i="4"/>
  <c r="L1123" i="4"/>
  <c r="M1123" i="4"/>
  <c r="N1123" i="4"/>
  <c r="O1123" i="4"/>
  <c r="P1123" i="4"/>
  <c r="Q1123" i="4"/>
  <c r="R1123" i="4"/>
  <c r="K1124" i="4"/>
  <c r="L1124" i="4"/>
  <c r="M1124" i="4"/>
  <c r="N1124" i="4"/>
  <c r="O1124" i="4"/>
  <c r="P1124" i="4"/>
  <c r="Q1124" i="4"/>
  <c r="R1124" i="4"/>
  <c r="K1125" i="4"/>
  <c r="L1125" i="4"/>
  <c r="M1125" i="4"/>
  <c r="N1125" i="4"/>
  <c r="O1125" i="4"/>
  <c r="P1125" i="4"/>
  <c r="Q1125" i="4"/>
  <c r="R1125" i="4"/>
  <c r="K1126" i="4"/>
  <c r="L1126" i="4"/>
  <c r="M1126" i="4"/>
  <c r="N1126" i="4"/>
  <c r="O1126" i="4"/>
  <c r="P1126" i="4"/>
  <c r="Q1126" i="4"/>
  <c r="R1126" i="4"/>
  <c r="K1127" i="4"/>
  <c r="L1127" i="4"/>
  <c r="M1127" i="4"/>
  <c r="N1127" i="4"/>
  <c r="O1127" i="4"/>
  <c r="P1127" i="4"/>
  <c r="Q1127" i="4"/>
  <c r="R1127" i="4"/>
  <c r="K1128" i="4"/>
  <c r="L1128" i="4"/>
  <c r="M1128" i="4"/>
  <c r="N1128" i="4"/>
  <c r="O1128" i="4"/>
  <c r="P1128" i="4"/>
  <c r="Q1128" i="4"/>
  <c r="R1128" i="4"/>
  <c r="K1129" i="4"/>
  <c r="L1129" i="4"/>
  <c r="M1129" i="4"/>
  <c r="N1129" i="4"/>
  <c r="O1129" i="4"/>
  <c r="P1129" i="4"/>
  <c r="Q1129" i="4"/>
  <c r="R1129" i="4"/>
  <c r="K1130" i="4"/>
  <c r="L1130" i="4"/>
  <c r="M1130" i="4"/>
  <c r="N1130" i="4"/>
  <c r="O1130" i="4"/>
  <c r="P1130" i="4"/>
  <c r="Q1130" i="4"/>
  <c r="R1130" i="4"/>
  <c r="K1131" i="4"/>
  <c r="L1131" i="4"/>
  <c r="M1131" i="4"/>
  <c r="N1131" i="4"/>
  <c r="O1131" i="4"/>
  <c r="P1131" i="4"/>
  <c r="Q1131" i="4"/>
  <c r="R1131" i="4"/>
  <c r="K1132" i="4"/>
  <c r="L1132" i="4"/>
  <c r="M1132" i="4"/>
  <c r="N1132" i="4"/>
  <c r="O1132" i="4"/>
  <c r="P1132" i="4"/>
  <c r="Q1132" i="4"/>
  <c r="R1132" i="4"/>
  <c r="K1133" i="4"/>
  <c r="L1133" i="4"/>
  <c r="M1133" i="4"/>
  <c r="N1133" i="4"/>
  <c r="O1133" i="4"/>
  <c r="P1133" i="4"/>
  <c r="Q1133" i="4"/>
  <c r="R1133" i="4"/>
  <c r="K1134" i="4"/>
  <c r="L1134" i="4"/>
  <c r="M1134" i="4"/>
  <c r="N1134" i="4"/>
  <c r="O1134" i="4"/>
  <c r="P1134" i="4"/>
  <c r="Q1134" i="4"/>
  <c r="R1134" i="4"/>
  <c r="K1135" i="4"/>
  <c r="L1135" i="4"/>
  <c r="M1135" i="4"/>
  <c r="N1135" i="4"/>
  <c r="O1135" i="4"/>
  <c r="P1135" i="4"/>
  <c r="Q1135" i="4"/>
  <c r="R1135" i="4"/>
  <c r="K1136" i="4"/>
  <c r="L1136" i="4"/>
  <c r="M1136" i="4"/>
  <c r="N1136" i="4"/>
  <c r="O1136" i="4"/>
  <c r="P1136" i="4"/>
  <c r="Q1136" i="4"/>
  <c r="R1136" i="4"/>
  <c r="K1137" i="4"/>
  <c r="L1137" i="4"/>
  <c r="M1137" i="4"/>
  <c r="N1137" i="4"/>
  <c r="O1137" i="4"/>
  <c r="P1137" i="4"/>
  <c r="Q1137" i="4"/>
  <c r="R1137" i="4"/>
  <c r="K1138" i="4"/>
  <c r="L1138" i="4"/>
  <c r="M1138" i="4"/>
  <c r="N1138" i="4"/>
  <c r="O1138" i="4"/>
  <c r="P1138" i="4"/>
  <c r="Q1138" i="4"/>
  <c r="R1138" i="4"/>
  <c r="K1139" i="4"/>
  <c r="L1139" i="4"/>
  <c r="M1139" i="4"/>
  <c r="N1139" i="4"/>
  <c r="O1139" i="4"/>
  <c r="P1139" i="4"/>
  <c r="Q1139" i="4"/>
  <c r="R1139" i="4"/>
  <c r="K1140" i="4"/>
  <c r="L1140" i="4"/>
  <c r="M1140" i="4"/>
  <c r="N1140" i="4"/>
  <c r="O1140" i="4"/>
  <c r="P1140" i="4"/>
  <c r="Q1140" i="4"/>
  <c r="R1140" i="4"/>
  <c r="K1141" i="4"/>
  <c r="L1141" i="4"/>
  <c r="M1141" i="4"/>
  <c r="N1141" i="4"/>
  <c r="O1141" i="4"/>
  <c r="P1141" i="4"/>
  <c r="Q1141" i="4"/>
  <c r="R1141" i="4"/>
  <c r="K1142" i="4"/>
  <c r="L1142" i="4"/>
  <c r="M1142" i="4"/>
  <c r="N1142" i="4"/>
  <c r="O1142" i="4"/>
  <c r="P1142" i="4"/>
  <c r="Q1142" i="4"/>
  <c r="R1142" i="4"/>
  <c r="K1143" i="4"/>
  <c r="L1143" i="4"/>
  <c r="M1143" i="4"/>
  <c r="N1143" i="4"/>
  <c r="O1143" i="4"/>
  <c r="P1143" i="4"/>
  <c r="Q1143" i="4"/>
  <c r="R1143" i="4"/>
  <c r="K1144" i="4"/>
  <c r="L1144" i="4"/>
  <c r="M1144" i="4"/>
  <c r="N1144" i="4"/>
  <c r="O1144" i="4"/>
  <c r="P1144" i="4"/>
  <c r="Q1144" i="4"/>
  <c r="R1144" i="4"/>
  <c r="K1145" i="4"/>
  <c r="L1145" i="4"/>
  <c r="M1145" i="4"/>
  <c r="N1145" i="4"/>
  <c r="O1145" i="4"/>
  <c r="P1145" i="4"/>
  <c r="Q1145" i="4"/>
  <c r="R1145" i="4"/>
  <c r="K1146" i="4"/>
  <c r="L1146" i="4"/>
  <c r="M1146" i="4"/>
  <c r="N1146" i="4"/>
  <c r="O1146" i="4"/>
  <c r="P1146" i="4"/>
  <c r="Q1146" i="4"/>
  <c r="R1146" i="4"/>
  <c r="K1147" i="4"/>
  <c r="L1147" i="4"/>
  <c r="M1147" i="4"/>
  <c r="N1147" i="4"/>
  <c r="O1147" i="4"/>
  <c r="P1147" i="4"/>
  <c r="Q1147" i="4"/>
  <c r="R1147" i="4"/>
  <c r="K1148" i="4"/>
  <c r="L1148" i="4"/>
  <c r="M1148" i="4"/>
  <c r="N1148" i="4"/>
  <c r="O1148" i="4"/>
  <c r="P1148" i="4"/>
  <c r="Q1148" i="4"/>
  <c r="R1148" i="4"/>
  <c r="K1149" i="4"/>
  <c r="L1149" i="4"/>
  <c r="M1149" i="4"/>
  <c r="N1149" i="4"/>
  <c r="O1149" i="4"/>
  <c r="P1149" i="4"/>
  <c r="Q1149" i="4"/>
  <c r="R1149" i="4"/>
  <c r="K1150" i="4"/>
  <c r="L1150" i="4"/>
  <c r="M1150" i="4"/>
  <c r="N1150" i="4"/>
  <c r="O1150" i="4"/>
  <c r="P1150" i="4"/>
  <c r="Q1150" i="4"/>
  <c r="R1150" i="4"/>
  <c r="K1151" i="4"/>
  <c r="L1151" i="4"/>
  <c r="M1151" i="4"/>
  <c r="N1151" i="4"/>
  <c r="O1151" i="4"/>
  <c r="P1151" i="4"/>
  <c r="Q1151" i="4"/>
  <c r="R1151" i="4"/>
  <c r="K1152" i="4"/>
  <c r="L1152" i="4"/>
  <c r="M1152" i="4"/>
  <c r="N1152" i="4"/>
  <c r="O1152" i="4"/>
  <c r="P1152" i="4"/>
  <c r="Q1152" i="4"/>
  <c r="R1152" i="4"/>
  <c r="K1153" i="4"/>
  <c r="L1153" i="4"/>
  <c r="M1153" i="4"/>
  <c r="N1153" i="4"/>
  <c r="O1153" i="4"/>
  <c r="P1153" i="4"/>
  <c r="Q1153" i="4"/>
  <c r="R1153" i="4"/>
  <c r="K1154" i="4"/>
  <c r="L1154" i="4"/>
  <c r="M1154" i="4"/>
  <c r="N1154" i="4"/>
  <c r="O1154" i="4"/>
  <c r="P1154" i="4"/>
  <c r="Q1154" i="4"/>
  <c r="R1154" i="4"/>
  <c r="K1155" i="4"/>
  <c r="L1155" i="4"/>
  <c r="M1155" i="4"/>
  <c r="N1155" i="4"/>
  <c r="O1155" i="4"/>
  <c r="P1155" i="4"/>
  <c r="Q1155" i="4"/>
  <c r="R1155" i="4"/>
  <c r="K1156" i="4"/>
  <c r="L1156" i="4"/>
  <c r="M1156" i="4"/>
  <c r="N1156" i="4"/>
  <c r="O1156" i="4"/>
  <c r="P1156" i="4"/>
  <c r="Q1156" i="4"/>
  <c r="R1156" i="4"/>
  <c r="K1157" i="4"/>
  <c r="L1157" i="4"/>
  <c r="M1157" i="4"/>
  <c r="N1157" i="4"/>
  <c r="O1157" i="4"/>
  <c r="P1157" i="4"/>
  <c r="Q1157" i="4"/>
  <c r="R1157" i="4"/>
  <c r="K1158" i="4"/>
  <c r="L1158" i="4"/>
  <c r="M1158" i="4"/>
  <c r="N1158" i="4"/>
  <c r="O1158" i="4"/>
  <c r="P1158" i="4"/>
  <c r="Q1158" i="4"/>
  <c r="R1158" i="4"/>
  <c r="K1159" i="4"/>
  <c r="L1159" i="4"/>
  <c r="M1159" i="4"/>
  <c r="N1159" i="4"/>
  <c r="O1159" i="4"/>
  <c r="P1159" i="4"/>
  <c r="Q1159" i="4"/>
  <c r="R1159" i="4"/>
  <c r="K1160" i="4"/>
  <c r="L1160" i="4"/>
  <c r="M1160" i="4"/>
  <c r="N1160" i="4"/>
  <c r="O1160" i="4"/>
  <c r="P1160" i="4"/>
  <c r="Q1160" i="4"/>
  <c r="R1160" i="4"/>
  <c r="K1161" i="4"/>
  <c r="L1161" i="4"/>
  <c r="M1161" i="4"/>
  <c r="N1161" i="4"/>
  <c r="O1161" i="4"/>
  <c r="P1161" i="4"/>
  <c r="Q1161" i="4"/>
  <c r="R1161" i="4"/>
  <c r="K1162" i="4"/>
  <c r="L1162" i="4"/>
  <c r="M1162" i="4"/>
  <c r="N1162" i="4"/>
  <c r="O1162" i="4"/>
  <c r="P1162" i="4"/>
  <c r="Q1162" i="4"/>
  <c r="R1162" i="4"/>
  <c r="K1163" i="4"/>
  <c r="L1163" i="4"/>
  <c r="M1163" i="4"/>
  <c r="N1163" i="4"/>
  <c r="O1163" i="4"/>
  <c r="P1163" i="4"/>
  <c r="Q1163" i="4"/>
  <c r="R1163" i="4"/>
  <c r="K1164" i="4"/>
  <c r="L1164" i="4"/>
  <c r="M1164" i="4"/>
  <c r="N1164" i="4"/>
  <c r="O1164" i="4"/>
  <c r="P1164" i="4"/>
  <c r="Q1164" i="4"/>
  <c r="R1164" i="4"/>
  <c r="K1165" i="4"/>
  <c r="L1165" i="4"/>
  <c r="M1165" i="4"/>
  <c r="N1165" i="4"/>
  <c r="O1165" i="4"/>
  <c r="P1165" i="4"/>
  <c r="Q1165" i="4"/>
  <c r="R1165" i="4"/>
  <c r="K1166" i="4"/>
  <c r="L1166" i="4"/>
  <c r="M1166" i="4"/>
  <c r="N1166" i="4"/>
  <c r="O1166" i="4"/>
  <c r="P1166" i="4"/>
  <c r="Q1166" i="4"/>
  <c r="R1166" i="4"/>
  <c r="K1167" i="4"/>
  <c r="L1167" i="4"/>
  <c r="M1167" i="4"/>
  <c r="N1167" i="4"/>
  <c r="O1167" i="4"/>
  <c r="P1167" i="4"/>
  <c r="Q1167" i="4"/>
  <c r="R1167" i="4"/>
  <c r="K1168" i="4"/>
  <c r="L1168" i="4"/>
  <c r="M1168" i="4"/>
  <c r="N1168" i="4"/>
  <c r="O1168" i="4"/>
  <c r="P1168" i="4"/>
  <c r="Q1168" i="4"/>
  <c r="R1168" i="4"/>
  <c r="K1169" i="4"/>
  <c r="L1169" i="4"/>
  <c r="M1169" i="4"/>
  <c r="N1169" i="4"/>
  <c r="O1169" i="4"/>
  <c r="P1169" i="4"/>
  <c r="Q1169" i="4"/>
  <c r="R1169" i="4"/>
  <c r="K1170" i="4"/>
  <c r="L1170" i="4"/>
  <c r="M1170" i="4"/>
  <c r="N1170" i="4"/>
  <c r="O1170" i="4"/>
  <c r="P1170" i="4"/>
  <c r="Q1170" i="4"/>
  <c r="R1170" i="4"/>
  <c r="K1171" i="4"/>
  <c r="L1171" i="4"/>
  <c r="M1171" i="4"/>
  <c r="N1171" i="4"/>
  <c r="O1171" i="4"/>
  <c r="P1171" i="4"/>
  <c r="Q1171" i="4"/>
  <c r="R1171" i="4"/>
  <c r="K1172" i="4"/>
  <c r="L1172" i="4"/>
  <c r="M1172" i="4"/>
  <c r="N1172" i="4"/>
  <c r="O1172" i="4"/>
  <c r="P1172" i="4"/>
  <c r="Q1172" i="4"/>
  <c r="R1172" i="4"/>
  <c r="K1173" i="4"/>
  <c r="L1173" i="4"/>
  <c r="M1173" i="4"/>
  <c r="N1173" i="4"/>
  <c r="O1173" i="4"/>
  <c r="P1173" i="4"/>
  <c r="Q1173" i="4"/>
  <c r="R1173" i="4"/>
  <c r="K1174" i="4"/>
  <c r="L1174" i="4"/>
  <c r="M1174" i="4"/>
  <c r="N1174" i="4"/>
  <c r="O1174" i="4"/>
  <c r="P1174" i="4"/>
  <c r="Q1174" i="4"/>
  <c r="R1174" i="4"/>
  <c r="K1175" i="4"/>
  <c r="L1175" i="4"/>
  <c r="M1175" i="4"/>
  <c r="N1175" i="4"/>
  <c r="O1175" i="4"/>
  <c r="P1175" i="4"/>
  <c r="Q1175" i="4"/>
  <c r="R1175" i="4"/>
  <c r="K1176" i="4"/>
  <c r="L1176" i="4"/>
  <c r="M1176" i="4"/>
  <c r="N1176" i="4"/>
  <c r="O1176" i="4"/>
  <c r="P1176" i="4"/>
  <c r="Q1176" i="4"/>
  <c r="R1176" i="4"/>
  <c r="K1177" i="4"/>
  <c r="L1177" i="4"/>
  <c r="M1177" i="4"/>
  <c r="N1177" i="4"/>
  <c r="O1177" i="4"/>
  <c r="P1177" i="4"/>
  <c r="Q1177" i="4"/>
  <c r="R1177" i="4"/>
  <c r="K1178" i="4"/>
  <c r="L1178" i="4"/>
  <c r="M1178" i="4"/>
  <c r="N1178" i="4"/>
  <c r="O1178" i="4"/>
  <c r="P1178" i="4"/>
  <c r="Q1178" i="4"/>
  <c r="R1178" i="4"/>
  <c r="K1179" i="4"/>
  <c r="L1179" i="4"/>
  <c r="M1179" i="4"/>
  <c r="N1179" i="4"/>
  <c r="O1179" i="4"/>
  <c r="P1179" i="4"/>
  <c r="Q1179" i="4"/>
  <c r="R1179" i="4"/>
  <c r="K1180" i="4"/>
  <c r="L1180" i="4"/>
  <c r="M1180" i="4"/>
  <c r="N1180" i="4"/>
  <c r="O1180" i="4"/>
  <c r="P1180" i="4"/>
  <c r="Q1180" i="4"/>
  <c r="R1180" i="4"/>
  <c r="K1181" i="4"/>
  <c r="L1181" i="4"/>
  <c r="M1181" i="4"/>
  <c r="N1181" i="4"/>
  <c r="O1181" i="4"/>
  <c r="P1181" i="4"/>
  <c r="Q1181" i="4"/>
  <c r="R1181" i="4"/>
  <c r="K1182" i="4"/>
  <c r="L1182" i="4"/>
  <c r="M1182" i="4"/>
  <c r="N1182" i="4"/>
  <c r="O1182" i="4"/>
  <c r="P1182" i="4"/>
  <c r="Q1182" i="4"/>
  <c r="R1182" i="4"/>
  <c r="K1183" i="4"/>
  <c r="L1183" i="4"/>
  <c r="M1183" i="4"/>
  <c r="N1183" i="4"/>
  <c r="O1183" i="4"/>
  <c r="P1183" i="4"/>
  <c r="Q1183" i="4"/>
  <c r="R1183" i="4"/>
  <c r="K1184" i="4"/>
  <c r="L1184" i="4"/>
  <c r="M1184" i="4"/>
  <c r="N1184" i="4"/>
  <c r="O1184" i="4"/>
  <c r="P1184" i="4"/>
  <c r="Q1184" i="4"/>
  <c r="R1184" i="4"/>
  <c r="K1185" i="4"/>
  <c r="L1185" i="4"/>
  <c r="M1185" i="4"/>
  <c r="N1185" i="4"/>
  <c r="O1185" i="4"/>
  <c r="P1185" i="4"/>
  <c r="Q1185" i="4"/>
  <c r="R1185" i="4"/>
  <c r="K1186" i="4"/>
  <c r="L1186" i="4"/>
  <c r="M1186" i="4"/>
  <c r="N1186" i="4"/>
  <c r="O1186" i="4"/>
  <c r="P1186" i="4"/>
  <c r="Q1186" i="4"/>
  <c r="R1186" i="4"/>
  <c r="K1187" i="4"/>
  <c r="L1187" i="4"/>
  <c r="M1187" i="4"/>
  <c r="N1187" i="4"/>
  <c r="O1187" i="4"/>
  <c r="P1187" i="4"/>
  <c r="Q1187" i="4"/>
  <c r="R1187" i="4"/>
  <c r="K1188" i="4"/>
  <c r="L1188" i="4"/>
  <c r="M1188" i="4"/>
  <c r="N1188" i="4"/>
  <c r="O1188" i="4"/>
  <c r="P1188" i="4"/>
  <c r="Q1188" i="4"/>
  <c r="R1188" i="4"/>
  <c r="K1189" i="4"/>
  <c r="L1189" i="4"/>
  <c r="M1189" i="4"/>
  <c r="N1189" i="4"/>
  <c r="O1189" i="4"/>
  <c r="P1189" i="4"/>
  <c r="Q1189" i="4"/>
  <c r="R1189" i="4"/>
  <c r="K1190" i="4"/>
  <c r="L1190" i="4"/>
  <c r="M1190" i="4"/>
  <c r="N1190" i="4"/>
  <c r="O1190" i="4"/>
  <c r="P1190" i="4"/>
  <c r="Q1190" i="4"/>
  <c r="R1190" i="4"/>
  <c r="K1191" i="4"/>
  <c r="L1191" i="4"/>
  <c r="M1191" i="4"/>
  <c r="N1191" i="4"/>
  <c r="O1191" i="4"/>
  <c r="P1191" i="4"/>
  <c r="Q1191" i="4"/>
  <c r="R1191" i="4"/>
  <c r="K1192" i="4"/>
  <c r="L1192" i="4"/>
  <c r="M1192" i="4"/>
  <c r="N1192" i="4"/>
  <c r="O1192" i="4"/>
  <c r="P1192" i="4"/>
  <c r="Q1192" i="4"/>
  <c r="R1192" i="4"/>
  <c r="K1193" i="4"/>
  <c r="L1193" i="4"/>
  <c r="M1193" i="4"/>
  <c r="N1193" i="4"/>
  <c r="O1193" i="4"/>
  <c r="P1193" i="4"/>
  <c r="Q1193" i="4"/>
  <c r="R1193" i="4"/>
  <c r="K1194" i="4"/>
  <c r="L1194" i="4"/>
  <c r="M1194" i="4"/>
  <c r="N1194" i="4"/>
  <c r="O1194" i="4"/>
  <c r="P1194" i="4"/>
  <c r="Q1194" i="4"/>
  <c r="R1194" i="4"/>
  <c r="K1195" i="4"/>
  <c r="L1195" i="4"/>
  <c r="M1195" i="4"/>
  <c r="N1195" i="4"/>
  <c r="O1195" i="4"/>
  <c r="P1195" i="4"/>
  <c r="Q1195" i="4"/>
  <c r="R1195" i="4"/>
  <c r="K1196" i="4"/>
  <c r="L1196" i="4"/>
  <c r="M1196" i="4"/>
  <c r="N1196" i="4"/>
  <c r="O1196" i="4"/>
  <c r="P1196" i="4"/>
  <c r="Q1196" i="4"/>
  <c r="R1196" i="4"/>
  <c r="K1197" i="4"/>
  <c r="L1197" i="4"/>
  <c r="M1197" i="4"/>
  <c r="N1197" i="4"/>
  <c r="O1197" i="4"/>
  <c r="P1197" i="4"/>
  <c r="Q1197" i="4"/>
  <c r="R1197" i="4"/>
  <c r="K1198" i="4"/>
  <c r="L1198" i="4"/>
  <c r="M1198" i="4"/>
  <c r="N1198" i="4"/>
  <c r="O1198" i="4"/>
  <c r="P1198" i="4"/>
  <c r="Q1198" i="4"/>
  <c r="R1198" i="4"/>
  <c r="K1199" i="4"/>
  <c r="L1199" i="4"/>
  <c r="M1199" i="4"/>
  <c r="N1199" i="4"/>
  <c r="O1199" i="4"/>
  <c r="P1199" i="4"/>
  <c r="Q1199" i="4"/>
  <c r="R1199" i="4"/>
  <c r="K1200" i="4"/>
  <c r="L1200" i="4"/>
  <c r="M1200" i="4"/>
  <c r="N1200" i="4"/>
  <c r="O1200" i="4"/>
  <c r="P1200" i="4"/>
  <c r="Q1200" i="4"/>
  <c r="R1200" i="4"/>
  <c r="K1201" i="4"/>
  <c r="L1201" i="4"/>
  <c r="M1201" i="4"/>
  <c r="N1201" i="4"/>
  <c r="O1201" i="4"/>
  <c r="P1201" i="4"/>
  <c r="Q1201" i="4"/>
  <c r="R1201" i="4"/>
  <c r="K1202" i="4"/>
  <c r="L1202" i="4"/>
  <c r="M1202" i="4"/>
  <c r="N1202" i="4"/>
  <c r="O1202" i="4"/>
  <c r="P1202" i="4"/>
  <c r="Q1202" i="4"/>
  <c r="R1202" i="4"/>
  <c r="K1203" i="4"/>
  <c r="L1203" i="4"/>
  <c r="M1203" i="4"/>
  <c r="N1203" i="4"/>
  <c r="O1203" i="4"/>
  <c r="P1203" i="4"/>
  <c r="Q1203" i="4"/>
  <c r="R1203" i="4"/>
  <c r="K1204" i="4"/>
  <c r="L1204" i="4"/>
  <c r="M1204" i="4"/>
  <c r="N1204" i="4"/>
  <c r="O1204" i="4"/>
  <c r="P1204" i="4"/>
  <c r="Q1204" i="4"/>
  <c r="R1204" i="4"/>
  <c r="K1205" i="4"/>
  <c r="L1205" i="4"/>
  <c r="M1205" i="4"/>
  <c r="N1205" i="4"/>
  <c r="O1205" i="4"/>
  <c r="P1205" i="4"/>
  <c r="Q1205" i="4"/>
  <c r="R1205" i="4"/>
  <c r="K1206" i="4"/>
  <c r="L1206" i="4"/>
  <c r="M1206" i="4"/>
  <c r="N1206" i="4"/>
  <c r="O1206" i="4"/>
  <c r="P1206" i="4"/>
  <c r="Q1206" i="4"/>
  <c r="R1206" i="4"/>
  <c r="K1207" i="4"/>
  <c r="L1207" i="4"/>
  <c r="M1207" i="4"/>
  <c r="N1207" i="4"/>
  <c r="O1207" i="4"/>
  <c r="P1207" i="4"/>
  <c r="Q1207" i="4"/>
  <c r="R1207" i="4"/>
  <c r="K1208" i="4"/>
  <c r="L1208" i="4"/>
  <c r="M1208" i="4"/>
  <c r="N1208" i="4"/>
  <c r="O1208" i="4"/>
  <c r="P1208" i="4"/>
  <c r="Q1208" i="4"/>
  <c r="R1208" i="4"/>
  <c r="K1209" i="4"/>
  <c r="L1209" i="4"/>
  <c r="M1209" i="4"/>
  <c r="N1209" i="4"/>
  <c r="O1209" i="4"/>
  <c r="P1209" i="4"/>
  <c r="Q1209" i="4"/>
  <c r="R1209" i="4"/>
  <c r="K1210" i="4"/>
  <c r="L1210" i="4"/>
  <c r="M1210" i="4"/>
  <c r="N1210" i="4"/>
  <c r="O1210" i="4"/>
  <c r="P1210" i="4"/>
  <c r="Q1210" i="4"/>
  <c r="R1210" i="4"/>
  <c r="K1211" i="4"/>
  <c r="L1211" i="4"/>
  <c r="M1211" i="4"/>
  <c r="N1211" i="4"/>
  <c r="O1211" i="4"/>
  <c r="P1211" i="4"/>
  <c r="Q1211" i="4"/>
  <c r="R1211" i="4"/>
  <c r="K1212" i="4"/>
  <c r="L1212" i="4"/>
  <c r="M1212" i="4"/>
  <c r="N1212" i="4"/>
  <c r="O1212" i="4"/>
  <c r="P1212" i="4"/>
  <c r="Q1212" i="4"/>
  <c r="R1212" i="4"/>
  <c r="K1213" i="4"/>
  <c r="L1213" i="4"/>
  <c r="M1213" i="4"/>
  <c r="N1213" i="4"/>
  <c r="O1213" i="4"/>
  <c r="P1213" i="4"/>
  <c r="Q1213" i="4"/>
  <c r="R1213" i="4"/>
  <c r="K1214" i="4"/>
  <c r="L1214" i="4"/>
  <c r="M1214" i="4"/>
  <c r="N1214" i="4"/>
  <c r="O1214" i="4"/>
  <c r="P1214" i="4"/>
  <c r="Q1214" i="4"/>
  <c r="R1214" i="4"/>
  <c r="K1215" i="4"/>
  <c r="L1215" i="4"/>
  <c r="M1215" i="4"/>
  <c r="N1215" i="4"/>
  <c r="O1215" i="4"/>
  <c r="P1215" i="4"/>
  <c r="Q1215" i="4"/>
  <c r="R1215" i="4"/>
  <c r="K1216" i="4"/>
  <c r="L1216" i="4"/>
  <c r="M1216" i="4"/>
  <c r="N1216" i="4"/>
  <c r="O1216" i="4"/>
  <c r="P1216" i="4"/>
  <c r="Q1216" i="4"/>
  <c r="R1216" i="4"/>
  <c r="K1217" i="4"/>
  <c r="L1217" i="4"/>
  <c r="M1217" i="4"/>
  <c r="N1217" i="4"/>
  <c r="O1217" i="4"/>
  <c r="P1217" i="4"/>
  <c r="Q1217" i="4"/>
  <c r="R1217" i="4"/>
  <c r="K1218" i="4"/>
  <c r="L1218" i="4"/>
  <c r="M1218" i="4"/>
  <c r="N1218" i="4"/>
  <c r="O1218" i="4"/>
  <c r="P1218" i="4"/>
  <c r="Q1218" i="4"/>
  <c r="R1218" i="4"/>
  <c r="K1219" i="4"/>
  <c r="L1219" i="4"/>
  <c r="M1219" i="4"/>
  <c r="N1219" i="4"/>
  <c r="O1219" i="4"/>
  <c r="P1219" i="4"/>
  <c r="Q1219" i="4"/>
  <c r="R1219" i="4"/>
  <c r="K1220" i="4"/>
  <c r="L1220" i="4"/>
  <c r="M1220" i="4"/>
  <c r="N1220" i="4"/>
  <c r="O1220" i="4"/>
  <c r="P1220" i="4"/>
  <c r="Q1220" i="4"/>
  <c r="R1220" i="4"/>
  <c r="K1221" i="4"/>
  <c r="L1221" i="4"/>
  <c r="M1221" i="4"/>
  <c r="N1221" i="4"/>
  <c r="O1221" i="4"/>
  <c r="P1221" i="4"/>
  <c r="Q1221" i="4"/>
  <c r="R1221" i="4"/>
  <c r="K1222" i="4"/>
  <c r="L1222" i="4"/>
  <c r="M1222" i="4"/>
  <c r="N1222" i="4"/>
  <c r="O1222" i="4"/>
  <c r="P1222" i="4"/>
  <c r="Q1222" i="4"/>
  <c r="R1222" i="4"/>
  <c r="K1223" i="4"/>
  <c r="L1223" i="4"/>
  <c r="M1223" i="4"/>
  <c r="N1223" i="4"/>
  <c r="O1223" i="4"/>
  <c r="P1223" i="4"/>
  <c r="Q1223" i="4"/>
  <c r="R1223" i="4"/>
  <c r="K1224" i="4"/>
  <c r="L1224" i="4"/>
  <c r="M1224" i="4"/>
  <c r="N1224" i="4"/>
  <c r="O1224" i="4"/>
  <c r="P1224" i="4"/>
  <c r="Q1224" i="4"/>
  <c r="R1224" i="4"/>
  <c r="K1225" i="4"/>
  <c r="L1225" i="4"/>
  <c r="M1225" i="4"/>
  <c r="N1225" i="4"/>
  <c r="O1225" i="4"/>
  <c r="P1225" i="4"/>
  <c r="Q1225" i="4"/>
  <c r="R1225" i="4"/>
  <c r="K1226" i="4"/>
  <c r="L1226" i="4"/>
  <c r="M1226" i="4"/>
  <c r="N1226" i="4"/>
  <c r="O1226" i="4"/>
  <c r="P1226" i="4"/>
  <c r="Q1226" i="4"/>
  <c r="R1226" i="4"/>
  <c r="K1227" i="4"/>
  <c r="L1227" i="4"/>
  <c r="M1227" i="4"/>
  <c r="N1227" i="4"/>
  <c r="O1227" i="4"/>
  <c r="P1227" i="4"/>
  <c r="Q1227" i="4"/>
  <c r="R1227" i="4"/>
  <c r="K1228" i="4"/>
  <c r="L1228" i="4"/>
  <c r="M1228" i="4"/>
  <c r="N1228" i="4"/>
  <c r="O1228" i="4"/>
  <c r="P1228" i="4"/>
  <c r="Q1228" i="4"/>
  <c r="R1228" i="4"/>
  <c r="K1229" i="4"/>
  <c r="L1229" i="4"/>
  <c r="M1229" i="4"/>
  <c r="N1229" i="4"/>
  <c r="O1229" i="4"/>
  <c r="P1229" i="4"/>
  <c r="Q1229" i="4"/>
  <c r="R1229" i="4"/>
  <c r="K1230" i="4"/>
  <c r="L1230" i="4"/>
  <c r="M1230" i="4"/>
  <c r="N1230" i="4"/>
  <c r="O1230" i="4"/>
  <c r="P1230" i="4"/>
  <c r="Q1230" i="4"/>
  <c r="R1230" i="4"/>
  <c r="K1231" i="4"/>
  <c r="L1231" i="4"/>
  <c r="M1231" i="4"/>
  <c r="N1231" i="4"/>
  <c r="O1231" i="4"/>
  <c r="P1231" i="4"/>
  <c r="Q1231" i="4"/>
  <c r="R1231" i="4"/>
  <c r="K1232" i="4"/>
  <c r="L1232" i="4"/>
  <c r="M1232" i="4"/>
  <c r="N1232" i="4"/>
  <c r="O1232" i="4"/>
  <c r="P1232" i="4"/>
  <c r="Q1232" i="4"/>
  <c r="R1232" i="4"/>
  <c r="K1233" i="4"/>
  <c r="L1233" i="4"/>
  <c r="M1233" i="4"/>
  <c r="N1233" i="4"/>
  <c r="O1233" i="4"/>
  <c r="P1233" i="4"/>
  <c r="Q1233" i="4"/>
  <c r="R1233" i="4"/>
  <c r="K1234" i="4"/>
  <c r="L1234" i="4"/>
  <c r="M1234" i="4"/>
  <c r="N1234" i="4"/>
  <c r="O1234" i="4"/>
  <c r="P1234" i="4"/>
  <c r="Q1234" i="4"/>
  <c r="R1234" i="4"/>
  <c r="K1235" i="4"/>
  <c r="L1235" i="4"/>
  <c r="M1235" i="4"/>
  <c r="N1235" i="4"/>
  <c r="O1235" i="4"/>
  <c r="P1235" i="4"/>
  <c r="Q1235" i="4"/>
  <c r="R1235" i="4"/>
  <c r="K1236" i="4"/>
  <c r="L1236" i="4"/>
  <c r="M1236" i="4"/>
  <c r="N1236" i="4"/>
  <c r="O1236" i="4"/>
  <c r="P1236" i="4"/>
  <c r="Q1236" i="4"/>
  <c r="R1236" i="4"/>
  <c r="K1237" i="4"/>
  <c r="L1237" i="4"/>
  <c r="M1237" i="4"/>
  <c r="N1237" i="4"/>
  <c r="O1237" i="4"/>
  <c r="P1237" i="4"/>
  <c r="Q1237" i="4"/>
  <c r="R1237" i="4"/>
  <c r="K1238" i="4"/>
  <c r="L1238" i="4"/>
  <c r="M1238" i="4"/>
  <c r="N1238" i="4"/>
  <c r="O1238" i="4"/>
  <c r="P1238" i="4"/>
  <c r="Q1238" i="4"/>
  <c r="R1238" i="4"/>
  <c r="K1239" i="4"/>
  <c r="L1239" i="4"/>
  <c r="M1239" i="4"/>
  <c r="N1239" i="4"/>
  <c r="O1239" i="4"/>
  <c r="P1239" i="4"/>
  <c r="Q1239" i="4"/>
  <c r="R1239" i="4"/>
  <c r="K1240" i="4"/>
  <c r="L1240" i="4"/>
  <c r="M1240" i="4"/>
  <c r="N1240" i="4"/>
  <c r="O1240" i="4"/>
  <c r="P1240" i="4"/>
  <c r="Q1240" i="4"/>
  <c r="R1240" i="4"/>
  <c r="K1241" i="4"/>
  <c r="L1241" i="4"/>
  <c r="M1241" i="4"/>
  <c r="N1241" i="4"/>
  <c r="O1241" i="4"/>
  <c r="P1241" i="4"/>
  <c r="Q1241" i="4"/>
  <c r="R1241" i="4"/>
  <c r="K1242" i="4"/>
  <c r="L1242" i="4"/>
  <c r="M1242" i="4"/>
  <c r="N1242" i="4"/>
  <c r="O1242" i="4"/>
  <c r="P1242" i="4"/>
  <c r="Q1242" i="4"/>
  <c r="R1242" i="4"/>
  <c r="K1243" i="4"/>
  <c r="L1243" i="4"/>
  <c r="M1243" i="4"/>
  <c r="N1243" i="4"/>
  <c r="O1243" i="4"/>
  <c r="P1243" i="4"/>
  <c r="Q1243" i="4"/>
  <c r="R1243" i="4"/>
  <c r="K1244" i="4"/>
  <c r="L1244" i="4"/>
  <c r="M1244" i="4"/>
  <c r="N1244" i="4"/>
  <c r="O1244" i="4"/>
  <c r="P1244" i="4"/>
  <c r="Q1244" i="4"/>
  <c r="R1244" i="4"/>
  <c r="K1245" i="4"/>
  <c r="L1245" i="4"/>
  <c r="M1245" i="4"/>
  <c r="N1245" i="4"/>
  <c r="O1245" i="4"/>
  <c r="P1245" i="4"/>
  <c r="Q1245" i="4"/>
  <c r="R1245" i="4"/>
  <c r="K1246" i="4"/>
  <c r="L1246" i="4"/>
  <c r="M1246" i="4"/>
  <c r="N1246" i="4"/>
  <c r="O1246" i="4"/>
  <c r="P1246" i="4"/>
  <c r="Q1246" i="4"/>
  <c r="R1246" i="4"/>
  <c r="K1247" i="4"/>
  <c r="L1247" i="4"/>
  <c r="M1247" i="4"/>
  <c r="N1247" i="4"/>
  <c r="O1247" i="4"/>
  <c r="P1247" i="4"/>
  <c r="Q1247" i="4"/>
  <c r="R1247" i="4"/>
  <c r="K1248" i="4"/>
  <c r="L1248" i="4"/>
  <c r="M1248" i="4"/>
  <c r="N1248" i="4"/>
  <c r="O1248" i="4"/>
  <c r="P1248" i="4"/>
  <c r="Q1248" i="4"/>
  <c r="R1248" i="4"/>
  <c r="K1249" i="4"/>
  <c r="L1249" i="4"/>
  <c r="M1249" i="4"/>
  <c r="N1249" i="4"/>
  <c r="O1249" i="4"/>
  <c r="P1249" i="4"/>
  <c r="Q1249" i="4"/>
  <c r="R1249" i="4"/>
  <c r="K1250" i="4"/>
  <c r="L1250" i="4"/>
  <c r="M1250" i="4"/>
  <c r="N1250" i="4"/>
  <c r="O1250" i="4"/>
  <c r="P1250" i="4"/>
  <c r="Q1250" i="4"/>
  <c r="R1250" i="4"/>
  <c r="K1251" i="4"/>
  <c r="L1251" i="4"/>
  <c r="M1251" i="4"/>
  <c r="N1251" i="4"/>
  <c r="O1251" i="4"/>
  <c r="P1251" i="4"/>
  <c r="Q1251" i="4"/>
  <c r="R1251" i="4"/>
  <c r="K1252" i="4"/>
  <c r="L1252" i="4"/>
  <c r="M1252" i="4"/>
  <c r="N1252" i="4"/>
  <c r="O1252" i="4"/>
  <c r="P1252" i="4"/>
  <c r="Q1252" i="4"/>
  <c r="R1252" i="4"/>
  <c r="K1253" i="4"/>
  <c r="L1253" i="4"/>
  <c r="M1253" i="4"/>
  <c r="N1253" i="4"/>
  <c r="O1253" i="4"/>
  <c r="P1253" i="4"/>
  <c r="Q1253" i="4"/>
  <c r="R1253" i="4"/>
  <c r="K1254" i="4"/>
  <c r="L1254" i="4"/>
  <c r="M1254" i="4"/>
  <c r="N1254" i="4"/>
  <c r="O1254" i="4"/>
  <c r="P1254" i="4"/>
  <c r="Q1254" i="4"/>
  <c r="R1254" i="4"/>
  <c r="K1255" i="4"/>
  <c r="L1255" i="4"/>
  <c r="M1255" i="4"/>
  <c r="N1255" i="4"/>
  <c r="O1255" i="4"/>
  <c r="P1255" i="4"/>
  <c r="Q1255" i="4"/>
  <c r="R1255" i="4"/>
  <c r="K1256" i="4"/>
  <c r="L1256" i="4"/>
  <c r="M1256" i="4"/>
  <c r="N1256" i="4"/>
  <c r="O1256" i="4"/>
  <c r="P1256" i="4"/>
  <c r="Q1256" i="4"/>
  <c r="R1256" i="4"/>
  <c r="K1257" i="4"/>
  <c r="L1257" i="4"/>
  <c r="M1257" i="4"/>
  <c r="N1257" i="4"/>
  <c r="O1257" i="4"/>
  <c r="P1257" i="4"/>
  <c r="Q1257" i="4"/>
  <c r="R1257" i="4"/>
  <c r="K1258" i="4"/>
  <c r="L1258" i="4"/>
  <c r="M1258" i="4"/>
  <c r="N1258" i="4"/>
  <c r="O1258" i="4"/>
  <c r="P1258" i="4"/>
  <c r="Q1258" i="4"/>
  <c r="R1258" i="4"/>
  <c r="K1259" i="4"/>
  <c r="L1259" i="4"/>
  <c r="M1259" i="4"/>
  <c r="N1259" i="4"/>
  <c r="O1259" i="4"/>
  <c r="P1259" i="4"/>
  <c r="Q1259" i="4"/>
  <c r="R1259" i="4"/>
  <c r="K1260" i="4"/>
  <c r="L1260" i="4"/>
  <c r="M1260" i="4"/>
  <c r="N1260" i="4"/>
  <c r="O1260" i="4"/>
  <c r="P1260" i="4"/>
  <c r="Q1260" i="4"/>
  <c r="R1260" i="4"/>
  <c r="K1261" i="4"/>
  <c r="L1261" i="4"/>
  <c r="M1261" i="4"/>
  <c r="N1261" i="4"/>
  <c r="O1261" i="4"/>
  <c r="P1261" i="4"/>
  <c r="Q1261" i="4"/>
  <c r="R1261" i="4"/>
  <c r="K1262" i="4"/>
  <c r="L1262" i="4"/>
  <c r="M1262" i="4"/>
  <c r="N1262" i="4"/>
  <c r="O1262" i="4"/>
  <c r="P1262" i="4"/>
  <c r="Q1262" i="4"/>
  <c r="R1262" i="4"/>
  <c r="K1263" i="4"/>
  <c r="L1263" i="4"/>
  <c r="M1263" i="4"/>
  <c r="N1263" i="4"/>
  <c r="O1263" i="4"/>
  <c r="P1263" i="4"/>
  <c r="Q1263" i="4"/>
  <c r="R1263" i="4"/>
  <c r="K1264" i="4"/>
  <c r="L1264" i="4"/>
  <c r="M1264" i="4"/>
  <c r="N1264" i="4"/>
  <c r="O1264" i="4"/>
  <c r="P1264" i="4"/>
  <c r="Q1264" i="4"/>
  <c r="R1264" i="4"/>
  <c r="K1265" i="4"/>
  <c r="L1265" i="4"/>
  <c r="M1265" i="4"/>
  <c r="N1265" i="4"/>
  <c r="O1265" i="4"/>
  <c r="P1265" i="4"/>
  <c r="Q1265" i="4"/>
  <c r="R1265" i="4"/>
  <c r="K1266" i="4"/>
  <c r="L1266" i="4"/>
  <c r="M1266" i="4"/>
  <c r="N1266" i="4"/>
  <c r="O1266" i="4"/>
  <c r="P1266" i="4"/>
  <c r="Q1266" i="4"/>
  <c r="R1266" i="4"/>
  <c r="K1267" i="4"/>
  <c r="L1267" i="4"/>
  <c r="M1267" i="4"/>
  <c r="N1267" i="4"/>
  <c r="O1267" i="4"/>
  <c r="P1267" i="4"/>
  <c r="Q1267" i="4"/>
  <c r="R1267" i="4"/>
  <c r="K1268" i="4"/>
  <c r="L1268" i="4"/>
  <c r="M1268" i="4"/>
  <c r="N1268" i="4"/>
  <c r="O1268" i="4"/>
  <c r="P1268" i="4"/>
  <c r="Q1268" i="4"/>
  <c r="R1268" i="4"/>
  <c r="K1269" i="4"/>
  <c r="L1269" i="4"/>
  <c r="M1269" i="4"/>
  <c r="N1269" i="4"/>
  <c r="O1269" i="4"/>
  <c r="P1269" i="4"/>
  <c r="Q1269" i="4"/>
  <c r="R1269" i="4"/>
  <c r="K1270" i="4"/>
  <c r="L1270" i="4"/>
  <c r="M1270" i="4"/>
  <c r="N1270" i="4"/>
  <c r="O1270" i="4"/>
  <c r="P1270" i="4"/>
  <c r="Q1270" i="4"/>
  <c r="R1270" i="4"/>
  <c r="K1271" i="4"/>
  <c r="L1271" i="4"/>
  <c r="M1271" i="4"/>
  <c r="N1271" i="4"/>
  <c r="O1271" i="4"/>
  <c r="P1271" i="4"/>
  <c r="Q1271" i="4"/>
  <c r="R1271" i="4"/>
  <c r="K1272" i="4"/>
  <c r="L1272" i="4"/>
  <c r="M1272" i="4"/>
  <c r="N1272" i="4"/>
  <c r="O1272" i="4"/>
  <c r="P1272" i="4"/>
  <c r="Q1272" i="4"/>
  <c r="R1272" i="4"/>
  <c r="K1273" i="4"/>
  <c r="L1273" i="4"/>
  <c r="M1273" i="4"/>
  <c r="N1273" i="4"/>
  <c r="O1273" i="4"/>
  <c r="P1273" i="4"/>
  <c r="Q1273" i="4"/>
  <c r="R1273" i="4"/>
  <c r="K1274" i="4"/>
  <c r="L1274" i="4"/>
  <c r="M1274" i="4"/>
  <c r="N1274" i="4"/>
  <c r="O1274" i="4"/>
  <c r="P1274" i="4"/>
  <c r="Q1274" i="4"/>
  <c r="R1274" i="4"/>
  <c r="K1275" i="4"/>
  <c r="L1275" i="4"/>
  <c r="M1275" i="4"/>
  <c r="N1275" i="4"/>
  <c r="O1275" i="4"/>
  <c r="P1275" i="4"/>
  <c r="Q1275" i="4"/>
  <c r="R1275" i="4"/>
  <c r="K1276" i="4"/>
  <c r="L1276" i="4"/>
  <c r="M1276" i="4"/>
  <c r="N1276" i="4"/>
  <c r="O1276" i="4"/>
  <c r="P1276" i="4"/>
  <c r="Q1276" i="4"/>
  <c r="R1276" i="4"/>
  <c r="K1277" i="4"/>
  <c r="L1277" i="4"/>
  <c r="M1277" i="4"/>
  <c r="N1277" i="4"/>
  <c r="O1277" i="4"/>
  <c r="P1277" i="4"/>
  <c r="Q1277" i="4"/>
  <c r="R1277" i="4"/>
  <c r="K1278" i="4"/>
  <c r="L1278" i="4"/>
  <c r="M1278" i="4"/>
  <c r="N1278" i="4"/>
  <c r="O1278" i="4"/>
  <c r="P1278" i="4"/>
  <c r="Q1278" i="4"/>
  <c r="R1278" i="4"/>
  <c r="K1279" i="4"/>
  <c r="L1279" i="4"/>
  <c r="M1279" i="4"/>
  <c r="N1279" i="4"/>
  <c r="O1279" i="4"/>
  <c r="P1279" i="4"/>
  <c r="Q1279" i="4"/>
  <c r="R1279" i="4"/>
  <c r="K1280" i="4"/>
  <c r="L1280" i="4"/>
  <c r="M1280" i="4"/>
  <c r="N1280" i="4"/>
  <c r="O1280" i="4"/>
  <c r="P1280" i="4"/>
  <c r="Q1280" i="4"/>
  <c r="R1280" i="4"/>
  <c r="K1281" i="4"/>
  <c r="L1281" i="4"/>
  <c r="M1281" i="4"/>
  <c r="N1281" i="4"/>
  <c r="O1281" i="4"/>
  <c r="P1281" i="4"/>
  <c r="Q1281" i="4"/>
  <c r="R1281" i="4"/>
  <c r="K1282" i="4"/>
  <c r="L1282" i="4"/>
  <c r="M1282" i="4"/>
  <c r="N1282" i="4"/>
  <c r="O1282" i="4"/>
  <c r="P1282" i="4"/>
  <c r="Q1282" i="4"/>
  <c r="R1282" i="4"/>
  <c r="K1283" i="4"/>
  <c r="L1283" i="4"/>
  <c r="M1283" i="4"/>
  <c r="N1283" i="4"/>
  <c r="O1283" i="4"/>
  <c r="P1283" i="4"/>
  <c r="Q1283" i="4"/>
  <c r="R1283" i="4"/>
  <c r="K1284" i="4"/>
  <c r="L1284" i="4"/>
  <c r="M1284" i="4"/>
  <c r="N1284" i="4"/>
  <c r="O1284" i="4"/>
  <c r="P1284" i="4"/>
  <c r="Q1284" i="4"/>
  <c r="R1284" i="4"/>
  <c r="K1285" i="4"/>
  <c r="L1285" i="4"/>
  <c r="M1285" i="4"/>
  <c r="N1285" i="4"/>
  <c r="O1285" i="4"/>
  <c r="P1285" i="4"/>
  <c r="Q1285" i="4"/>
  <c r="R1285" i="4"/>
  <c r="K1286" i="4"/>
  <c r="L1286" i="4"/>
  <c r="M1286" i="4"/>
  <c r="N1286" i="4"/>
  <c r="O1286" i="4"/>
  <c r="P1286" i="4"/>
  <c r="Q1286" i="4"/>
  <c r="R1286" i="4"/>
  <c r="K1287" i="4"/>
  <c r="L1287" i="4"/>
  <c r="M1287" i="4"/>
  <c r="N1287" i="4"/>
  <c r="O1287" i="4"/>
  <c r="P1287" i="4"/>
  <c r="Q1287" i="4"/>
  <c r="R1287" i="4"/>
  <c r="K1288" i="4"/>
  <c r="L1288" i="4"/>
  <c r="M1288" i="4"/>
  <c r="N1288" i="4"/>
  <c r="O1288" i="4"/>
  <c r="P1288" i="4"/>
  <c r="Q1288" i="4"/>
  <c r="R1288" i="4"/>
  <c r="K1289" i="4"/>
  <c r="L1289" i="4"/>
  <c r="M1289" i="4"/>
  <c r="N1289" i="4"/>
  <c r="O1289" i="4"/>
  <c r="P1289" i="4"/>
  <c r="Q1289" i="4"/>
  <c r="R1289" i="4"/>
  <c r="K1290" i="4"/>
  <c r="L1290" i="4"/>
  <c r="M1290" i="4"/>
  <c r="N1290" i="4"/>
  <c r="O1290" i="4"/>
  <c r="P1290" i="4"/>
  <c r="Q1290" i="4"/>
  <c r="R1290" i="4"/>
  <c r="K1291" i="4"/>
  <c r="L1291" i="4"/>
  <c r="M1291" i="4"/>
  <c r="N1291" i="4"/>
  <c r="O1291" i="4"/>
  <c r="P1291" i="4"/>
  <c r="Q1291" i="4"/>
  <c r="R1291" i="4"/>
  <c r="K1292" i="4"/>
  <c r="L1292" i="4"/>
  <c r="M1292" i="4"/>
  <c r="N1292" i="4"/>
  <c r="O1292" i="4"/>
  <c r="P1292" i="4"/>
  <c r="Q1292" i="4"/>
  <c r="R1292" i="4"/>
  <c r="K1293" i="4"/>
  <c r="L1293" i="4"/>
  <c r="M1293" i="4"/>
  <c r="N1293" i="4"/>
  <c r="O1293" i="4"/>
  <c r="P1293" i="4"/>
  <c r="Q1293" i="4"/>
  <c r="R1293" i="4"/>
  <c r="K1294" i="4"/>
  <c r="L1294" i="4"/>
  <c r="M1294" i="4"/>
  <c r="N1294" i="4"/>
  <c r="O1294" i="4"/>
  <c r="P1294" i="4"/>
  <c r="Q1294" i="4"/>
  <c r="R1294" i="4"/>
  <c r="K1295" i="4"/>
  <c r="L1295" i="4"/>
  <c r="M1295" i="4"/>
  <c r="N1295" i="4"/>
  <c r="O1295" i="4"/>
  <c r="P1295" i="4"/>
  <c r="Q1295" i="4"/>
  <c r="R1295" i="4"/>
  <c r="K1296" i="4"/>
  <c r="L1296" i="4"/>
  <c r="M1296" i="4"/>
  <c r="N1296" i="4"/>
  <c r="O1296" i="4"/>
  <c r="P1296" i="4"/>
  <c r="Q1296" i="4"/>
  <c r="R1296" i="4"/>
  <c r="K1297" i="4"/>
  <c r="L1297" i="4"/>
  <c r="M1297" i="4"/>
  <c r="N1297" i="4"/>
  <c r="O1297" i="4"/>
  <c r="P1297" i="4"/>
  <c r="Q1297" i="4"/>
  <c r="R1297" i="4"/>
  <c r="K1298" i="4"/>
  <c r="L1298" i="4"/>
  <c r="M1298" i="4"/>
  <c r="N1298" i="4"/>
  <c r="O1298" i="4"/>
  <c r="P1298" i="4"/>
  <c r="Q1298" i="4"/>
  <c r="R1298" i="4"/>
  <c r="K1299" i="4"/>
  <c r="L1299" i="4"/>
  <c r="M1299" i="4"/>
  <c r="N1299" i="4"/>
  <c r="O1299" i="4"/>
  <c r="P1299" i="4"/>
  <c r="Q1299" i="4"/>
  <c r="R1299" i="4"/>
  <c r="K1300" i="4"/>
  <c r="L1300" i="4"/>
  <c r="M1300" i="4"/>
  <c r="N1300" i="4"/>
  <c r="O1300" i="4"/>
  <c r="P1300" i="4"/>
  <c r="Q1300" i="4"/>
  <c r="R1300" i="4"/>
  <c r="K1301" i="4"/>
  <c r="L1301" i="4"/>
  <c r="M1301" i="4"/>
  <c r="N1301" i="4"/>
  <c r="O1301" i="4"/>
  <c r="P1301" i="4"/>
  <c r="Q1301" i="4"/>
  <c r="R1301" i="4"/>
  <c r="K1302" i="4"/>
  <c r="L1302" i="4"/>
  <c r="M1302" i="4"/>
  <c r="N1302" i="4"/>
  <c r="O1302" i="4"/>
  <c r="P1302" i="4"/>
  <c r="Q1302" i="4"/>
  <c r="R1302" i="4"/>
  <c r="K1303" i="4"/>
  <c r="L1303" i="4"/>
  <c r="M1303" i="4"/>
  <c r="N1303" i="4"/>
  <c r="O1303" i="4"/>
  <c r="P1303" i="4"/>
  <c r="Q1303" i="4"/>
  <c r="R1303" i="4"/>
  <c r="K1304" i="4"/>
  <c r="L1304" i="4"/>
  <c r="M1304" i="4"/>
  <c r="N1304" i="4"/>
  <c r="O1304" i="4"/>
  <c r="P1304" i="4"/>
  <c r="Q1304" i="4"/>
  <c r="R1304" i="4"/>
  <c r="K1305" i="4"/>
  <c r="L1305" i="4"/>
  <c r="M1305" i="4"/>
  <c r="N1305" i="4"/>
  <c r="O1305" i="4"/>
  <c r="P1305" i="4"/>
  <c r="Q1305" i="4"/>
  <c r="R1305" i="4"/>
  <c r="K1306" i="4"/>
  <c r="L1306" i="4"/>
  <c r="M1306" i="4"/>
  <c r="N1306" i="4"/>
  <c r="O1306" i="4"/>
  <c r="P1306" i="4"/>
  <c r="Q1306" i="4"/>
  <c r="R1306" i="4"/>
  <c r="K1307" i="4"/>
  <c r="L1307" i="4"/>
  <c r="M1307" i="4"/>
  <c r="N1307" i="4"/>
  <c r="O1307" i="4"/>
  <c r="P1307" i="4"/>
  <c r="Q1307" i="4"/>
  <c r="R1307" i="4"/>
  <c r="K1308" i="4"/>
  <c r="L1308" i="4"/>
  <c r="M1308" i="4"/>
  <c r="N1308" i="4"/>
  <c r="O1308" i="4"/>
  <c r="P1308" i="4"/>
  <c r="Q1308" i="4"/>
  <c r="R1308" i="4"/>
  <c r="K1309" i="4"/>
  <c r="L1309" i="4"/>
  <c r="M1309" i="4"/>
  <c r="N1309" i="4"/>
  <c r="O1309" i="4"/>
  <c r="P1309" i="4"/>
  <c r="Q1309" i="4"/>
  <c r="R1309" i="4"/>
  <c r="K1310" i="4"/>
  <c r="L1310" i="4"/>
  <c r="M1310" i="4"/>
  <c r="N1310" i="4"/>
  <c r="O1310" i="4"/>
  <c r="P1310" i="4"/>
  <c r="Q1310" i="4"/>
  <c r="R1310" i="4"/>
  <c r="K1311" i="4"/>
  <c r="L1311" i="4"/>
  <c r="M1311" i="4"/>
  <c r="N1311" i="4"/>
  <c r="O1311" i="4"/>
  <c r="P1311" i="4"/>
  <c r="Q1311" i="4"/>
  <c r="R1311" i="4"/>
  <c r="K1312" i="4"/>
  <c r="L1312" i="4"/>
  <c r="M1312" i="4"/>
  <c r="N1312" i="4"/>
  <c r="O1312" i="4"/>
  <c r="P1312" i="4"/>
  <c r="Q1312" i="4"/>
  <c r="R1312" i="4"/>
  <c r="K1313" i="4"/>
  <c r="L1313" i="4"/>
  <c r="M1313" i="4"/>
  <c r="N1313" i="4"/>
  <c r="O1313" i="4"/>
  <c r="P1313" i="4"/>
  <c r="Q1313" i="4"/>
  <c r="R1313" i="4"/>
  <c r="K1314" i="4"/>
  <c r="L1314" i="4"/>
  <c r="M1314" i="4"/>
  <c r="N1314" i="4"/>
  <c r="O1314" i="4"/>
  <c r="P1314" i="4"/>
  <c r="Q1314" i="4"/>
  <c r="R1314" i="4"/>
  <c r="K1315" i="4"/>
  <c r="L1315" i="4"/>
  <c r="M1315" i="4"/>
  <c r="N1315" i="4"/>
  <c r="O1315" i="4"/>
  <c r="P1315" i="4"/>
  <c r="Q1315" i="4"/>
  <c r="R1315" i="4"/>
  <c r="K1316" i="4"/>
  <c r="L1316" i="4"/>
  <c r="M1316" i="4"/>
  <c r="N1316" i="4"/>
  <c r="O1316" i="4"/>
  <c r="P1316" i="4"/>
  <c r="Q1316" i="4"/>
  <c r="R1316" i="4"/>
  <c r="K1317" i="4"/>
  <c r="L1317" i="4"/>
  <c r="M1317" i="4"/>
  <c r="N1317" i="4"/>
  <c r="O1317" i="4"/>
  <c r="P1317" i="4"/>
  <c r="Q1317" i="4"/>
  <c r="R1317" i="4"/>
  <c r="K1318" i="4"/>
  <c r="L1318" i="4"/>
  <c r="M1318" i="4"/>
  <c r="N1318" i="4"/>
  <c r="O1318" i="4"/>
  <c r="P1318" i="4"/>
  <c r="Q1318" i="4"/>
  <c r="R1318" i="4"/>
  <c r="K1319" i="4"/>
  <c r="L1319" i="4"/>
  <c r="M1319" i="4"/>
  <c r="N1319" i="4"/>
  <c r="O1319" i="4"/>
  <c r="P1319" i="4"/>
  <c r="Q1319" i="4"/>
  <c r="R1319" i="4"/>
  <c r="K1320" i="4"/>
  <c r="L1320" i="4"/>
  <c r="M1320" i="4"/>
  <c r="N1320" i="4"/>
  <c r="O1320" i="4"/>
  <c r="P1320" i="4"/>
  <c r="Q1320" i="4"/>
  <c r="R1320" i="4"/>
  <c r="K1321" i="4"/>
  <c r="L1321" i="4"/>
  <c r="M1321" i="4"/>
  <c r="N1321" i="4"/>
  <c r="O1321" i="4"/>
  <c r="P1321" i="4"/>
  <c r="Q1321" i="4"/>
  <c r="R1321" i="4"/>
  <c r="K1322" i="4"/>
  <c r="L1322" i="4"/>
  <c r="M1322" i="4"/>
  <c r="N1322" i="4"/>
  <c r="O1322" i="4"/>
  <c r="P1322" i="4"/>
  <c r="Q1322" i="4"/>
  <c r="R1322" i="4"/>
  <c r="K1323" i="4"/>
  <c r="L1323" i="4"/>
  <c r="M1323" i="4"/>
  <c r="N1323" i="4"/>
  <c r="O1323" i="4"/>
  <c r="P1323" i="4"/>
  <c r="Q1323" i="4"/>
  <c r="R1323" i="4"/>
  <c r="K1324" i="4"/>
  <c r="L1324" i="4"/>
  <c r="M1324" i="4"/>
  <c r="N1324" i="4"/>
  <c r="O1324" i="4"/>
  <c r="P1324" i="4"/>
  <c r="Q1324" i="4"/>
  <c r="R1324" i="4"/>
  <c r="K1325" i="4"/>
  <c r="L1325" i="4"/>
  <c r="M1325" i="4"/>
  <c r="N1325" i="4"/>
  <c r="O1325" i="4"/>
  <c r="P1325" i="4"/>
  <c r="Q1325" i="4"/>
  <c r="R1325" i="4"/>
  <c r="K1326" i="4"/>
  <c r="L1326" i="4"/>
  <c r="M1326" i="4"/>
  <c r="N1326" i="4"/>
  <c r="O1326" i="4"/>
  <c r="P1326" i="4"/>
  <c r="Q1326" i="4"/>
  <c r="R1326" i="4"/>
  <c r="K1327" i="4"/>
  <c r="L1327" i="4"/>
  <c r="M1327" i="4"/>
  <c r="N1327" i="4"/>
  <c r="O1327" i="4"/>
  <c r="P1327" i="4"/>
  <c r="Q1327" i="4"/>
  <c r="R1327" i="4"/>
  <c r="K1328" i="4"/>
  <c r="L1328" i="4"/>
  <c r="M1328" i="4"/>
  <c r="N1328" i="4"/>
  <c r="O1328" i="4"/>
  <c r="P1328" i="4"/>
  <c r="Q1328" i="4"/>
  <c r="R1328" i="4"/>
  <c r="K1329" i="4"/>
  <c r="L1329" i="4"/>
  <c r="M1329" i="4"/>
  <c r="N1329" i="4"/>
  <c r="O1329" i="4"/>
  <c r="P1329" i="4"/>
  <c r="Q1329" i="4"/>
  <c r="R1329" i="4"/>
  <c r="K1330" i="4"/>
  <c r="L1330" i="4"/>
  <c r="M1330" i="4"/>
  <c r="N1330" i="4"/>
  <c r="O1330" i="4"/>
  <c r="P1330" i="4"/>
  <c r="Q1330" i="4"/>
  <c r="R1330" i="4"/>
  <c r="K1331" i="4"/>
  <c r="L1331" i="4"/>
  <c r="M1331" i="4"/>
  <c r="N1331" i="4"/>
  <c r="O1331" i="4"/>
  <c r="P1331" i="4"/>
  <c r="Q1331" i="4"/>
  <c r="R1331" i="4"/>
  <c r="K1332" i="4"/>
  <c r="L1332" i="4"/>
  <c r="M1332" i="4"/>
  <c r="N1332" i="4"/>
  <c r="O1332" i="4"/>
  <c r="P1332" i="4"/>
  <c r="Q1332" i="4"/>
  <c r="R1332" i="4"/>
  <c r="K1333" i="4"/>
  <c r="L1333" i="4"/>
  <c r="M1333" i="4"/>
  <c r="N1333" i="4"/>
  <c r="O1333" i="4"/>
  <c r="P1333" i="4"/>
  <c r="Q1333" i="4"/>
  <c r="R1333" i="4"/>
  <c r="K1334" i="4"/>
  <c r="L1334" i="4"/>
  <c r="M1334" i="4"/>
  <c r="N1334" i="4"/>
  <c r="O1334" i="4"/>
  <c r="P1334" i="4"/>
  <c r="Q1334" i="4"/>
  <c r="R1334" i="4"/>
  <c r="K1335" i="4"/>
  <c r="L1335" i="4"/>
  <c r="M1335" i="4"/>
  <c r="N1335" i="4"/>
  <c r="O1335" i="4"/>
  <c r="P1335" i="4"/>
  <c r="Q1335" i="4"/>
  <c r="R1335" i="4"/>
  <c r="K1336" i="4"/>
  <c r="L1336" i="4"/>
  <c r="M1336" i="4"/>
  <c r="N1336" i="4"/>
  <c r="O1336" i="4"/>
  <c r="P1336" i="4"/>
  <c r="Q1336" i="4"/>
  <c r="R1336" i="4"/>
  <c r="K1337" i="4"/>
  <c r="L1337" i="4"/>
  <c r="M1337" i="4"/>
  <c r="N1337" i="4"/>
  <c r="O1337" i="4"/>
  <c r="P1337" i="4"/>
  <c r="Q1337" i="4"/>
  <c r="R1337" i="4"/>
  <c r="K1338" i="4"/>
  <c r="L1338" i="4"/>
  <c r="M1338" i="4"/>
  <c r="N1338" i="4"/>
  <c r="O1338" i="4"/>
  <c r="P1338" i="4"/>
  <c r="Q1338" i="4"/>
  <c r="R1338" i="4"/>
  <c r="K1339" i="4"/>
  <c r="L1339" i="4"/>
  <c r="M1339" i="4"/>
  <c r="N1339" i="4"/>
  <c r="O1339" i="4"/>
  <c r="P1339" i="4"/>
  <c r="Q1339" i="4"/>
  <c r="R1339" i="4"/>
  <c r="K1340" i="4"/>
  <c r="L1340" i="4"/>
  <c r="M1340" i="4"/>
  <c r="N1340" i="4"/>
  <c r="O1340" i="4"/>
  <c r="P1340" i="4"/>
  <c r="Q1340" i="4"/>
  <c r="R1340" i="4"/>
  <c r="K1341" i="4"/>
  <c r="L1341" i="4"/>
  <c r="M1341" i="4"/>
  <c r="N1341" i="4"/>
  <c r="O1341" i="4"/>
  <c r="P1341" i="4"/>
  <c r="Q1341" i="4"/>
  <c r="R1341" i="4"/>
  <c r="K1342" i="4"/>
  <c r="L1342" i="4"/>
  <c r="M1342" i="4"/>
  <c r="N1342" i="4"/>
  <c r="O1342" i="4"/>
  <c r="P1342" i="4"/>
  <c r="Q1342" i="4"/>
  <c r="R1342" i="4"/>
  <c r="K1343" i="4"/>
  <c r="L1343" i="4"/>
  <c r="M1343" i="4"/>
  <c r="N1343" i="4"/>
  <c r="O1343" i="4"/>
  <c r="P1343" i="4"/>
  <c r="Q1343" i="4"/>
  <c r="R1343" i="4"/>
  <c r="K1344" i="4"/>
  <c r="L1344" i="4"/>
  <c r="M1344" i="4"/>
  <c r="N1344" i="4"/>
  <c r="O1344" i="4"/>
  <c r="P1344" i="4"/>
  <c r="Q1344" i="4"/>
  <c r="R1344" i="4"/>
  <c r="K1345" i="4"/>
  <c r="L1345" i="4"/>
  <c r="M1345" i="4"/>
  <c r="N1345" i="4"/>
  <c r="O1345" i="4"/>
  <c r="P1345" i="4"/>
  <c r="Q1345" i="4"/>
  <c r="R1345" i="4"/>
  <c r="K1346" i="4"/>
  <c r="L1346" i="4"/>
  <c r="M1346" i="4"/>
  <c r="N1346" i="4"/>
  <c r="O1346" i="4"/>
  <c r="P1346" i="4"/>
  <c r="Q1346" i="4"/>
  <c r="R1346" i="4"/>
  <c r="K1347" i="4"/>
  <c r="L1347" i="4"/>
  <c r="M1347" i="4"/>
  <c r="N1347" i="4"/>
  <c r="O1347" i="4"/>
  <c r="P1347" i="4"/>
  <c r="Q1347" i="4"/>
  <c r="R1347" i="4"/>
  <c r="K1348" i="4"/>
  <c r="L1348" i="4"/>
  <c r="M1348" i="4"/>
  <c r="N1348" i="4"/>
  <c r="O1348" i="4"/>
  <c r="P1348" i="4"/>
  <c r="Q1348" i="4"/>
  <c r="R1348" i="4"/>
  <c r="K1349" i="4"/>
  <c r="L1349" i="4"/>
  <c r="M1349" i="4"/>
  <c r="N1349" i="4"/>
  <c r="O1349" i="4"/>
  <c r="P1349" i="4"/>
  <c r="Q1349" i="4"/>
  <c r="R1349" i="4"/>
  <c r="K1350" i="4"/>
  <c r="L1350" i="4"/>
  <c r="M1350" i="4"/>
  <c r="N1350" i="4"/>
  <c r="O1350" i="4"/>
  <c r="P1350" i="4"/>
  <c r="Q1350" i="4"/>
  <c r="R1350" i="4"/>
  <c r="K1351" i="4"/>
  <c r="L1351" i="4"/>
  <c r="M1351" i="4"/>
  <c r="N1351" i="4"/>
  <c r="O1351" i="4"/>
  <c r="P1351" i="4"/>
  <c r="Q1351" i="4"/>
  <c r="R1351" i="4"/>
  <c r="K1352" i="4"/>
  <c r="L1352" i="4"/>
  <c r="M1352" i="4"/>
  <c r="N1352" i="4"/>
  <c r="O1352" i="4"/>
  <c r="P1352" i="4"/>
  <c r="Q1352" i="4"/>
  <c r="R1352" i="4"/>
  <c r="K1353" i="4"/>
  <c r="L1353" i="4"/>
  <c r="M1353" i="4"/>
  <c r="N1353" i="4"/>
  <c r="O1353" i="4"/>
  <c r="P1353" i="4"/>
  <c r="Q1353" i="4"/>
  <c r="R1353" i="4"/>
  <c r="K1354" i="4"/>
  <c r="L1354" i="4"/>
  <c r="M1354" i="4"/>
  <c r="N1354" i="4"/>
  <c r="O1354" i="4"/>
  <c r="P1354" i="4"/>
  <c r="Q1354" i="4"/>
  <c r="R1354" i="4"/>
  <c r="K1355" i="4"/>
  <c r="L1355" i="4"/>
  <c r="M1355" i="4"/>
  <c r="N1355" i="4"/>
  <c r="O1355" i="4"/>
  <c r="P1355" i="4"/>
  <c r="Q1355" i="4"/>
  <c r="R1355" i="4"/>
  <c r="K1356" i="4"/>
  <c r="L1356" i="4"/>
  <c r="M1356" i="4"/>
  <c r="N1356" i="4"/>
  <c r="O1356" i="4"/>
  <c r="P1356" i="4"/>
  <c r="Q1356" i="4"/>
  <c r="R1356" i="4"/>
  <c r="K1357" i="4"/>
  <c r="L1357" i="4"/>
  <c r="M1357" i="4"/>
  <c r="N1357" i="4"/>
  <c r="O1357" i="4"/>
  <c r="P1357" i="4"/>
  <c r="Q1357" i="4"/>
  <c r="R1357" i="4"/>
  <c r="K1358" i="4"/>
  <c r="L1358" i="4"/>
  <c r="M1358" i="4"/>
  <c r="N1358" i="4"/>
  <c r="O1358" i="4"/>
  <c r="P1358" i="4"/>
  <c r="Q1358" i="4"/>
  <c r="R1358" i="4"/>
  <c r="K1359" i="4"/>
  <c r="L1359" i="4"/>
  <c r="M1359" i="4"/>
  <c r="N1359" i="4"/>
  <c r="O1359" i="4"/>
  <c r="P1359" i="4"/>
  <c r="Q1359" i="4"/>
  <c r="R1359" i="4"/>
  <c r="K1360" i="4"/>
  <c r="L1360" i="4"/>
  <c r="M1360" i="4"/>
  <c r="N1360" i="4"/>
  <c r="O1360" i="4"/>
  <c r="P1360" i="4"/>
  <c r="Q1360" i="4"/>
  <c r="R1360" i="4"/>
  <c r="K1361" i="4"/>
  <c r="L1361" i="4"/>
  <c r="M1361" i="4"/>
  <c r="N1361" i="4"/>
  <c r="O1361" i="4"/>
  <c r="P1361" i="4"/>
  <c r="Q1361" i="4"/>
  <c r="R1361" i="4"/>
  <c r="K1362" i="4"/>
  <c r="L1362" i="4"/>
  <c r="M1362" i="4"/>
  <c r="N1362" i="4"/>
  <c r="O1362" i="4"/>
  <c r="P1362" i="4"/>
  <c r="Q1362" i="4"/>
  <c r="R1362" i="4"/>
  <c r="K1363" i="4"/>
  <c r="L1363" i="4"/>
  <c r="M1363" i="4"/>
  <c r="N1363" i="4"/>
  <c r="O1363" i="4"/>
  <c r="P1363" i="4"/>
  <c r="Q1363" i="4"/>
  <c r="R1363" i="4"/>
  <c r="K1364" i="4"/>
  <c r="L1364" i="4"/>
  <c r="M1364" i="4"/>
  <c r="N1364" i="4"/>
  <c r="O1364" i="4"/>
  <c r="P1364" i="4"/>
  <c r="Q1364" i="4"/>
  <c r="R1364" i="4"/>
  <c r="K1365" i="4"/>
  <c r="L1365" i="4"/>
  <c r="M1365" i="4"/>
  <c r="N1365" i="4"/>
  <c r="O1365" i="4"/>
  <c r="P1365" i="4"/>
  <c r="Q1365" i="4"/>
  <c r="R1365" i="4"/>
  <c r="K1366" i="4"/>
  <c r="L1366" i="4"/>
  <c r="M1366" i="4"/>
  <c r="N1366" i="4"/>
  <c r="O1366" i="4"/>
  <c r="P1366" i="4"/>
  <c r="Q1366" i="4"/>
  <c r="R1366" i="4"/>
  <c r="K1367" i="4"/>
  <c r="L1367" i="4"/>
  <c r="M1367" i="4"/>
  <c r="N1367" i="4"/>
  <c r="O1367" i="4"/>
  <c r="P1367" i="4"/>
  <c r="Q1367" i="4"/>
  <c r="R1367" i="4"/>
  <c r="K1368" i="4"/>
  <c r="L1368" i="4"/>
  <c r="M1368" i="4"/>
  <c r="N1368" i="4"/>
  <c r="O1368" i="4"/>
  <c r="P1368" i="4"/>
  <c r="Q1368" i="4"/>
  <c r="R1368" i="4"/>
  <c r="K1369" i="4"/>
  <c r="L1369" i="4"/>
  <c r="M1369" i="4"/>
  <c r="N1369" i="4"/>
  <c r="O1369" i="4"/>
  <c r="P1369" i="4"/>
  <c r="Q1369" i="4"/>
  <c r="R1369" i="4"/>
  <c r="K1370" i="4"/>
  <c r="L1370" i="4"/>
  <c r="M1370" i="4"/>
  <c r="N1370" i="4"/>
  <c r="O1370" i="4"/>
  <c r="P1370" i="4"/>
  <c r="Q1370" i="4"/>
  <c r="R1370" i="4"/>
  <c r="K1371" i="4"/>
  <c r="L1371" i="4"/>
  <c r="M1371" i="4"/>
  <c r="N1371" i="4"/>
  <c r="O1371" i="4"/>
  <c r="P1371" i="4"/>
  <c r="Q1371" i="4"/>
  <c r="R1371" i="4"/>
  <c r="K1372" i="4"/>
  <c r="L1372" i="4"/>
  <c r="M1372" i="4"/>
  <c r="N1372" i="4"/>
  <c r="O1372" i="4"/>
  <c r="P1372" i="4"/>
  <c r="Q1372" i="4"/>
  <c r="R1372" i="4"/>
  <c r="K1373" i="4"/>
  <c r="L1373" i="4"/>
  <c r="M1373" i="4"/>
  <c r="N1373" i="4"/>
  <c r="O1373" i="4"/>
  <c r="P1373" i="4"/>
  <c r="Q1373" i="4"/>
  <c r="R1373" i="4"/>
  <c r="K1374" i="4"/>
  <c r="L1374" i="4"/>
  <c r="M1374" i="4"/>
  <c r="N1374" i="4"/>
  <c r="O1374" i="4"/>
  <c r="P1374" i="4"/>
  <c r="Q1374" i="4"/>
  <c r="R1374" i="4"/>
  <c r="K1375" i="4"/>
  <c r="L1375" i="4"/>
  <c r="M1375" i="4"/>
  <c r="N1375" i="4"/>
  <c r="O1375" i="4"/>
  <c r="P1375" i="4"/>
  <c r="Q1375" i="4"/>
  <c r="R1375" i="4"/>
  <c r="K1376" i="4"/>
  <c r="L1376" i="4"/>
  <c r="M1376" i="4"/>
  <c r="N1376" i="4"/>
  <c r="O1376" i="4"/>
  <c r="P1376" i="4"/>
  <c r="Q1376" i="4"/>
  <c r="R1376" i="4"/>
  <c r="K1377" i="4"/>
  <c r="L1377" i="4"/>
  <c r="M1377" i="4"/>
  <c r="N1377" i="4"/>
  <c r="O1377" i="4"/>
  <c r="P1377" i="4"/>
  <c r="Q1377" i="4"/>
  <c r="R1377" i="4"/>
  <c r="K1378" i="4"/>
  <c r="L1378" i="4"/>
  <c r="M1378" i="4"/>
  <c r="N1378" i="4"/>
  <c r="O1378" i="4"/>
  <c r="P1378" i="4"/>
  <c r="Q1378" i="4"/>
  <c r="R1378" i="4"/>
  <c r="K1379" i="4"/>
  <c r="L1379" i="4"/>
  <c r="M1379" i="4"/>
  <c r="N1379" i="4"/>
  <c r="O1379" i="4"/>
  <c r="P1379" i="4"/>
  <c r="Q1379" i="4"/>
  <c r="R1379" i="4"/>
  <c r="K1380" i="4"/>
  <c r="L1380" i="4"/>
  <c r="M1380" i="4"/>
  <c r="N1380" i="4"/>
  <c r="O1380" i="4"/>
  <c r="P1380" i="4"/>
  <c r="Q1380" i="4"/>
  <c r="R1380" i="4"/>
  <c r="K1381" i="4"/>
  <c r="L1381" i="4"/>
  <c r="M1381" i="4"/>
  <c r="N1381" i="4"/>
  <c r="O1381" i="4"/>
  <c r="P1381" i="4"/>
  <c r="Q1381" i="4"/>
  <c r="R1381" i="4"/>
  <c r="K1382" i="4"/>
  <c r="L1382" i="4"/>
  <c r="M1382" i="4"/>
  <c r="N1382" i="4"/>
  <c r="O1382" i="4"/>
  <c r="P1382" i="4"/>
  <c r="Q1382" i="4"/>
  <c r="R1382" i="4"/>
  <c r="K1383" i="4"/>
  <c r="L1383" i="4"/>
  <c r="M1383" i="4"/>
  <c r="N1383" i="4"/>
  <c r="O1383" i="4"/>
  <c r="P1383" i="4"/>
  <c r="Q1383" i="4"/>
  <c r="R1383" i="4"/>
  <c r="K1384" i="4"/>
  <c r="L1384" i="4"/>
  <c r="M1384" i="4"/>
  <c r="N1384" i="4"/>
  <c r="O1384" i="4"/>
  <c r="P1384" i="4"/>
  <c r="Q1384" i="4"/>
  <c r="R1384" i="4"/>
  <c r="K1385" i="4"/>
  <c r="L1385" i="4"/>
  <c r="M1385" i="4"/>
  <c r="N1385" i="4"/>
  <c r="O1385" i="4"/>
  <c r="P1385" i="4"/>
  <c r="Q1385" i="4"/>
  <c r="R1385" i="4"/>
  <c r="K1386" i="4"/>
  <c r="L1386" i="4"/>
  <c r="M1386" i="4"/>
  <c r="N1386" i="4"/>
  <c r="O1386" i="4"/>
  <c r="P1386" i="4"/>
  <c r="Q1386" i="4"/>
  <c r="R1386" i="4"/>
  <c r="K1387" i="4"/>
  <c r="L1387" i="4"/>
  <c r="M1387" i="4"/>
  <c r="N1387" i="4"/>
  <c r="O1387" i="4"/>
  <c r="P1387" i="4"/>
  <c r="Q1387" i="4"/>
  <c r="R1387" i="4"/>
  <c r="K1388" i="4"/>
  <c r="L1388" i="4"/>
  <c r="M1388" i="4"/>
  <c r="N1388" i="4"/>
  <c r="O1388" i="4"/>
  <c r="P1388" i="4"/>
  <c r="Q1388" i="4"/>
  <c r="R1388" i="4"/>
  <c r="K1389" i="4"/>
  <c r="L1389" i="4"/>
  <c r="M1389" i="4"/>
  <c r="N1389" i="4"/>
  <c r="O1389" i="4"/>
  <c r="P1389" i="4"/>
  <c r="Q1389" i="4"/>
  <c r="R1389" i="4"/>
  <c r="K1390" i="4"/>
  <c r="L1390" i="4"/>
  <c r="M1390" i="4"/>
  <c r="N1390" i="4"/>
  <c r="O1390" i="4"/>
  <c r="P1390" i="4"/>
  <c r="Q1390" i="4"/>
  <c r="R1390" i="4"/>
  <c r="K1391" i="4"/>
  <c r="L1391" i="4"/>
  <c r="M1391" i="4"/>
  <c r="N1391" i="4"/>
  <c r="O1391" i="4"/>
  <c r="P1391" i="4"/>
  <c r="Q1391" i="4"/>
  <c r="R1391" i="4"/>
  <c r="K1392" i="4"/>
  <c r="L1392" i="4"/>
  <c r="M1392" i="4"/>
  <c r="N1392" i="4"/>
  <c r="O1392" i="4"/>
  <c r="P1392" i="4"/>
  <c r="Q1392" i="4"/>
  <c r="R1392" i="4"/>
  <c r="K1393" i="4"/>
  <c r="L1393" i="4"/>
  <c r="M1393" i="4"/>
  <c r="N1393" i="4"/>
  <c r="O1393" i="4"/>
  <c r="P1393" i="4"/>
  <c r="Q1393" i="4"/>
  <c r="R1393" i="4"/>
  <c r="K1394" i="4"/>
  <c r="L1394" i="4"/>
  <c r="M1394" i="4"/>
  <c r="N1394" i="4"/>
  <c r="O1394" i="4"/>
  <c r="P1394" i="4"/>
  <c r="Q1394" i="4"/>
  <c r="R1394" i="4"/>
  <c r="K1395" i="4"/>
  <c r="L1395" i="4"/>
  <c r="M1395" i="4"/>
  <c r="N1395" i="4"/>
  <c r="O1395" i="4"/>
  <c r="P1395" i="4"/>
  <c r="Q1395" i="4"/>
  <c r="R1395" i="4"/>
  <c r="K1396" i="4"/>
  <c r="L1396" i="4"/>
  <c r="M1396" i="4"/>
  <c r="N1396" i="4"/>
  <c r="O1396" i="4"/>
  <c r="P1396" i="4"/>
  <c r="Q1396" i="4"/>
  <c r="R1396" i="4"/>
  <c r="K1397" i="4"/>
  <c r="L1397" i="4"/>
  <c r="M1397" i="4"/>
  <c r="N1397" i="4"/>
  <c r="O1397" i="4"/>
  <c r="P1397" i="4"/>
  <c r="Q1397" i="4"/>
  <c r="R1397" i="4"/>
  <c r="K1398" i="4"/>
  <c r="L1398" i="4"/>
  <c r="M1398" i="4"/>
  <c r="N1398" i="4"/>
  <c r="O1398" i="4"/>
  <c r="P1398" i="4"/>
  <c r="Q1398" i="4"/>
  <c r="R1398" i="4"/>
  <c r="K1399" i="4"/>
  <c r="L1399" i="4"/>
  <c r="M1399" i="4"/>
  <c r="N1399" i="4"/>
  <c r="O1399" i="4"/>
  <c r="P1399" i="4"/>
  <c r="Q1399" i="4"/>
  <c r="R1399" i="4"/>
  <c r="K1400" i="4"/>
  <c r="L1400" i="4"/>
  <c r="M1400" i="4"/>
  <c r="N1400" i="4"/>
  <c r="O1400" i="4"/>
  <c r="P1400" i="4"/>
  <c r="Q1400" i="4"/>
  <c r="R1400" i="4"/>
  <c r="K1401" i="4"/>
  <c r="L1401" i="4"/>
  <c r="M1401" i="4"/>
  <c r="N1401" i="4"/>
  <c r="O1401" i="4"/>
  <c r="P1401" i="4"/>
  <c r="Q1401" i="4"/>
  <c r="R1401" i="4"/>
  <c r="K1402" i="4"/>
  <c r="L1402" i="4"/>
  <c r="M1402" i="4"/>
  <c r="N1402" i="4"/>
  <c r="O1402" i="4"/>
  <c r="P1402" i="4"/>
  <c r="Q1402" i="4"/>
  <c r="R1402" i="4"/>
  <c r="K1403" i="4"/>
  <c r="L1403" i="4"/>
  <c r="M1403" i="4"/>
  <c r="N1403" i="4"/>
  <c r="O1403" i="4"/>
  <c r="P1403" i="4"/>
  <c r="Q1403" i="4"/>
  <c r="R1403" i="4"/>
  <c r="K1404" i="4"/>
  <c r="L1404" i="4"/>
  <c r="M1404" i="4"/>
  <c r="N1404" i="4"/>
  <c r="O1404" i="4"/>
  <c r="P1404" i="4"/>
  <c r="Q1404" i="4"/>
  <c r="R1404" i="4"/>
  <c r="K1405" i="4"/>
  <c r="L1405" i="4"/>
  <c r="M1405" i="4"/>
  <c r="N1405" i="4"/>
  <c r="O1405" i="4"/>
  <c r="P1405" i="4"/>
  <c r="Q1405" i="4"/>
  <c r="R1405" i="4"/>
  <c r="K1406" i="4"/>
  <c r="L1406" i="4"/>
  <c r="M1406" i="4"/>
  <c r="N1406" i="4"/>
  <c r="O1406" i="4"/>
  <c r="P1406" i="4"/>
  <c r="Q1406" i="4"/>
  <c r="R1406" i="4"/>
  <c r="K1407" i="4"/>
  <c r="L1407" i="4"/>
  <c r="M1407" i="4"/>
  <c r="N1407" i="4"/>
  <c r="O1407" i="4"/>
  <c r="P1407" i="4"/>
  <c r="Q1407" i="4"/>
  <c r="R1407" i="4"/>
  <c r="K1408" i="4"/>
  <c r="L1408" i="4"/>
  <c r="M1408" i="4"/>
  <c r="N1408" i="4"/>
  <c r="O1408" i="4"/>
  <c r="P1408" i="4"/>
  <c r="Q1408" i="4"/>
  <c r="R1408" i="4"/>
  <c r="K1409" i="4"/>
  <c r="L1409" i="4"/>
  <c r="M1409" i="4"/>
  <c r="N1409" i="4"/>
  <c r="O1409" i="4"/>
  <c r="P1409" i="4"/>
  <c r="Q1409" i="4"/>
  <c r="R1409" i="4"/>
  <c r="K1410" i="4"/>
  <c r="L1410" i="4"/>
  <c r="M1410" i="4"/>
  <c r="N1410" i="4"/>
  <c r="O1410" i="4"/>
  <c r="P1410" i="4"/>
  <c r="Q1410" i="4"/>
  <c r="R1410" i="4"/>
  <c r="K1411" i="4"/>
  <c r="L1411" i="4"/>
  <c r="M1411" i="4"/>
  <c r="N1411" i="4"/>
  <c r="O1411" i="4"/>
  <c r="P1411" i="4"/>
  <c r="Q1411" i="4"/>
  <c r="R1411" i="4"/>
  <c r="K1412" i="4"/>
  <c r="L1412" i="4"/>
  <c r="M1412" i="4"/>
  <c r="N1412" i="4"/>
  <c r="O1412" i="4"/>
  <c r="P1412" i="4"/>
  <c r="Q1412" i="4"/>
  <c r="R1412" i="4"/>
  <c r="K1413" i="4"/>
  <c r="L1413" i="4"/>
  <c r="M1413" i="4"/>
  <c r="N1413" i="4"/>
  <c r="O1413" i="4"/>
  <c r="P1413" i="4"/>
  <c r="Q1413" i="4"/>
  <c r="R1413" i="4"/>
  <c r="K1414" i="4"/>
  <c r="L1414" i="4"/>
  <c r="M1414" i="4"/>
  <c r="N1414" i="4"/>
  <c r="O1414" i="4"/>
  <c r="P1414" i="4"/>
  <c r="Q1414" i="4"/>
  <c r="R1414" i="4"/>
  <c r="K1415" i="4"/>
  <c r="L1415" i="4"/>
  <c r="M1415" i="4"/>
  <c r="N1415" i="4"/>
  <c r="O1415" i="4"/>
  <c r="P1415" i="4"/>
  <c r="Q1415" i="4"/>
  <c r="R1415" i="4"/>
  <c r="K1416" i="4"/>
  <c r="L1416" i="4"/>
  <c r="M1416" i="4"/>
  <c r="N1416" i="4"/>
  <c r="O1416" i="4"/>
  <c r="P1416" i="4"/>
  <c r="Q1416" i="4"/>
  <c r="R1416" i="4"/>
  <c r="K1417" i="4"/>
  <c r="L1417" i="4"/>
  <c r="M1417" i="4"/>
  <c r="N1417" i="4"/>
  <c r="O1417" i="4"/>
  <c r="P1417" i="4"/>
  <c r="Q1417" i="4"/>
  <c r="R1417" i="4"/>
  <c r="K1418" i="4"/>
  <c r="L1418" i="4"/>
  <c r="M1418" i="4"/>
  <c r="N1418" i="4"/>
  <c r="O1418" i="4"/>
  <c r="P1418" i="4"/>
  <c r="Q1418" i="4"/>
  <c r="R1418" i="4"/>
  <c r="K1419" i="4"/>
  <c r="L1419" i="4"/>
  <c r="M1419" i="4"/>
  <c r="N1419" i="4"/>
  <c r="O1419" i="4"/>
  <c r="P1419" i="4"/>
  <c r="Q1419" i="4"/>
  <c r="R1419" i="4"/>
  <c r="K1420" i="4"/>
  <c r="L1420" i="4"/>
  <c r="M1420" i="4"/>
  <c r="N1420" i="4"/>
  <c r="O1420" i="4"/>
  <c r="P1420" i="4"/>
  <c r="Q1420" i="4"/>
  <c r="R1420" i="4"/>
  <c r="K1421" i="4"/>
  <c r="L1421" i="4"/>
  <c r="M1421" i="4"/>
  <c r="N1421" i="4"/>
  <c r="O1421" i="4"/>
  <c r="P1421" i="4"/>
  <c r="Q1421" i="4"/>
  <c r="R1421" i="4"/>
  <c r="K1422" i="4"/>
  <c r="L1422" i="4"/>
  <c r="M1422" i="4"/>
  <c r="N1422" i="4"/>
  <c r="O1422" i="4"/>
  <c r="P1422" i="4"/>
  <c r="Q1422" i="4"/>
  <c r="R1422" i="4"/>
  <c r="K1423" i="4"/>
  <c r="L1423" i="4"/>
  <c r="M1423" i="4"/>
  <c r="N1423" i="4"/>
  <c r="O1423" i="4"/>
  <c r="P1423" i="4"/>
  <c r="Q1423" i="4"/>
  <c r="R1423" i="4"/>
  <c r="K1424" i="4"/>
  <c r="L1424" i="4"/>
  <c r="M1424" i="4"/>
  <c r="N1424" i="4"/>
  <c r="O1424" i="4"/>
  <c r="P1424" i="4"/>
  <c r="Q1424" i="4"/>
  <c r="R1424" i="4"/>
  <c r="K1425" i="4"/>
  <c r="L1425" i="4"/>
  <c r="M1425" i="4"/>
  <c r="N1425" i="4"/>
  <c r="O1425" i="4"/>
  <c r="P1425" i="4"/>
  <c r="Q1425" i="4"/>
  <c r="R1425" i="4"/>
  <c r="K1426" i="4"/>
  <c r="L1426" i="4"/>
  <c r="M1426" i="4"/>
  <c r="N1426" i="4"/>
  <c r="O1426" i="4"/>
  <c r="P1426" i="4"/>
  <c r="Q1426" i="4"/>
  <c r="R1426" i="4"/>
  <c r="K1427" i="4"/>
  <c r="L1427" i="4"/>
  <c r="M1427" i="4"/>
  <c r="N1427" i="4"/>
  <c r="O1427" i="4"/>
  <c r="P1427" i="4"/>
  <c r="Q1427" i="4"/>
  <c r="R1427" i="4"/>
  <c r="K1428" i="4"/>
  <c r="L1428" i="4"/>
  <c r="M1428" i="4"/>
  <c r="N1428" i="4"/>
  <c r="O1428" i="4"/>
  <c r="P1428" i="4"/>
  <c r="Q1428" i="4"/>
  <c r="R1428" i="4"/>
  <c r="K1429" i="4"/>
  <c r="L1429" i="4"/>
  <c r="M1429" i="4"/>
  <c r="N1429" i="4"/>
  <c r="O1429" i="4"/>
  <c r="P1429" i="4"/>
  <c r="Q1429" i="4"/>
  <c r="R1429" i="4"/>
  <c r="K1430" i="4"/>
  <c r="L1430" i="4"/>
  <c r="M1430" i="4"/>
  <c r="N1430" i="4"/>
  <c r="O1430" i="4"/>
  <c r="P1430" i="4"/>
  <c r="Q1430" i="4"/>
  <c r="R1430" i="4"/>
  <c r="K1431" i="4"/>
  <c r="L1431" i="4"/>
  <c r="M1431" i="4"/>
  <c r="N1431" i="4"/>
  <c r="O1431" i="4"/>
  <c r="P1431" i="4"/>
  <c r="Q1431" i="4"/>
  <c r="R1431" i="4"/>
  <c r="K1432" i="4"/>
  <c r="L1432" i="4"/>
  <c r="M1432" i="4"/>
  <c r="N1432" i="4"/>
  <c r="O1432" i="4"/>
  <c r="P1432" i="4"/>
  <c r="Q1432" i="4"/>
  <c r="R1432" i="4"/>
  <c r="K1433" i="4"/>
  <c r="L1433" i="4"/>
  <c r="M1433" i="4"/>
  <c r="N1433" i="4"/>
  <c r="O1433" i="4"/>
  <c r="P1433" i="4"/>
  <c r="Q1433" i="4"/>
  <c r="R1433" i="4"/>
  <c r="K1434" i="4"/>
  <c r="L1434" i="4"/>
  <c r="M1434" i="4"/>
  <c r="N1434" i="4"/>
  <c r="O1434" i="4"/>
  <c r="P1434" i="4"/>
  <c r="Q1434" i="4"/>
  <c r="R1434" i="4"/>
  <c r="K1435" i="4"/>
  <c r="L1435" i="4"/>
  <c r="M1435" i="4"/>
  <c r="N1435" i="4"/>
  <c r="O1435" i="4"/>
  <c r="P1435" i="4"/>
  <c r="Q1435" i="4"/>
  <c r="R1435" i="4"/>
  <c r="K1436" i="4"/>
  <c r="L1436" i="4"/>
  <c r="M1436" i="4"/>
  <c r="N1436" i="4"/>
  <c r="O1436" i="4"/>
  <c r="P1436" i="4"/>
  <c r="Q1436" i="4"/>
  <c r="R1436" i="4"/>
  <c r="K1437" i="4"/>
  <c r="L1437" i="4"/>
  <c r="M1437" i="4"/>
  <c r="N1437" i="4"/>
  <c r="O1437" i="4"/>
  <c r="P1437" i="4"/>
  <c r="Q1437" i="4"/>
  <c r="R1437" i="4"/>
  <c r="K1438" i="4"/>
  <c r="L1438" i="4"/>
  <c r="M1438" i="4"/>
  <c r="N1438" i="4"/>
  <c r="O1438" i="4"/>
  <c r="P1438" i="4"/>
  <c r="Q1438" i="4"/>
  <c r="R1438" i="4"/>
  <c r="K1439" i="4"/>
  <c r="L1439" i="4"/>
  <c r="M1439" i="4"/>
  <c r="N1439" i="4"/>
  <c r="O1439" i="4"/>
  <c r="P1439" i="4"/>
  <c r="Q1439" i="4"/>
  <c r="R1439" i="4"/>
  <c r="K1440" i="4"/>
  <c r="L1440" i="4"/>
  <c r="M1440" i="4"/>
  <c r="N1440" i="4"/>
  <c r="O1440" i="4"/>
  <c r="P1440" i="4"/>
  <c r="Q1440" i="4"/>
  <c r="R1440" i="4"/>
  <c r="K1441" i="4"/>
  <c r="L1441" i="4"/>
  <c r="M1441" i="4"/>
  <c r="N1441" i="4"/>
  <c r="O1441" i="4"/>
  <c r="P1441" i="4"/>
  <c r="Q1441" i="4"/>
  <c r="R1441" i="4"/>
  <c r="K1442" i="4"/>
  <c r="L1442" i="4"/>
  <c r="M1442" i="4"/>
  <c r="N1442" i="4"/>
  <c r="O1442" i="4"/>
  <c r="P1442" i="4"/>
  <c r="Q1442" i="4"/>
  <c r="R1442" i="4"/>
  <c r="K1443" i="4"/>
  <c r="L1443" i="4"/>
  <c r="M1443" i="4"/>
  <c r="N1443" i="4"/>
  <c r="O1443" i="4"/>
  <c r="P1443" i="4"/>
  <c r="Q1443" i="4"/>
  <c r="R1443" i="4"/>
  <c r="K1444" i="4"/>
  <c r="L1444" i="4"/>
  <c r="M1444" i="4"/>
  <c r="N1444" i="4"/>
  <c r="O1444" i="4"/>
  <c r="P1444" i="4"/>
  <c r="Q1444" i="4"/>
  <c r="R1444" i="4"/>
  <c r="K1445" i="4"/>
  <c r="L1445" i="4"/>
  <c r="M1445" i="4"/>
  <c r="N1445" i="4"/>
  <c r="O1445" i="4"/>
  <c r="P1445" i="4"/>
  <c r="Q1445" i="4"/>
  <c r="R1445" i="4"/>
  <c r="K1446" i="4"/>
  <c r="L1446" i="4"/>
  <c r="M1446" i="4"/>
  <c r="N1446" i="4"/>
  <c r="O1446" i="4"/>
  <c r="P1446" i="4"/>
  <c r="Q1446" i="4"/>
  <c r="R1446" i="4"/>
  <c r="K1447" i="4"/>
  <c r="L1447" i="4"/>
  <c r="M1447" i="4"/>
  <c r="N1447" i="4"/>
  <c r="O1447" i="4"/>
  <c r="P1447" i="4"/>
  <c r="Q1447" i="4"/>
  <c r="R1447" i="4"/>
  <c r="K1448" i="4"/>
  <c r="L1448" i="4"/>
  <c r="M1448" i="4"/>
  <c r="N1448" i="4"/>
  <c r="O1448" i="4"/>
  <c r="P1448" i="4"/>
  <c r="Q1448" i="4"/>
  <c r="R1448" i="4"/>
  <c r="K1449" i="4"/>
  <c r="L1449" i="4"/>
  <c r="M1449" i="4"/>
  <c r="N1449" i="4"/>
  <c r="O1449" i="4"/>
  <c r="P1449" i="4"/>
  <c r="Q1449" i="4"/>
  <c r="R1449" i="4"/>
  <c r="K1450" i="4"/>
  <c r="L1450" i="4"/>
  <c r="M1450" i="4"/>
  <c r="N1450" i="4"/>
  <c r="O1450" i="4"/>
  <c r="P1450" i="4"/>
  <c r="Q1450" i="4"/>
  <c r="R1450" i="4"/>
  <c r="K1451" i="4"/>
  <c r="L1451" i="4"/>
  <c r="M1451" i="4"/>
  <c r="N1451" i="4"/>
  <c r="O1451" i="4"/>
  <c r="P1451" i="4"/>
  <c r="Q1451" i="4"/>
  <c r="R1451" i="4"/>
  <c r="K1452" i="4"/>
  <c r="L1452" i="4"/>
  <c r="M1452" i="4"/>
  <c r="N1452" i="4"/>
  <c r="O1452" i="4"/>
  <c r="P1452" i="4"/>
  <c r="Q1452" i="4"/>
  <c r="R1452" i="4"/>
  <c r="K1453" i="4"/>
  <c r="L1453" i="4"/>
  <c r="M1453" i="4"/>
  <c r="N1453" i="4"/>
  <c r="O1453" i="4"/>
  <c r="P1453" i="4"/>
  <c r="Q1453" i="4"/>
  <c r="R1453" i="4"/>
  <c r="K1454" i="4"/>
  <c r="L1454" i="4"/>
  <c r="M1454" i="4"/>
  <c r="N1454" i="4"/>
  <c r="O1454" i="4"/>
  <c r="P1454" i="4"/>
  <c r="Q1454" i="4"/>
  <c r="R1454" i="4"/>
  <c r="K1455" i="4"/>
  <c r="L1455" i="4"/>
  <c r="M1455" i="4"/>
  <c r="N1455" i="4"/>
  <c r="O1455" i="4"/>
  <c r="P1455" i="4"/>
  <c r="Q1455" i="4"/>
  <c r="R1455" i="4"/>
  <c r="K1456" i="4"/>
  <c r="L1456" i="4"/>
  <c r="M1456" i="4"/>
  <c r="N1456" i="4"/>
  <c r="O1456" i="4"/>
  <c r="P1456" i="4"/>
  <c r="Q1456" i="4"/>
  <c r="R1456" i="4"/>
  <c r="K1457" i="4"/>
  <c r="L1457" i="4"/>
  <c r="M1457" i="4"/>
  <c r="N1457" i="4"/>
  <c r="O1457" i="4"/>
  <c r="P1457" i="4"/>
  <c r="Q1457" i="4"/>
  <c r="R1457" i="4"/>
  <c r="K1458" i="4"/>
  <c r="L1458" i="4"/>
  <c r="M1458" i="4"/>
  <c r="N1458" i="4"/>
  <c r="O1458" i="4"/>
  <c r="P1458" i="4"/>
  <c r="Q1458" i="4"/>
  <c r="R1458" i="4"/>
  <c r="K1459" i="4"/>
  <c r="L1459" i="4"/>
  <c r="M1459" i="4"/>
  <c r="N1459" i="4"/>
  <c r="O1459" i="4"/>
  <c r="P1459" i="4"/>
  <c r="Q1459" i="4"/>
  <c r="R1459" i="4"/>
  <c r="K1460" i="4"/>
  <c r="L1460" i="4"/>
  <c r="M1460" i="4"/>
  <c r="N1460" i="4"/>
  <c r="O1460" i="4"/>
  <c r="P1460" i="4"/>
  <c r="Q1460" i="4"/>
  <c r="R1460" i="4"/>
  <c r="K1461" i="4"/>
  <c r="L1461" i="4"/>
  <c r="M1461" i="4"/>
  <c r="N1461" i="4"/>
  <c r="O1461" i="4"/>
  <c r="P1461" i="4"/>
  <c r="Q1461" i="4"/>
  <c r="R1461" i="4"/>
  <c r="K1462" i="4"/>
  <c r="L1462" i="4"/>
  <c r="M1462" i="4"/>
  <c r="N1462" i="4"/>
  <c r="O1462" i="4"/>
  <c r="P1462" i="4"/>
  <c r="Q1462" i="4"/>
  <c r="R1462" i="4"/>
  <c r="K1463" i="4"/>
  <c r="L1463" i="4"/>
  <c r="M1463" i="4"/>
  <c r="N1463" i="4"/>
  <c r="O1463" i="4"/>
  <c r="P1463" i="4"/>
  <c r="Q1463" i="4"/>
  <c r="R1463" i="4"/>
  <c r="K1464" i="4"/>
  <c r="L1464" i="4"/>
  <c r="M1464" i="4"/>
  <c r="N1464" i="4"/>
  <c r="O1464" i="4"/>
  <c r="P1464" i="4"/>
  <c r="Q1464" i="4"/>
  <c r="R1464" i="4"/>
  <c r="K1465" i="4"/>
  <c r="L1465" i="4"/>
  <c r="M1465" i="4"/>
  <c r="N1465" i="4"/>
  <c r="O1465" i="4"/>
  <c r="P1465" i="4"/>
  <c r="Q1465" i="4"/>
  <c r="R1465" i="4"/>
  <c r="K1466" i="4"/>
  <c r="L1466" i="4"/>
  <c r="M1466" i="4"/>
  <c r="N1466" i="4"/>
  <c r="O1466" i="4"/>
  <c r="P1466" i="4"/>
  <c r="Q1466" i="4"/>
  <c r="R1466" i="4"/>
  <c r="K1467" i="4"/>
  <c r="L1467" i="4"/>
  <c r="M1467" i="4"/>
  <c r="N1467" i="4"/>
  <c r="O1467" i="4"/>
  <c r="P1467" i="4"/>
  <c r="Q1467" i="4"/>
  <c r="R1467" i="4"/>
  <c r="K1468" i="4"/>
  <c r="L1468" i="4"/>
  <c r="M1468" i="4"/>
  <c r="N1468" i="4"/>
  <c r="O1468" i="4"/>
  <c r="P1468" i="4"/>
  <c r="Q1468" i="4"/>
  <c r="R1468" i="4"/>
  <c r="K1469" i="4"/>
  <c r="L1469" i="4"/>
  <c r="M1469" i="4"/>
  <c r="N1469" i="4"/>
  <c r="O1469" i="4"/>
  <c r="P1469" i="4"/>
  <c r="Q1469" i="4"/>
  <c r="R1469" i="4"/>
  <c r="K1470" i="4"/>
  <c r="L1470" i="4"/>
  <c r="M1470" i="4"/>
  <c r="N1470" i="4"/>
  <c r="O1470" i="4"/>
  <c r="P1470" i="4"/>
  <c r="Q1470" i="4"/>
  <c r="R1470" i="4"/>
  <c r="K1471" i="4"/>
  <c r="L1471" i="4"/>
  <c r="M1471" i="4"/>
  <c r="N1471" i="4"/>
  <c r="O1471" i="4"/>
  <c r="P1471" i="4"/>
  <c r="Q1471" i="4"/>
  <c r="R1471" i="4"/>
  <c r="K1472" i="4"/>
  <c r="L1472" i="4"/>
  <c r="M1472" i="4"/>
  <c r="N1472" i="4"/>
  <c r="O1472" i="4"/>
  <c r="P1472" i="4"/>
  <c r="Q1472" i="4"/>
  <c r="R1472" i="4"/>
  <c r="K1473" i="4"/>
  <c r="L1473" i="4"/>
  <c r="M1473" i="4"/>
  <c r="N1473" i="4"/>
  <c r="O1473" i="4"/>
  <c r="P1473" i="4"/>
  <c r="Q1473" i="4"/>
  <c r="R1473" i="4"/>
  <c r="K1474" i="4"/>
  <c r="L1474" i="4"/>
  <c r="M1474" i="4"/>
  <c r="N1474" i="4"/>
  <c r="O1474" i="4"/>
  <c r="P1474" i="4"/>
  <c r="Q1474" i="4"/>
  <c r="R1474" i="4"/>
  <c r="K1475" i="4"/>
  <c r="L1475" i="4"/>
  <c r="M1475" i="4"/>
  <c r="N1475" i="4"/>
  <c r="O1475" i="4"/>
  <c r="P1475" i="4"/>
  <c r="Q1475" i="4"/>
  <c r="R1475" i="4"/>
  <c r="K1476" i="4"/>
  <c r="L1476" i="4"/>
  <c r="M1476" i="4"/>
  <c r="N1476" i="4"/>
  <c r="O1476" i="4"/>
  <c r="P1476" i="4"/>
  <c r="Q1476" i="4"/>
  <c r="R1476" i="4"/>
  <c r="K1477" i="4"/>
  <c r="L1477" i="4"/>
  <c r="M1477" i="4"/>
  <c r="N1477" i="4"/>
  <c r="O1477" i="4"/>
  <c r="P1477" i="4"/>
  <c r="Q1477" i="4"/>
  <c r="R1477" i="4"/>
  <c r="K1478" i="4"/>
  <c r="L1478" i="4"/>
  <c r="M1478" i="4"/>
  <c r="N1478" i="4"/>
  <c r="O1478" i="4"/>
  <c r="P1478" i="4"/>
  <c r="Q1478" i="4"/>
  <c r="R1478" i="4"/>
  <c r="K1479" i="4"/>
  <c r="L1479" i="4"/>
  <c r="M1479" i="4"/>
  <c r="N1479" i="4"/>
  <c r="O1479" i="4"/>
  <c r="P1479" i="4"/>
  <c r="Q1479" i="4"/>
  <c r="R1479" i="4"/>
  <c r="K1480" i="4"/>
  <c r="L1480" i="4"/>
  <c r="M1480" i="4"/>
  <c r="N1480" i="4"/>
  <c r="O1480" i="4"/>
  <c r="P1480" i="4"/>
  <c r="Q1480" i="4"/>
  <c r="R1480" i="4"/>
  <c r="K1481" i="4"/>
  <c r="L1481" i="4"/>
  <c r="M1481" i="4"/>
  <c r="N1481" i="4"/>
  <c r="O1481" i="4"/>
  <c r="P1481" i="4"/>
  <c r="Q1481" i="4"/>
  <c r="R1481" i="4"/>
  <c r="K1482" i="4"/>
  <c r="L1482" i="4"/>
  <c r="M1482" i="4"/>
  <c r="N1482" i="4"/>
  <c r="O1482" i="4"/>
  <c r="P1482" i="4"/>
  <c r="Q1482" i="4"/>
  <c r="R1482" i="4"/>
  <c r="K1483" i="4"/>
  <c r="L1483" i="4"/>
  <c r="M1483" i="4"/>
  <c r="N1483" i="4"/>
  <c r="O1483" i="4"/>
  <c r="P1483" i="4"/>
  <c r="Q1483" i="4"/>
  <c r="R1483" i="4"/>
  <c r="K1484" i="4"/>
  <c r="L1484" i="4"/>
  <c r="M1484" i="4"/>
  <c r="N1484" i="4"/>
  <c r="O1484" i="4"/>
  <c r="P1484" i="4"/>
  <c r="Q1484" i="4"/>
  <c r="R1484" i="4"/>
  <c r="K1485" i="4"/>
  <c r="L1485" i="4"/>
  <c r="M1485" i="4"/>
  <c r="N1485" i="4"/>
  <c r="O1485" i="4"/>
  <c r="P1485" i="4"/>
  <c r="Q1485" i="4"/>
  <c r="R1485" i="4"/>
  <c r="K1486" i="4"/>
  <c r="L1486" i="4"/>
  <c r="M1486" i="4"/>
  <c r="N1486" i="4"/>
  <c r="O1486" i="4"/>
  <c r="P1486" i="4"/>
  <c r="Q1486" i="4"/>
  <c r="R1486" i="4"/>
  <c r="K1487" i="4"/>
  <c r="L1487" i="4"/>
  <c r="M1487" i="4"/>
  <c r="N1487" i="4"/>
  <c r="O1487" i="4"/>
  <c r="P1487" i="4"/>
  <c r="Q1487" i="4"/>
  <c r="R1487" i="4"/>
  <c r="K1488" i="4"/>
  <c r="L1488" i="4"/>
  <c r="M1488" i="4"/>
  <c r="N1488" i="4"/>
  <c r="O1488" i="4"/>
  <c r="P1488" i="4"/>
  <c r="Q1488" i="4"/>
  <c r="R1488" i="4"/>
  <c r="K1489" i="4"/>
  <c r="L1489" i="4"/>
  <c r="M1489" i="4"/>
  <c r="N1489" i="4"/>
  <c r="O1489" i="4"/>
  <c r="P1489" i="4"/>
  <c r="Q1489" i="4"/>
  <c r="R1489" i="4"/>
  <c r="K1490" i="4"/>
  <c r="L1490" i="4"/>
  <c r="M1490" i="4"/>
  <c r="N1490" i="4"/>
  <c r="O1490" i="4"/>
  <c r="P1490" i="4"/>
  <c r="Q1490" i="4"/>
  <c r="R1490" i="4"/>
  <c r="K1491" i="4"/>
  <c r="L1491" i="4"/>
  <c r="M1491" i="4"/>
  <c r="N1491" i="4"/>
  <c r="O1491" i="4"/>
  <c r="P1491" i="4"/>
  <c r="Q1491" i="4"/>
  <c r="R1491" i="4"/>
  <c r="K1492" i="4"/>
  <c r="L1492" i="4"/>
  <c r="M1492" i="4"/>
  <c r="N1492" i="4"/>
  <c r="O1492" i="4"/>
  <c r="P1492" i="4"/>
  <c r="Q1492" i="4"/>
  <c r="R1492" i="4"/>
  <c r="K1493" i="4"/>
  <c r="L1493" i="4"/>
  <c r="M1493" i="4"/>
  <c r="N1493" i="4"/>
  <c r="O1493" i="4"/>
  <c r="P1493" i="4"/>
  <c r="Q1493" i="4"/>
  <c r="R1493" i="4"/>
  <c r="K1494" i="4"/>
  <c r="L1494" i="4"/>
  <c r="M1494" i="4"/>
  <c r="N1494" i="4"/>
  <c r="O1494" i="4"/>
  <c r="P1494" i="4"/>
  <c r="Q1494" i="4"/>
  <c r="R1494" i="4"/>
  <c r="K1495" i="4"/>
  <c r="L1495" i="4"/>
  <c r="M1495" i="4"/>
  <c r="N1495" i="4"/>
  <c r="O1495" i="4"/>
  <c r="P1495" i="4"/>
  <c r="Q1495" i="4"/>
  <c r="R1495" i="4"/>
  <c r="K1496" i="4"/>
  <c r="L1496" i="4"/>
  <c r="M1496" i="4"/>
  <c r="N1496" i="4"/>
  <c r="O1496" i="4"/>
  <c r="P1496" i="4"/>
  <c r="Q1496" i="4"/>
  <c r="R1496" i="4"/>
  <c r="K1497" i="4"/>
  <c r="L1497" i="4"/>
  <c r="M1497" i="4"/>
  <c r="N1497" i="4"/>
  <c r="O1497" i="4"/>
  <c r="P1497" i="4"/>
  <c r="Q1497" i="4"/>
  <c r="R1497" i="4"/>
  <c r="K1498" i="4"/>
  <c r="L1498" i="4"/>
  <c r="M1498" i="4"/>
  <c r="N1498" i="4"/>
  <c r="O1498" i="4"/>
  <c r="P1498" i="4"/>
  <c r="Q1498" i="4"/>
  <c r="R1498" i="4"/>
  <c r="K1499" i="4"/>
  <c r="L1499" i="4"/>
  <c r="M1499" i="4"/>
  <c r="N1499" i="4"/>
  <c r="O1499" i="4"/>
  <c r="P1499" i="4"/>
  <c r="Q1499" i="4"/>
  <c r="R1499" i="4"/>
  <c r="K1500" i="4"/>
  <c r="L1500" i="4"/>
  <c r="M1500" i="4"/>
  <c r="N1500" i="4"/>
  <c r="O1500" i="4"/>
  <c r="P1500" i="4"/>
  <c r="Q1500" i="4"/>
  <c r="R1500" i="4"/>
  <c r="K1501" i="4"/>
  <c r="L1501" i="4"/>
  <c r="M1501" i="4"/>
  <c r="N1501" i="4"/>
  <c r="O1501" i="4"/>
  <c r="P1501" i="4"/>
  <c r="Q1501" i="4"/>
  <c r="R1501" i="4"/>
  <c r="K1502" i="4"/>
  <c r="L1502" i="4"/>
  <c r="M1502" i="4"/>
  <c r="N1502" i="4"/>
  <c r="O1502" i="4"/>
  <c r="P1502" i="4"/>
  <c r="Q1502" i="4"/>
  <c r="R1502" i="4"/>
  <c r="K1503" i="4"/>
  <c r="L1503" i="4"/>
  <c r="M1503" i="4"/>
  <c r="N1503" i="4"/>
  <c r="O1503" i="4"/>
  <c r="P1503" i="4"/>
  <c r="Q1503" i="4"/>
  <c r="R1503" i="4"/>
  <c r="K1504" i="4"/>
  <c r="L1504" i="4"/>
  <c r="M1504" i="4"/>
  <c r="N1504" i="4"/>
  <c r="O1504" i="4"/>
  <c r="P1504" i="4"/>
  <c r="Q1504" i="4"/>
  <c r="R1504" i="4"/>
  <c r="K1505" i="4"/>
  <c r="L1505" i="4"/>
  <c r="M1505" i="4"/>
  <c r="N1505" i="4"/>
  <c r="O1505" i="4"/>
  <c r="P1505" i="4"/>
  <c r="Q1505" i="4"/>
  <c r="R1505" i="4"/>
  <c r="K1506" i="4"/>
  <c r="L1506" i="4"/>
  <c r="M1506" i="4"/>
  <c r="N1506" i="4"/>
  <c r="O1506" i="4"/>
  <c r="P1506" i="4"/>
  <c r="Q1506" i="4"/>
  <c r="R1506" i="4"/>
  <c r="K1507" i="4"/>
  <c r="L1507" i="4"/>
  <c r="M1507" i="4"/>
  <c r="N1507" i="4"/>
  <c r="O1507" i="4"/>
  <c r="P1507" i="4"/>
  <c r="Q1507" i="4"/>
  <c r="R1507" i="4"/>
  <c r="K1508" i="4"/>
  <c r="L1508" i="4"/>
  <c r="M1508" i="4"/>
  <c r="N1508" i="4"/>
  <c r="O1508" i="4"/>
  <c r="P1508" i="4"/>
  <c r="Q1508" i="4"/>
  <c r="R1508" i="4"/>
  <c r="K1509" i="4"/>
  <c r="L1509" i="4"/>
  <c r="M1509" i="4"/>
  <c r="N1509" i="4"/>
  <c r="O1509" i="4"/>
  <c r="P1509" i="4"/>
  <c r="Q1509" i="4"/>
  <c r="R1509" i="4"/>
  <c r="K1510" i="4"/>
  <c r="L1510" i="4"/>
  <c r="M1510" i="4"/>
  <c r="N1510" i="4"/>
  <c r="O1510" i="4"/>
  <c r="P1510" i="4"/>
  <c r="Q1510" i="4"/>
  <c r="R1510" i="4"/>
  <c r="K1511" i="4"/>
  <c r="L1511" i="4"/>
  <c r="M1511" i="4"/>
  <c r="N1511" i="4"/>
  <c r="O1511" i="4"/>
  <c r="P1511" i="4"/>
  <c r="Q1511" i="4"/>
  <c r="R1511" i="4"/>
  <c r="K1512" i="4"/>
  <c r="L1512" i="4"/>
  <c r="M1512" i="4"/>
  <c r="N1512" i="4"/>
  <c r="O1512" i="4"/>
  <c r="P1512" i="4"/>
  <c r="Q1512" i="4"/>
  <c r="R1512" i="4"/>
  <c r="K1513" i="4"/>
  <c r="L1513" i="4"/>
  <c r="M1513" i="4"/>
  <c r="N1513" i="4"/>
  <c r="O1513" i="4"/>
  <c r="P1513" i="4"/>
  <c r="Q1513" i="4"/>
  <c r="R1513" i="4"/>
  <c r="K1514" i="4"/>
  <c r="L1514" i="4"/>
  <c r="M1514" i="4"/>
  <c r="N1514" i="4"/>
  <c r="O1514" i="4"/>
  <c r="P1514" i="4"/>
  <c r="Q1514" i="4"/>
  <c r="R1514" i="4"/>
  <c r="K1515" i="4"/>
  <c r="L1515" i="4"/>
  <c r="M1515" i="4"/>
  <c r="N1515" i="4"/>
  <c r="O1515" i="4"/>
  <c r="P1515" i="4"/>
  <c r="Q1515" i="4"/>
  <c r="R1515" i="4"/>
  <c r="K1516" i="4"/>
  <c r="L1516" i="4"/>
  <c r="M1516" i="4"/>
  <c r="N1516" i="4"/>
  <c r="O1516" i="4"/>
  <c r="P1516" i="4"/>
  <c r="Q1516" i="4"/>
  <c r="R1516" i="4"/>
  <c r="K1517" i="4"/>
  <c r="L1517" i="4"/>
  <c r="M1517" i="4"/>
  <c r="N1517" i="4"/>
  <c r="O1517" i="4"/>
  <c r="P1517" i="4"/>
  <c r="Q1517" i="4"/>
  <c r="R1517" i="4"/>
  <c r="K1518" i="4"/>
  <c r="L1518" i="4"/>
  <c r="M1518" i="4"/>
  <c r="N1518" i="4"/>
  <c r="O1518" i="4"/>
  <c r="P1518" i="4"/>
  <c r="Q1518" i="4"/>
  <c r="R1518" i="4"/>
  <c r="K1519" i="4"/>
  <c r="L1519" i="4"/>
  <c r="M1519" i="4"/>
  <c r="N1519" i="4"/>
  <c r="O1519" i="4"/>
  <c r="P1519" i="4"/>
  <c r="Q1519" i="4"/>
  <c r="R1519" i="4"/>
  <c r="K1520" i="4"/>
  <c r="L1520" i="4"/>
  <c r="M1520" i="4"/>
  <c r="N1520" i="4"/>
  <c r="O1520" i="4"/>
  <c r="P1520" i="4"/>
  <c r="Q1520" i="4"/>
  <c r="R1520" i="4"/>
  <c r="K1521" i="4"/>
  <c r="L1521" i="4"/>
  <c r="M1521" i="4"/>
  <c r="N1521" i="4"/>
  <c r="O1521" i="4"/>
  <c r="P1521" i="4"/>
  <c r="Q1521" i="4"/>
  <c r="R1521" i="4"/>
  <c r="K1522" i="4"/>
  <c r="L1522" i="4"/>
  <c r="M1522" i="4"/>
  <c r="N1522" i="4"/>
  <c r="O1522" i="4"/>
  <c r="P1522" i="4"/>
  <c r="Q1522" i="4"/>
  <c r="R1522" i="4"/>
  <c r="K1523" i="4"/>
  <c r="L1523" i="4"/>
  <c r="M1523" i="4"/>
  <c r="N1523" i="4"/>
  <c r="O1523" i="4"/>
  <c r="P1523" i="4"/>
  <c r="Q1523" i="4"/>
  <c r="R1523" i="4"/>
  <c r="K1524" i="4"/>
  <c r="L1524" i="4"/>
  <c r="M1524" i="4"/>
  <c r="N1524" i="4"/>
  <c r="O1524" i="4"/>
  <c r="P1524" i="4"/>
  <c r="Q1524" i="4"/>
  <c r="R1524" i="4"/>
  <c r="K1525" i="4"/>
  <c r="L1525" i="4"/>
  <c r="M1525" i="4"/>
  <c r="N1525" i="4"/>
  <c r="O1525" i="4"/>
  <c r="P1525" i="4"/>
  <c r="Q1525" i="4"/>
  <c r="R1525" i="4"/>
  <c r="K1526" i="4"/>
  <c r="L1526" i="4"/>
  <c r="M1526" i="4"/>
  <c r="N1526" i="4"/>
  <c r="O1526" i="4"/>
  <c r="P1526" i="4"/>
  <c r="Q1526" i="4"/>
  <c r="R1526" i="4"/>
  <c r="K1527" i="4"/>
  <c r="L1527" i="4"/>
  <c r="M1527" i="4"/>
  <c r="N1527" i="4"/>
  <c r="O1527" i="4"/>
  <c r="P1527" i="4"/>
  <c r="Q1527" i="4"/>
  <c r="R1527" i="4"/>
  <c r="K1528" i="4"/>
  <c r="L1528" i="4"/>
  <c r="M1528" i="4"/>
  <c r="N1528" i="4"/>
  <c r="O1528" i="4"/>
  <c r="P1528" i="4"/>
  <c r="Q1528" i="4"/>
  <c r="R1528" i="4"/>
  <c r="K1529" i="4"/>
  <c r="L1529" i="4"/>
  <c r="M1529" i="4"/>
  <c r="N1529" i="4"/>
  <c r="O1529" i="4"/>
  <c r="P1529" i="4"/>
  <c r="Q1529" i="4"/>
  <c r="R1529" i="4"/>
  <c r="K1530" i="4"/>
  <c r="L1530" i="4"/>
  <c r="M1530" i="4"/>
  <c r="N1530" i="4"/>
  <c r="O1530" i="4"/>
  <c r="P1530" i="4"/>
  <c r="Q1530" i="4"/>
  <c r="R1530" i="4"/>
  <c r="K1531" i="4"/>
  <c r="L1531" i="4"/>
  <c r="M1531" i="4"/>
  <c r="N1531" i="4"/>
  <c r="O1531" i="4"/>
  <c r="P1531" i="4"/>
  <c r="Q1531" i="4"/>
  <c r="R1531" i="4"/>
  <c r="K1532" i="4"/>
  <c r="L1532" i="4"/>
  <c r="M1532" i="4"/>
  <c r="N1532" i="4"/>
  <c r="O1532" i="4"/>
  <c r="P1532" i="4"/>
  <c r="Q1532" i="4"/>
  <c r="R1532" i="4"/>
  <c r="K1533" i="4"/>
  <c r="L1533" i="4"/>
  <c r="M1533" i="4"/>
  <c r="N1533" i="4"/>
  <c r="O1533" i="4"/>
  <c r="P1533" i="4"/>
  <c r="Q1533" i="4"/>
  <c r="R1533" i="4"/>
  <c r="K1534" i="4"/>
  <c r="L1534" i="4"/>
  <c r="M1534" i="4"/>
  <c r="N1534" i="4"/>
  <c r="O1534" i="4"/>
  <c r="P1534" i="4"/>
  <c r="Q1534" i="4"/>
  <c r="R1534" i="4"/>
  <c r="K1535" i="4"/>
  <c r="L1535" i="4"/>
  <c r="M1535" i="4"/>
  <c r="N1535" i="4"/>
  <c r="O1535" i="4"/>
  <c r="P1535" i="4"/>
  <c r="Q1535" i="4"/>
  <c r="R1535" i="4"/>
  <c r="K1536" i="4"/>
  <c r="L1536" i="4"/>
  <c r="M1536" i="4"/>
  <c r="N1536" i="4"/>
  <c r="O1536" i="4"/>
  <c r="P1536" i="4"/>
  <c r="Q1536" i="4"/>
  <c r="R1536" i="4"/>
  <c r="K1537" i="4"/>
  <c r="L1537" i="4"/>
  <c r="M1537" i="4"/>
  <c r="N1537" i="4"/>
  <c r="O1537" i="4"/>
  <c r="P1537" i="4"/>
  <c r="Q1537" i="4"/>
  <c r="R1537" i="4"/>
  <c r="K1538" i="4"/>
  <c r="L1538" i="4"/>
  <c r="M1538" i="4"/>
  <c r="N1538" i="4"/>
  <c r="O1538" i="4"/>
  <c r="P1538" i="4"/>
  <c r="Q1538" i="4"/>
  <c r="R1538" i="4"/>
  <c r="K1539" i="4"/>
  <c r="L1539" i="4"/>
  <c r="M1539" i="4"/>
  <c r="N1539" i="4"/>
  <c r="O1539" i="4"/>
  <c r="P1539" i="4"/>
  <c r="Q1539" i="4"/>
  <c r="R1539" i="4"/>
  <c r="K1540" i="4"/>
  <c r="L1540" i="4"/>
  <c r="M1540" i="4"/>
  <c r="N1540" i="4"/>
  <c r="O1540" i="4"/>
  <c r="P1540" i="4"/>
  <c r="Q1540" i="4"/>
  <c r="R1540" i="4"/>
  <c r="K1541" i="4"/>
  <c r="L1541" i="4"/>
  <c r="M1541" i="4"/>
  <c r="N1541" i="4"/>
  <c r="O1541" i="4"/>
  <c r="P1541" i="4"/>
  <c r="Q1541" i="4"/>
  <c r="R1541" i="4"/>
  <c r="K1542" i="4"/>
  <c r="L1542" i="4"/>
  <c r="M1542" i="4"/>
  <c r="N1542" i="4"/>
  <c r="O1542" i="4"/>
  <c r="P1542" i="4"/>
  <c r="Q1542" i="4"/>
  <c r="R1542" i="4"/>
  <c r="K1543" i="4"/>
  <c r="L1543" i="4"/>
  <c r="M1543" i="4"/>
  <c r="N1543" i="4"/>
  <c r="O1543" i="4"/>
  <c r="P1543" i="4"/>
  <c r="Q1543" i="4"/>
  <c r="R1543" i="4"/>
  <c r="K1544" i="4"/>
  <c r="L1544" i="4"/>
  <c r="M1544" i="4"/>
  <c r="N1544" i="4"/>
  <c r="O1544" i="4"/>
  <c r="P1544" i="4"/>
  <c r="Q1544" i="4"/>
  <c r="R1544" i="4"/>
  <c r="K1545" i="4"/>
  <c r="L1545" i="4"/>
  <c r="M1545" i="4"/>
  <c r="N1545" i="4"/>
  <c r="O1545" i="4"/>
  <c r="P1545" i="4"/>
  <c r="Q1545" i="4"/>
  <c r="R1545" i="4"/>
  <c r="K1546" i="4"/>
  <c r="L1546" i="4"/>
  <c r="M1546" i="4"/>
  <c r="N1546" i="4"/>
  <c r="O1546" i="4"/>
  <c r="P1546" i="4"/>
  <c r="Q1546" i="4"/>
  <c r="R1546" i="4"/>
  <c r="K1547" i="4"/>
  <c r="L1547" i="4"/>
  <c r="M1547" i="4"/>
  <c r="N1547" i="4"/>
  <c r="O1547" i="4"/>
  <c r="P1547" i="4"/>
  <c r="Q1547" i="4"/>
  <c r="R1547" i="4"/>
  <c r="K1548" i="4"/>
  <c r="L1548" i="4"/>
  <c r="M1548" i="4"/>
  <c r="N1548" i="4"/>
  <c r="O1548" i="4"/>
  <c r="P1548" i="4"/>
  <c r="Q1548" i="4"/>
  <c r="R1548" i="4"/>
  <c r="K1549" i="4"/>
  <c r="L1549" i="4"/>
  <c r="M1549" i="4"/>
  <c r="N1549" i="4"/>
  <c r="O1549" i="4"/>
  <c r="P1549" i="4"/>
  <c r="Q1549" i="4"/>
  <c r="R1549" i="4"/>
  <c r="K1550" i="4"/>
  <c r="L1550" i="4"/>
  <c r="M1550" i="4"/>
  <c r="N1550" i="4"/>
  <c r="O1550" i="4"/>
  <c r="P1550" i="4"/>
  <c r="Q1550" i="4"/>
  <c r="R1550" i="4"/>
  <c r="K1551" i="4"/>
  <c r="L1551" i="4"/>
  <c r="M1551" i="4"/>
  <c r="N1551" i="4"/>
  <c r="O1551" i="4"/>
  <c r="P1551" i="4"/>
  <c r="Q1551" i="4"/>
  <c r="R1551" i="4"/>
  <c r="K1552" i="4"/>
  <c r="L1552" i="4"/>
  <c r="M1552" i="4"/>
  <c r="N1552" i="4"/>
  <c r="O1552" i="4"/>
  <c r="P1552" i="4"/>
  <c r="Q1552" i="4"/>
  <c r="R1552" i="4"/>
  <c r="K1553" i="4"/>
  <c r="L1553" i="4"/>
  <c r="M1553" i="4"/>
  <c r="N1553" i="4"/>
  <c r="O1553" i="4"/>
  <c r="P1553" i="4"/>
  <c r="Q1553" i="4"/>
  <c r="R1553" i="4"/>
  <c r="K1554" i="4"/>
  <c r="L1554" i="4"/>
  <c r="M1554" i="4"/>
  <c r="N1554" i="4"/>
  <c r="O1554" i="4"/>
  <c r="P1554" i="4"/>
  <c r="Q1554" i="4"/>
  <c r="R1554" i="4"/>
  <c r="K1555" i="4"/>
  <c r="L1555" i="4"/>
  <c r="M1555" i="4"/>
  <c r="N1555" i="4"/>
  <c r="O1555" i="4"/>
  <c r="P1555" i="4"/>
  <c r="Q1555" i="4"/>
  <c r="R1555" i="4"/>
  <c r="K1556" i="4"/>
  <c r="L1556" i="4"/>
  <c r="M1556" i="4"/>
  <c r="N1556" i="4"/>
  <c r="O1556" i="4"/>
  <c r="P1556" i="4"/>
  <c r="Q1556" i="4"/>
  <c r="R1556" i="4"/>
  <c r="K1557" i="4"/>
  <c r="L1557" i="4"/>
  <c r="M1557" i="4"/>
  <c r="N1557" i="4"/>
  <c r="O1557" i="4"/>
  <c r="P1557" i="4"/>
  <c r="Q1557" i="4"/>
  <c r="R1557" i="4"/>
  <c r="K1558" i="4"/>
  <c r="L1558" i="4"/>
  <c r="M1558" i="4"/>
  <c r="N1558" i="4"/>
  <c r="O1558" i="4"/>
  <c r="P1558" i="4"/>
  <c r="Q1558" i="4"/>
  <c r="R1558" i="4"/>
  <c r="K1559" i="4"/>
  <c r="L1559" i="4"/>
  <c r="M1559" i="4"/>
  <c r="N1559" i="4"/>
  <c r="O1559" i="4"/>
  <c r="P1559" i="4"/>
  <c r="Q1559" i="4"/>
  <c r="R1559" i="4"/>
  <c r="K1560" i="4"/>
  <c r="L1560" i="4"/>
  <c r="M1560" i="4"/>
  <c r="N1560" i="4"/>
  <c r="O1560" i="4"/>
  <c r="P1560" i="4"/>
  <c r="Q1560" i="4"/>
  <c r="R1560" i="4"/>
  <c r="K1561" i="4"/>
  <c r="L1561" i="4"/>
  <c r="M1561" i="4"/>
  <c r="N1561" i="4"/>
  <c r="O1561" i="4"/>
  <c r="P1561" i="4"/>
  <c r="Q1561" i="4"/>
  <c r="R1561" i="4"/>
  <c r="K1562" i="4"/>
  <c r="L1562" i="4"/>
  <c r="M1562" i="4"/>
  <c r="N1562" i="4"/>
  <c r="O1562" i="4"/>
  <c r="P1562" i="4"/>
  <c r="Q1562" i="4"/>
  <c r="R1562" i="4"/>
  <c r="K1563" i="4"/>
  <c r="L1563" i="4"/>
  <c r="M1563" i="4"/>
  <c r="N1563" i="4"/>
  <c r="O1563" i="4"/>
  <c r="P1563" i="4"/>
  <c r="Q1563" i="4"/>
  <c r="R1563" i="4"/>
  <c r="K1564" i="4"/>
  <c r="L1564" i="4"/>
  <c r="M1564" i="4"/>
  <c r="N1564" i="4"/>
  <c r="O1564" i="4"/>
  <c r="P1564" i="4"/>
  <c r="Q1564" i="4"/>
  <c r="R1564" i="4"/>
  <c r="K1565" i="4"/>
  <c r="L1565" i="4"/>
  <c r="M1565" i="4"/>
  <c r="N1565" i="4"/>
  <c r="O1565" i="4"/>
  <c r="P1565" i="4"/>
  <c r="Q1565" i="4"/>
  <c r="R1565" i="4"/>
  <c r="K1566" i="4"/>
  <c r="L1566" i="4"/>
  <c r="M1566" i="4"/>
  <c r="N1566" i="4"/>
  <c r="O1566" i="4"/>
  <c r="P1566" i="4"/>
  <c r="Q1566" i="4"/>
  <c r="R1566" i="4"/>
  <c r="K1567" i="4"/>
  <c r="L1567" i="4"/>
  <c r="M1567" i="4"/>
  <c r="N1567" i="4"/>
  <c r="O1567" i="4"/>
  <c r="P1567" i="4"/>
  <c r="Q1567" i="4"/>
  <c r="R1567" i="4"/>
  <c r="K1568" i="4"/>
  <c r="L1568" i="4"/>
  <c r="M1568" i="4"/>
  <c r="N1568" i="4"/>
  <c r="O1568" i="4"/>
  <c r="P1568" i="4"/>
  <c r="Q1568" i="4"/>
  <c r="R1568" i="4"/>
  <c r="K1569" i="4"/>
  <c r="L1569" i="4"/>
  <c r="M1569" i="4"/>
  <c r="N1569" i="4"/>
  <c r="O1569" i="4"/>
  <c r="P1569" i="4"/>
  <c r="Q1569" i="4"/>
  <c r="R1569" i="4"/>
  <c r="K1570" i="4"/>
  <c r="L1570" i="4"/>
  <c r="M1570" i="4"/>
  <c r="N1570" i="4"/>
  <c r="O1570" i="4"/>
  <c r="P1570" i="4"/>
  <c r="Q1570" i="4"/>
  <c r="R1570" i="4"/>
  <c r="K1571" i="4"/>
  <c r="L1571" i="4"/>
  <c r="M1571" i="4"/>
  <c r="N1571" i="4"/>
  <c r="O1571" i="4"/>
  <c r="P1571" i="4"/>
  <c r="Q1571" i="4"/>
  <c r="R1571" i="4"/>
  <c r="K1572" i="4"/>
  <c r="L1572" i="4"/>
  <c r="M1572" i="4"/>
  <c r="N1572" i="4"/>
  <c r="O1572" i="4"/>
  <c r="P1572" i="4"/>
  <c r="Q1572" i="4"/>
  <c r="R1572" i="4"/>
  <c r="K1573" i="4"/>
  <c r="L1573" i="4"/>
  <c r="M1573" i="4"/>
  <c r="N1573" i="4"/>
  <c r="O1573" i="4"/>
  <c r="P1573" i="4"/>
  <c r="Q1573" i="4"/>
  <c r="R1573" i="4"/>
  <c r="K1574" i="4"/>
  <c r="L1574" i="4"/>
  <c r="M1574" i="4"/>
  <c r="N1574" i="4"/>
  <c r="O1574" i="4"/>
  <c r="P1574" i="4"/>
  <c r="Q1574" i="4"/>
  <c r="R1574" i="4"/>
  <c r="K1575" i="4"/>
  <c r="L1575" i="4"/>
  <c r="M1575" i="4"/>
  <c r="N1575" i="4"/>
  <c r="O1575" i="4"/>
  <c r="P1575" i="4"/>
  <c r="Q1575" i="4"/>
  <c r="R1575" i="4"/>
  <c r="K1576" i="4"/>
  <c r="L1576" i="4"/>
  <c r="M1576" i="4"/>
  <c r="N1576" i="4"/>
  <c r="O1576" i="4"/>
  <c r="P1576" i="4"/>
  <c r="Q1576" i="4"/>
  <c r="R1576" i="4"/>
  <c r="K1577" i="4"/>
  <c r="L1577" i="4"/>
  <c r="M1577" i="4"/>
  <c r="N1577" i="4"/>
  <c r="O1577" i="4"/>
  <c r="P1577" i="4"/>
  <c r="Q1577" i="4"/>
  <c r="R1577" i="4"/>
  <c r="K1578" i="4"/>
  <c r="L1578" i="4"/>
  <c r="M1578" i="4"/>
  <c r="N1578" i="4"/>
  <c r="O1578" i="4"/>
  <c r="P1578" i="4"/>
  <c r="Q1578" i="4"/>
  <c r="R1578" i="4"/>
  <c r="K1579" i="4"/>
  <c r="L1579" i="4"/>
  <c r="M1579" i="4"/>
  <c r="N1579" i="4"/>
  <c r="O1579" i="4"/>
  <c r="P1579" i="4"/>
  <c r="Q1579" i="4"/>
  <c r="R1579" i="4"/>
  <c r="K1580" i="4"/>
  <c r="L1580" i="4"/>
  <c r="M1580" i="4"/>
  <c r="N1580" i="4"/>
  <c r="O1580" i="4"/>
  <c r="P1580" i="4"/>
  <c r="Q1580" i="4"/>
  <c r="R1580" i="4"/>
  <c r="K1581" i="4"/>
  <c r="L1581" i="4"/>
  <c r="M1581" i="4"/>
  <c r="N1581" i="4"/>
  <c r="O1581" i="4"/>
  <c r="P1581" i="4"/>
  <c r="Q1581" i="4"/>
  <c r="R1581" i="4"/>
  <c r="K1582" i="4"/>
  <c r="L1582" i="4"/>
  <c r="M1582" i="4"/>
  <c r="N1582" i="4"/>
  <c r="O1582" i="4"/>
  <c r="P1582" i="4"/>
  <c r="Q1582" i="4"/>
  <c r="R1582" i="4"/>
  <c r="K1583" i="4"/>
  <c r="L1583" i="4"/>
  <c r="M1583" i="4"/>
  <c r="N1583" i="4"/>
  <c r="O1583" i="4"/>
  <c r="P1583" i="4"/>
  <c r="Q1583" i="4"/>
  <c r="R1583" i="4"/>
  <c r="K1584" i="4"/>
  <c r="L1584" i="4"/>
  <c r="M1584" i="4"/>
  <c r="N1584" i="4"/>
  <c r="O1584" i="4"/>
  <c r="P1584" i="4"/>
  <c r="Q1584" i="4"/>
  <c r="R1584" i="4"/>
  <c r="K1585" i="4"/>
  <c r="L1585" i="4"/>
  <c r="M1585" i="4"/>
  <c r="N1585" i="4"/>
  <c r="O1585" i="4"/>
  <c r="P1585" i="4"/>
  <c r="Q1585" i="4"/>
  <c r="R1585" i="4"/>
  <c r="K1586" i="4"/>
  <c r="L1586" i="4"/>
  <c r="M1586" i="4"/>
  <c r="N1586" i="4"/>
  <c r="O1586" i="4"/>
  <c r="P1586" i="4"/>
  <c r="Q1586" i="4"/>
  <c r="R1586" i="4"/>
  <c r="K1587" i="4"/>
  <c r="L1587" i="4"/>
  <c r="M1587" i="4"/>
  <c r="N1587" i="4"/>
  <c r="O1587" i="4"/>
  <c r="P1587" i="4"/>
  <c r="Q1587" i="4"/>
  <c r="R1587" i="4"/>
  <c r="K1588" i="4"/>
  <c r="L1588" i="4"/>
  <c r="M1588" i="4"/>
  <c r="N1588" i="4"/>
  <c r="O1588" i="4"/>
  <c r="P1588" i="4"/>
  <c r="Q1588" i="4"/>
  <c r="R1588" i="4"/>
  <c r="K1589" i="4"/>
  <c r="L1589" i="4"/>
  <c r="M1589" i="4"/>
  <c r="N1589" i="4"/>
  <c r="O1589" i="4"/>
  <c r="P1589" i="4"/>
  <c r="Q1589" i="4"/>
  <c r="R1589" i="4"/>
  <c r="K1590" i="4"/>
  <c r="L1590" i="4"/>
  <c r="M1590" i="4"/>
  <c r="N1590" i="4"/>
  <c r="O1590" i="4"/>
  <c r="P1590" i="4"/>
  <c r="Q1590" i="4"/>
  <c r="R1590" i="4"/>
  <c r="K1591" i="4"/>
  <c r="L1591" i="4"/>
  <c r="M1591" i="4"/>
  <c r="N1591" i="4"/>
  <c r="O1591" i="4"/>
  <c r="P1591" i="4"/>
  <c r="Q1591" i="4"/>
  <c r="R1591" i="4"/>
  <c r="K1592" i="4"/>
  <c r="L1592" i="4"/>
  <c r="M1592" i="4"/>
  <c r="N1592" i="4"/>
  <c r="O1592" i="4"/>
  <c r="P1592" i="4"/>
  <c r="Q1592" i="4"/>
  <c r="R1592" i="4"/>
  <c r="K1593" i="4"/>
  <c r="L1593" i="4"/>
  <c r="M1593" i="4"/>
  <c r="N1593" i="4"/>
  <c r="O1593" i="4"/>
  <c r="P1593" i="4"/>
  <c r="Q1593" i="4"/>
  <c r="R1593" i="4"/>
  <c r="K1594" i="4"/>
  <c r="L1594" i="4"/>
  <c r="M1594" i="4"/>
  <c r="N1594" i="4"/>
  <c r="O1594" i="4"/>
  <c r="P1594" i="4"/>
  <c r="Q1594" i="4"/>
  <c r="R1594" i="4"/>
  <c r="K1595" i="4"/>
  <c r="L1595" i="4"/>
  <c r="M1595" i="4"/>
  <c r="N1595" i="4"/>
  <c r="O1595" i="4"/>
  <c r="P1595" i="4"/>
  <c r="Q1595" i="4"/>
  <c r="R1595" i="4"/>
  <c r="K1596" i="4"/>
  <c r="L1596" i="4"/>
  <c r="M1596" i="4"/>
  <c r="N1596" i="4"/>
  <c r="O1596" i="4"/>
  <c r="P1596" i="4"/>
  <c r="Q1596" i="4"/>
  <c r="R1596" i="4"/>
  <c r="K1597" i="4"/>
  <c r="L1597" i="4"/>
  <c r="M1597" i="4"/>
  <c r="N1597" i="4"/>
  <c r="O1597" i="4"/>
  <c r="P1597" i="4"/>
  <c r="Q1597" i="4"/>
  <c r="R1597" i="4"/>
  <c r="K1598" i="4"/>
  <c r="L1598" i="4"/>
  <c r="M1598" i="4"/>
  <c r="N1598" i="4"/>
  <c r="O1598" i="4"/>
  <c r="P1598" i="4"/>
  <c r="Q1598" i="4"/>
  <c r="R1598" i="4"/>
  <c r="K1599" i="4"/>
  <c r="L1599" i="4"/>
  <c r="M1599" i="4"/>
  <c r="N1599" i="4"/>
  <c r="O1599" i="4"/>
  <c r="P1599" i="4"/>
  <c r="Q1599" i="4"/>
  <c r="R1599" i="4"/>
  <c r="K1600" i="4"/>
  <c r="L1600" i="4"/>
  <c r="M1600" i="4"/>
  <c r="N1600" i="4"/>
  <c r="O1600" i="4"/>
  <c r="P1600" i="4"/>
  <c r="Q1600" i="4"/>
  <c r="R1600" i="4"/>
  <c r="K1601" i="4"/>
  <c r="L1601" i="4"/>
  <c r="M1601" i="4"/>
  <c r="N1601" i="4"/>
  <c r="O1601" i="4"/>
  <c r="P1601" i="4"/>
  <c r="Q1601" i="4"/>
  <c r="R1601" i="4"/>
  <c r="K1602" i="4"/>
  <c r="L1602" i="4"/>
  <c r="M1602" i="4"/>
  <c r="N1602" i="4"/>
  <c r="O1602" i="4"/>
  <c r="P1602" i="4"/>
  <c r="Q1602" i="4"/>
  <c r="R1602" i="4"/>
  <c r="K1603" i="4"/>
  <c r="L1603" i="4"/>
  <c r="M1603" i="4"/>
  <c r="N1603" i="4"/>
  <c r="O1603" i="4"/>
  <c r="P1603" i="4"/>
  <c r="Q1603" i="4"/>
  <c r="R1603" i="4"/>
  <c r="K1604" i="4"/>
  <c r="L1604" i="4"/>
  <c r="M1604" i="4"/>
  <c r="N1604" i="4"/>
  <c r="O1604" i="4"/>
  <c r="P1604" i="4"/>
  <c r="Q1604" i="4"/>
  <c r="R1604" i="4"/>
  <c r="K1605" i="4"/>
  <c r="L1605" i="4"/>
  <c r="M1605" i="4"/>
  <c r="N1605" i="4"/>
  <c r="O1605" i="4"/>
  <c r="P1605" i="4"/>
  <c r="Q1605" i="4"/>
  <c r="R1605" i="4"/>
  <c r="K1606" i="4"/>
  <c r="L1606" i="4"/>
  <c r="M1606" i="4"/>
  <c r="N1606" i="4"/>
  <c r="O1606" i="4"/>
  <c r="P1606" i="4"/>
  <c r="Q1606" i="4"/>
  <c r="R1606" i="4"/>
  <c r="K1607" i="4"/>
  <c r="L1607" i="4"/>
  <c r="M1607" i="4"/>
  <c r="N1607" i="4"/>
  <c r="O1607" i="4"/>
  <c r="P1607" i="4"/>
  <c r="Q1607" i="4"/>
  <c r="R1607" i="4"/>
  <c r="K1608" i="4"/>
  <c r="L1608" i="4"/>
  <c r="M1608" i="4"/>
  <c r="N1608" i="4"/>
  <c r="O1608" i="4"/>
  <c r="P1608" i="4"/>
  <c r="Q1608" i="4"/>
  <c r="R1608" i="4"/>
  <c r="K1609" i="4"/>
  <c r="L1609" i="4"/>
  <c r="M1609" i="4"/>
  <c r="N1609" i="4"/>
  <c r="O1609" i="4"/>
  <c r="P1609" i="4"/>
  <c r="Q1609" i="4"/>
  <c r="R1609" i="4"/>
  <c r="K1610" i="4"/>
  <c r="L1610" i="4"/>
  <c r="M1610" i="4"/>
  <c r="N1610" i="4"/>
  <c r="O1610" i="4"/>
  <c r="P1610" i="4"/>
  <c r="Q1610" i="4"/>
  <c r="R1610" i="4"/>
  <c r="K1611" i="4"/>
  <c r="L1611" i="4"/>
  <c r="M1611" i="4"/>
  <c r="N1611" i="4"/>
  <c r="O1611" i="4"/>
  <c r="P1611" i="4"/>
  <c r="Q1611" i="4"/>
  <c r="R1611" i="4"/>
  <c r="K1612" i="4"/>
  <c r="L1612" i="4"/>
  <c r="M1612" i="4"/>
  <c r="N1612" i="4"/>
  <c r="O1612" i="4"/>
  <c r="P1612" i="4"/>
  <c r="Q1612" i="4"/>
  <c r="R1612" i="4"/>
  <c r="K1613" i="4"/>
  <c r="L1613" i="4"/>
  <c r="M1613" i="4"/>
  <c r="N1613" i="4"/>
  <c r="O1613" i="4"/>
  <c r="P1613" i="4"/>
  <c r="Q1613" i="4"/>
  <c r="R1613" i="4"/>
  <c r="K1614" i="4"/>
  <c r="L1614" i="4"/>
  <c r="M1614" i="4"/>
  <c r="N1614" i="4"/>
  <c r="O1614" i="4"/>
  <c r="P1614" i="4"/>
  <c r="Q1614" i="4"/>
  <c r="R1614" i="4"/>
  <c r="K1615" i="4"/>
  <c r="L1615" i="4"/>
  <c r="M1615" i="4"/>
  <c r="N1615" i="4"/>
  <c r="O1615" i="4"/>
  <c r="P1615" i="4"/>
  <c r="Q1615" i="4"/>
  <c r="R1615" i="4"/>
  <c r="K1616" i="4"/>
  <c r="L1616" i="4"/>
  <c r="M1616" i="4"/>
  <c r="N1616" i="4"/>
  <c r="O1616" i="4"/>
  <c r="P1616" i="4"/>
  <c r="Q1616" i="4"/>
  <c r="R1616" i="4"/>
  <c r="K1617" i="4"/>
  <c r="L1617" i="4"/>
  <c r="M1617" i="4"/>
  <c r="N1617" i="4"/>
  <c r="O1617" i="4"/>
  <c r="P1617" i="4"/>
  <c r="Q1617" i="4"/>
  <c r="R1617" i="4"/>
  <c r="K1618" i="4"/>
  <c r="L1618" i="4"/>
  <c r="M1618" i="4"/>
  <c r="N1618" i="4"/>
  <c r="O1618" i="4"/>
  <c r="P1618" i="4"/>
  <c r="Q1618" i="4"/>
  <c r="R1618" i="4"/>
  <c r="K1619" i="4"/>
  <c r="L1619" i="4"/>
  <c r="M1619" i="4"/>
  <c r="N1619" i="4"/>
  <c r="O1619" i="4"/>
  <c r="P1619" i="4"/>
  <c r="Q1619" i="4"/>
  <c r="R1619" i="4"/>
  <c r="K1620" i="4"/>
  <c r="L1620" i="4"/>
  <c r="M1620" i="4"/>
  <c r="N1620" i="4"/>
  <c r="O1620" i="4"/>
  <c r="P1620" i="4"/>
  <c r="Q1620" i="4"/>
  <c r="R1620" i="4"/>
  <c r="K1621" i="4"/>
  <c r="L1621" i="4"/>
  <c r="M1621" i="4"/>
  <c r="N1621" i="4"/>
  <c r="O1621" i="4"/>
  <c r="P1621" i="4"/>
  <c r="Q1621" i="4"/>
  <c r="R1621" i="4"/>
  <c r="K1622" i="4"/>
  <c r="L1622" i="4"/>
  <c r="M1622" i="4"/>
  <c r="N1622" i="4"/>
  <c r="O1622" i="4"/>
  <c r="P1622" i="4"/>
  <c r="Q1622" i="4"/>
  <c r="R1622" i="4"/>
  <c r="K1623" i="4"/>
  <c r="L1623" i="4"/>
  <c r="M1623" i="4"/>
  <c r="N1623" i="4"/>
  <c r="O1623" i="4"/>
  <c r="P1623" i="4"/>
  <c r="Q1623" i="4"/>
  <c r="R1623" i="4"/>
  <c r="K1624" i="4"/>
  <c r="L1624" i="4"/>
  <c r="M1624" i="4"/>
  <c r="N1624" i="4"/>
  <c r="O1624" i="4"/>
  <c r="P1624" i="4"/>
  <c r="Q1624" i="4"/>
  <c r="R1624" i="4"/>
  <c r="K1625" i="4"/>
  <c r="L1625" i="4"/>
  <c r="M1625" i="4"/>
  <c r="N1625" i="4"/>
  <c r="O1625" i="4"/>
  <c r="P1625" i="4"/>
  <c r="Q1625" i="4"/>
  <c r="R1625" i="4"/>
  <c r="K1626" i="4"/>
  <c r="L1626" i="4"/>
  <c r="M1626" i="4"/>
  <c r="N1626" i="4"/>
  <c r="O1626" i="4"/>
  <c r="P1626" i="4"/>
  <c r="Q1626" i="4"/>
  <c r="R1626" i="4"/>
  <c r="K1627" i="4"/>
  <c r="L1627" i="4"/>
  <c r="M1627" i="4"/>
  <c r="N1627" i="4"/>
  <c r="O1627" i="4"/>
  <c r="P1627" i="4"/>
  <c r="Q1627" i="4"/>
  <c r="R1627" i="4"/>
  <c r="K1628" i="4"/>
  <c r="L1628" i="4"/>
  <c r="M1628" i="4"/>
  <c r="N1628" i="4"/>
  <c r="O1628" i="4"/>
  <c r="P1628" i="4"/>
  <c r="Q1628" i="4"/>
  <c r="R1628" i="4"/>
  <c r="K1629" i="4"/>
  <c r="L1629" i="4"/>
  <c r="M1629" i="4"/>
  <c r="N1629" i="4"/>
  <c r="O1629" i="4"/>
  <c r="P1629" i="4"/>
  <c r="Q1629" i="4"/>
  <c r="R1629" i="4"/>
  <c r="K1630" i="4"/>
  <c r="L1630" i="4"/>
  <c r="M1630" i="4"/>
  <c r="N1630" i="4"/>
  <c r="O1630" i="4"/>
  <c r="P1630" i="4"/>
  <c r="Q1630" i="4"/>
  <c r="R1630" i="4"/>
  <c r="K1631" i="4"/>
  <c r="L1631" i="4"/>
  <c r="M1631" i="4"/>
  <c r="N1631" i="4"/>
  <c r="O1631" i="4"/>
  <c r="P1631" i="4"/>
  <c r="Q1631" i="4"/>
  <c r="R1631" i="4"/>
  <c r="K1632" i="4"/>
  <c r="L1632" i="4"/>
  <c r="M1632" i="4"/>
  <c r="N1632" i="4"/>
  <c r="O1632" i="4"/>
  <c r="P1632" i="4"/>
  <c r="Q1632" i="4"/>
  <c r="R1632" i="4"/>
  <c r="K1633" i="4"/>
  <c r="L1633" i="4"/>
  <c r="M1633" i="4"/>
  <c r="N1633" i="4"/>
  <c r="O1633" i="4"/>
  <c r="P1633" i="4"/>
  <c r="Q1633" i="4"/>
  <c r="R1633" i="4"/>
  <c r="K1634" i="4"/>
  <c r="L1634" i="4"/>
  <c r="M1634" i="4"/>
  <c r="N1634" i="4"/>
  <c r="O1634" i="4"/>
  <c r="P1634" i="4"/>
  <c r="Q1634" i="4"/>
  <c r="R1634" i="4"/>
  <c r="K1635" i="4"/>
  <c r="L1635" i="4"/>
  <c r="M1635" i="4"/>
  <c r="N1635" i="4"/>
  <c r="O1635" i="4"/>
  <c r="P1635" i="4"/>
  <c r="Q1635" i="4"/>
  <c r="R1635" i="4"/>
  <c r="K1636" i="4"/>
  <c r="L1636" i="4"/>
  <c r="M1636" i="4"/>
  <c r="N1636" i="4"/>
  <c r="O1636" i="4"/>
  <c r="P1636" i="4"/>
  <c r="Q1636" i="4"/>
  <c r="R1636" i="4"/>
  <c r="K1637" i="4"/>
  <c r="L1637" i="4"/>
  <c r="M1637" i="4"/>
  <c r="N1637" i="4"/>
  <c r="O1637" i="4"/>
  <c r="P1637" i="4"/>
  <c r="Q1637" i="4"/>
  <c r="R1637" i="4"/>
  <c r="K1638" i="4"/>
  <c r="L1638" i="4"/>
  <c r="M1638" i="4"/>
  <c r="N1638" i="4"/>
  <c r="O1638" i="4"/>
  <c r="P1638" i="4"/>
  <c r="Q1638" i="4"/>
  <c r="R1638" i="4"/>
  <c r="K1639" i="4"/>
  <c r="L1639" i="4"/>
  <c r="M1639" i="4"/>
  <c r="N1639" i="4"/>
  <c r="O1639" i="4"/>
  <c r="P1639" i="4"/>
  <c r="Q1639" i="4"/>
  <c r="R1639" i="4"/>
  <c r="K1640" i="4"/>
  <c r="L1640" i="4"/>
  <c r="M1640" i="4"/>
  <c r="N1640" i="4"/>
  <c r="O1640" i="4"/>
  <c r="P1640" i="4"/>
  <c r="Q1640" i="4"/>
  <c r="R1640" i="4"/>
  <c r="K1641" i="4"/>
  <c r="L1641" i="4"/>
  <c r="M1641" i="4"/>
  <c r="N1641" i="4"/>
  <c r="O1641" i="4"/>
  <c r="P1641" i="4"/>
  <c r="Q1641" i="4"/>
  <c r="R1641" i="4"/>
  <c r="K1642" i="4"/>
  <c r="L1642" i="4"/>
  <c r="M1642" i="4"/>
  <c r="N1642" i="4"/>
  <c r="O1642" i="4"/>
  <c r="P1642" i="4"/>
  <c r="Q1642" i="4"/>
  <c r="R1642" i="4"/>
  <c r="K1643" i="4"/>
  <c r="L1643" i="4"/>
  <c r="M1643" i="4"/>
  <c r="N1643" i="4"/>
  <c r="O1643" i="4"/>
  <c r="P1643" i="4"/>
  <c r="Q1643" i="4"/>
  <c r="R1643" i="4"/>
  <c r="K1644" i="4"/>
  <c r="L1644" i="4"/>
  <c r="M1644" i="4"/>
  <c r="N1644" i="4"/>
  <c r="O1644" i="4"/>
  <c r="P1644" i="4"/>
  <c r="Q1644" i="4"/>
  <c r="R1644" i="4"/>
  <c r="K1645" i="4"/>
  <c r="L1645" i="4"/>
  <c r="M1645" i="4"/>
  <c r="N1645" i="4"/>
  <c r="O1645" i="4"/>
  <c r="P1645" i="4"/>
  <c r="Q1645" i="4"/>
  <c r="R1645" i="4"/>
  <c r="K1646" i="4"/>
  <c r="L1646" i="4"/>
  <c r="M1646" i="4"/>
  <c r="N1646" i="4"/>
  <c r="O1646" i="4"/>
  <c r="P1646" i="4"/>
  <c r="Q1646" i="4"/>
  <c r="R1646" i="4"/>
  <c r="K1647" i="4"/>
  <c r="L1647" i="4"/>
  <c r="M1647" i="4"/>
  <c r="N1647" i="4"/>
  <c r="O1647" i="4"/>
  <c r="P1647" i="4"/>
  <c r="Q1647" i="4"/>
  <c r="R1647" i="4"/>
  <c r="K1648" i="4"/>
  <c r="L1648" i="4"/>
  <c r="M1648" i="4"/>
  <c r="N1648" i="4"/>
  <c r="O1648" i="4"/>
  <c r="P1648" i="4"/>
  <c r="Q1648" i="4"/>
  <c r="R1648" i="4"/>
  <c r="K1649" i="4"/>
  <c r="L1649" i="4"/>
  <c r="M1649" i="4"/>
  <c r="N1649" i="4"/>
  <c r="O1649" i="4"/>
  <c r="P1649" i="4"/>
  <c r="Q1649" i="4"/>
  <c r="R1649" i="4"/>
  <c r="K1650" i="4"/>
  <c r="L1650" i="4"/>
  <c r="M1650" i="4"/>
  <c r="N1650" i="4"/>
  <c r="O1650" i="4"/>
  <c r="P1650" i="4"/>
  <c r="Q1650" i="4"/>
  <c r="R1650" i="4"/>
  <c r="K1651" i="4"/>
  <c r="L1651" i="4"/>
  <c r="M1651" i="4"/>
  <c r="N1651" i="4"/>
  <c r="O1651" i="4"/>
  <c r="P1651" i="4"/>
  <c r="Q1651" i="4"/>
  <c r="R1651" i="4"/>
  <c r="K1652" i="4"/>
  <c r="L1652" i="4"/>
  <c r="M1652" i="4"/>
  <c r="N1652" i="4"/>
  <c r="O1652" i="4"/>
  <c r="P1652" i="4"/>
  <c r="Q1652" i="4"/>
  <c r="R1652" i="4"/>
  <c r="K1653" i="4"/>
  <c r="L1653" i="4"/>
  <c r="M1653" i="4"/>
  <c r="N1653" i="4"/>
  <c r="O1653" i="4"/>
  <c r="P1653" i="4"/>
  <c r="Q1653" i="4"/>
  <c r="R1653" i="4"/>
  <c r="K1654" i="4"/>
  <c r="L1654" i="4"/>
  <c r="M1654" i="4"/>
  <c r="N1654" i="4"/>
  <c r="O1654" i="4"/>
  <c r="P1654" i="4"/>
  <c r="Q1654" i="4"/>
  <c r="R1654" i="4"/>
  <c r="K1655" i="4"/>
  <c r="L1655" i="4"/>
  <c r="M1655" i="4"/>
  <c r="N1655" i="4"/>
  <c r="O1655" i="4"/>
  <c r="P1655" i="4"/>
  <c r="Q1655" i="4"/>
  <c r="R1655" i="4"/>
  <c r="K1656" i="4"/>
  <c r="L1656" i="4"/>
  <c r="M1656" i="4"/>
  <c r="N1656" i="4"/>
  <c r="O1656" i="4"/>
  <c r="P1656" i="4"/>
  <c r="Q1656" i="4"/>
  <c r="R1656" i="4"/>
  <c r="K1657" i="4"/>
  <c r="L1657" i="4"/>
  <c r="M1657" i="4"/>
  <c r="N1657" i="4"/>
  <c r="O1657" i="4"/>
  <c r="P1657" i="4"/>
  <c r="Q1657" i="4"/>
  <c r="R1657" i="4"/>
  <c r="K1658" i="4"/>
  <c r="L1658" i="4"/>
  <c r="M1658" i="4"/>
  <c r="N1658" i="4"/>
  <c r="O1658" i="4"/>
  <c r="P1658" i="4"/>
  <c r="Q1658" i="4"/>
  <c r="R1658" i="4"/>
  <c r="K1659" i="4"/>
  <c r="L1659" i="4"/>
  <c r="M1659" i="4"/>
  <c r="N1659" i="4"/>
  <c r="O1659" i="4"/>
  <c r="P1659" i="4"/>
  <c r="Q1659" i="4"/>
  <c r="R1659" i="4"/>
  <c r="K1660" i="4"/>
  <c r="L1660" i="4"/>
  <c r="M1660" i="4"/>
  <c r="N1660" i="4"/>
  <c r="O1660" i="4"/>
  <c r="P1660" i="4"/>
  <c r="Q1660" i="4"/>
  <c r="R1660" i="4"/>
  <c r="K1661" i="4"/>
  <c r="L1661" i="4"/>
  <c r="M1661" i="4"/>
  <c r="N1661" i="4"/>
  <c r="O1661" i="4"/>
  <c r="P1661" i="4"/>
  <c r="Q1661" i="4"/>
  <c r="R1661" i="4"/>
  <c r="K1662" i="4"/>
  <c r="L1662" i="4"/>
  <c r="M1662" i="4"/>
  <c r="N1662" i="4"/>
  <c r="O1662" i="4"/>
  <c r="P1662" i="4"/>
  <c r="Q1662" i="4"/>
  <c r="R1662" i="4"/>
  <c r="K1663" i="4"/>
  <c r="L1663" i="4"/>
  <c r="M1663" i="4"/>
  <c r="N1663" i="4"/>
  <c r="O1663" i="4"/>
  <c r="P1663" i="4"/>
  <c r="Q1663" i="4"/>
  <c r="R1663" i="4"/>
  <c r="K1664" i="4"/>
  <c r="L1664" i="4"/>
  <c r="M1664" i="4"/>
  <c r="N1664" i="4"/>
  <c r="O1664" i="4"/>
  <c r="P1664" i="4"/>
  <c r="Q1664" i="4"/>
  <c r="R1664" i="4"/>
  <c r="K1665" i="4"/>
  <c r="L1665" i="4"/>
  <c r="M1665" i="4"/>
  <c r="N1665" i="4"/>
  <c r="O1665" i="4"/>
  <c r="P1665" i="4"/>
  <c r="Q1665" i="4"/>
  <c r="R1665" i="4"/>
  <c r="K1666" i="4"/>
  <c r="L1666" i="4"/>
  <c r="M1666" i="4"/>
  <c r="N1666" i="4"/>
  <c r="O1666" i="4"/>
  <c r="P1666" i="4"/>
  <c r="Q1666" i="4"/>
  <c r="R1666" i="4"/>
  <c r="K1667" i="4"/>
  <c r="L1667" i="4"/>
  <c r="M1667" i="4"/>
  <c r="N1667" i="4"/>
  <c r="O1667" i="4"/>
  <c r="P1667" i="4"/>
  <c r="Q1667" i="4"/>
  <c r="R1667" i="4"/>
  <c r="K1668" i="4"/>
  <c r="L1668" i="4"/>
  <c r="M1668" i="4"/>
  <c r="N1668" i="4"/>
  <c r="O1668" i="4"/>
  <c r="P1668" i="4"/>
  <c r="Q1668" i="4"/>
  <c r="R1668" i="4"/>
  <c r="K1669" i="4"/>
  <c r="L1669" i="4"/>
  <c r="M1669" i="4"/>
  <c r="N1669" i="4"/>
  <c r="O1669" i="4"/>
  <c r="P1669" i="4"/>
  <c r="Q1669" i="4"/>
  <c r="R1669" i="4"/>
  <c r="K1670" i="4"/>
  <c r="L1670" i="4"/>
  <c r="M1670" i="4"/>
  <c r="N1670" i="4"/>
  <c r="O1670" i="4"/>
  <c r="P1670" i="4"/>
  <c r="Q1670" i="4"/>
  <c r="R1670" i="4"/>
  <c r="K1671" i="4"/>
  <c r="L1671" i="4"/>
  <c r="M1671" i="4"/>
  <c r="N1671" i="4"/>
  <c r="O1671" i="4"/>
  <c r="P1671" i="4"/>
  <c r="Q1671" i="4"/>
  <c r="R1671" i="4"/>
  <c r="K1672" i="4"/>
  <c r="L1672" i="4"/>
  <c r="M1672" i="4"/>
  <c r="N1672" i="4"/>
  <c r="O1672" i="4"/>
  <c r="P1672" i="4"/>
  <c r="Q1672" i="4"/>
  <c r="R1672" i="4"/>
  <c r="K1673" i="4"/>
  <c r="L1673" i="4"/>
  <c r="M1673" i="4"/>
  <c r="N1673" i="4"/>
  <c r="O1673" i="4"/>
  <c r="P1673" i="4"/>
  <c r="Q1673" i="4"/>
  <c r="R1673" i="4"/>
  <c r="K1674" i="4"/>
  <c r="L1674" i="4"/>
  <c r="M1674" i="4"/>
  <c r="N1674" i="4"/>
  <c r="O1674" i="4"/>
  <c r="P1674" i="4"/>
  <c r="Q1674" i="4"/>
  <c r="R1674" i="4"/>
  <c r="K1675" i="4"/>
  <c r="L1675" i="4"/>
  <c r="M1675" i="4"/>
  <c r="N1675" i="4"/>
  <c r="O1675" i="4"/>
  <c r="P1675" i="4"/>
  <c r="Q1675" i="4"/>
  <c r="R1675" i="4"/>
  <c r="K1676" i="4"/>
  <c r="L1676" i="4"/>
  <c r="M1676" i="4"/>
  <c r="N1676" i="4"/>
  <c r="O1676" i="4"/>
  <c r="P1676" i="4"/>
  <c r="Q1676" i="4"/>
  <c r="R1676" i="4"/>
  <c r="K1677" i="4"/>
  <c r="L1677" i="4"/>
  <c r="M1677" i="4"/>
  <c r="N1677" i="4"/>
  <c r="O1677" i="4"/>
  <c r="P1677" i="4"/>
  <c r="Q1677" i="4"/>
  <c r="R1677" i="4"/>
  <c r="K1678" i="4"/>
  <c r="L1678" i="4"/>
  <c r="M1678" i="4"/>
  <c r="N1678" i="4"/>
  <c r="O1678" i="4"/>
  <c r="P1678" i="4"/>
  <c r="Q1678" i="4"/>
  <c r="R1678" i="4"/>
  <c r="K1679" i="4"/>
  <c r="L1679" i="4"/>
  <c r="M1679" i="4"/>
  <c r="N1679" i="4"/>
  <c r="O1679" i="4"/>
  <c r="P1679" i="4"/>
  <c r="Q1679" i="4"/>
  <c r="R1679" i="4"/>
  <c r="K1680" i="4"/>
  <c r="L1680" i="4"/>
  <c r="M1680" i="4"/>
  <c r="N1680" i="4"/>
  <c r="O1680" i="4"/>
  <c r="P1680" i="4"/>
  <c r="Q1680" i="4"/>
  <c r="R1680" i="4"/>
  <c r="K1681" i="4"/>
  <c r="L1681" i="4"/>
  <c r="M1681" i="4"/>
  <c r="N1681" i="4"/>
  <c r="O1681" i="4"/>
  <c r="P1681" i="4"/>
  <c r="Q1681" i="4"/>
  <c r="R1681" i="4"/>
  <c r="K1682" i="4"/>
  <c r="L1682" i="4"/>
  <c r="M1682" i="4"/>
  <c r="N1682" i="4"/>
  <c r="O1682" i="4"/>
  <c r="P1682" i="4"/>
  <c r="Q1682" i="4"/>
  <c r="R1682" i="4"/>
  <c r="K1683" i="4"/>
  <c r="L1683" i="4"/>
  <c r="M1683" i="4"/>
  <c r="N1683" i="4"/>
  <c r="O1683" i="4"/>
  <c r="P1683" i="4"/>
  <c r="Q1683" i="4"/>
  <c r="R1683" i="4"/>
  <c r="K1684" i="4"/>
  <c r="L1684" i="4"/>
  <c r="M1684" i="4"/>
  <c r="N1684" i="4"/>
  <c r="O1684" i="4"/>
  <c r="P1684" i="4"/>
  <c r="Q1684" i="4"/>
  <c r="R1684" i="4"/>
  <c r="K1685" i="4"/>
  <c r="L1685" i="4"/>
  <c r="M1685" i="4"/>
  <c r="N1685" i="4"/>
  <c r="O1685" i="4"/>
  <c r="P1685" i="4"/>
  <c r="Q1685" i="4"/>
  <c r="R1685" i="4"/>
  <c r="K1686" i="4"/>
  <c r="L1686" i="4"/>
  <c r="M1686" i="4"/>
  <c r="N1686" i="4"/>
  <c r="O1686" i="4"/>
  <c r="P1686" i="4"/>
  <c r="Q1686" i="4"/>
  <c r="R1686" i="4"/>
  <c r="K1687" i="4"/>
  <c r="L1687" i="4"/>
  <c r="M1687" i="4"/>
  <c r="N1687" i="4"/>
  <c r="O1687" i="4"/>
  <c r="P1687" i="4"/>
  <c r="Q1687" i="4"/>
  <c r="R1687" i="4"/>
  <c r="K1688" i="4"/>
  <c r="L1688" i="4"/>
  <c r="M1688" i="4"/>
  <c r="N1688" i="4"/>
  <c r="O1688" i="4"/>
  <c r="P1688" i="4"/>
  <c r="Q1688" i="4"/>
  <c r="R1688" i="4"/>
  <c r="K1689" i="4"/>
  <c r="L1689" i="4"/>
  <c r="M1689" i="4"/>
  <c r="N1689" i="4"/>
  <c r="O1689" i="4"/>
  <c r="P1689" i="4"/>
  <c r="Q1689" i="4"/>
  <c r="R1689" i="4"/>
  <c r="K1690" i="4"/>
  <c r="L1690" i="4"/>
  <c r="M1690" i="4"/>
  <c r="N1690" i="4"/>
  <c r="O1690" i="4"/>
  <c r="P1690" i="4"/>
  <c r="Q1690" i="4"/>
  <c r="R1690" i="4"/>
  <c r="K1691" i="4"/>
  <c r="L1691" i="4"/>
  <c r="M1691" i="4"/>
  <c r="N1691" i="4"/>
  <c r="O1691" i="4"/>
  <c r="P1691" i="4"/>
  <c r="Q1691" i="4"/>
  <c r="R1691" i="4"/>
  <c r="K1692" i="4"/>
  <c r="L1692" i="4"/>
  <c r="M1692" i="4"/>
  <c r="N1692" i="4"/>
  <c r="O1692" i="4"/>
  <c r="P1692" i="4"/>
  <c r="Q1692" i="4"/>
  <c r="R1692" i="4"/>
  <c r="K1693" i="4"/>
  <c r="L1693" i="4"/>
  <c r="M1693" i="4"/>
  <c r="N1693" i="4"/>
  <c r="O1693" i="4"/>
  <c r="P1693" i="4"/>
  <c r="Q1693" i="4"/>
  <c r="R1693" i="4"/>
  <c r="K1694" i="4"/>
  <c r="L1694" i="4"/>
  <c r="M1694" i="4"/>
  <c r="N1694" i="4"/>
  <c r="O1694" i="4"/>
  <c r="P1694" i="4"/>
  <c r="Q1694" i="4"/>
  <c r="R1694" i="4"/>
  <c r="K1695" i="4"/>
  <c r="L1695" i="4"/>
  <c r="M1695" i="4"/>
  <c r="N1695" i="4"/>
  <c r="O1695" i="4"/>
  <c r="P1695" i="4"/>
  <c r="Q1695" i="4"/>
  <c r="R1695" i="4"/>
  <c r="K1696" i="4"/>
  <c r="L1696" i="4"/>
  <c r="M1696" i="4"/>
  <c r="N1696" i="4"/>
  <c r="O1696" i="4"/>
  <c r="P1696" i="4"/>
  <c r="Q1696" i="4"/>
  <c r="R1696" i="4"/>
  <c r="K1697" i="4"/>
  <c r="L1697" i="4"/>
  <c r="M1697" i="4"/>
  <c r="N1697" i="4"/>
  <c r="O1697" i="4"/>
  <c r="P1697" i="4"/>
  <c r="Q1697" i="4"/>
  <c r="R1697" i="4"/>
  <c r="K1698" i="4"/>
  <c r="L1698" i="4"/>
  <c r="M1698" i="4"/>
  <c r="N1698" i="4"/>
  <c r="O1698" i="4"/>
  <c r="P1698" i="4"/>
  <c r="Q1698" i="4"/>
  <c r="R1698" i="4"/>
  <c r="K1699" i="4"/>
  <c r="L1699" i="4"/>
  <c r="M1699" i="4"/>
  <c r="N1699" i="4"/>
  <c r="O1699" i="4"/>
  <c r="P1699" i="4"/>
  <c r="Q1699" i="4"/>
  <c r="R1699" i="4"/>
  <c r="K1700" i="4"/>
  <c r="L1700" i="4"/>
  <c r="M1700" i="4"/>
  <c r="N1700" i="4"/>
  <c r="O1700" i="4"/>
  <c r="P1700" i="4"/>
  <c r="Q1700" i="4"/>
  <c r="R1700" i="4"/>
  <c r="K1701" i="4"/>
  <c r="L1701" i="4"/>
  <c r="M1701" i="4"/>
  <c r="N1701" i="4"/>
  <c r="O1701" i="4"/>
  <c r="P1701" i="4"/>
  <c r="Q1701" i="4"/>
  <c r="R1701" i="4"/>
  <c r="K1702" i="4"/>
  <c r="L1702" i="4"/>
  <c r="M1702" i="4"/>
  <c r="N1702" i="4"/>
  <c r="O1702" i="4"/>
  <c r="P1702" i="4"/>
  <c r="Q1702" i="4"/>
  <c r="R1702" i="4"/>
  <c r="K1703" i="4"/>
  <c r="L1703" i="4"/>
  <c r="M1703" i="4"/>
  <c r="N1703" i="4"/>
  <c r="O1703" i="4"/>
  <c r="P1703" i="4"/>
  <c r="Q1703" i="4"/>
  <c r="R1703" i="4"/>
  <c r="K1704" i="4"/>
  <c r="L1704" i="4"/>
  <c r="M1704" i="4"/>
  <c r="N1704" i="4"/>
  <c r="O1704" i="4"/>
  <c r="P1704" i="4"/>
  <c r="Q1704" i="4"/>
  <c r="R1704" i="4"/>
  <c r="K1705" i="4"/>
  <c r="L1705" i="4"/>
  <c r="M1705" i="4"/>
  <c r="N1705" i="4"/>
  <c r="O1705" i="4"/>
  <c r="P1705" i="4"/>
  <c r="Q1705" i="4"/>
  <c r="R1705" i="4"/>
  <c r="K1706" i="4"/>
  <c r="L1706" i="4"/>
  <c r="M1706" i="4"/>
  <c r="N1706" i="4"/>
  <c r="O1706" i="4"/>
  <c r="P1706" i="4"/>
  <c r="Q1706" i="4"/>
  <c r="R1706" i="4"/>
  <c r="K1707" i="4"/>
  <c r="L1707" i="4"/>
  <c r="M1707" i="4"/>
  <c r="N1707" i="4"/>
  <c r="O1707" i="4"/>
  <c r="P1707" i="4"/>
  <c r="Q1707" i="4"/>
  <c r="R1707" i="4"/>
  <c r="K1708" i="4"/>
  <c r="L1708" i="4"/>
  <c r="M1708" i="4"/>
  <c r="N1708" i="4"/>
  <c r="O1708" i="4"/>
  <c r="P1708" i="4"/>
  <c r="Q1708" i="4"/>
  <c r="R1708" i="4"/>
  <c r="K1709" i="4"/>
  <c r="L1709" i="4"/>
  <c r="M1709" i="4"/>
  <c r="N1709" i="4"/>
  <c r="O1709" i="4"/>
  <c r="P1709" i="4"/>
  <c r="Q1709" i="4"/>
  <c r="R1709" i="4"/>
  <c r="K1710" i="4"/>
  <c r="L1710" i="4"/>
  <c r="M1710" i="4"/>
  <c r="N1710" i="4"/>
  <c r="O1710" i="4"/>
  <c r="P1710" i="4"/>
  <c r="Q1710" i="4"/>
  <c r="R1710" i="4"/>
  <c r="K1711" i="4"/>
  <c r="L1711" i="4"/>
  <c r="M1711" i="4"/>
  <c r="N1711" i="4"/>
  <c r="O1711" i="4"/>
  <c r="P1711" i="4"/>
  <c r="Q1711" i="4"/>
  <c r="R1711" i="4"/>
  <c r="K1712" i="4"/>
  <c r="L1712" i="4"/>
  <c r="M1712" i="4"/>
  <c r="N1712" i="4"/>
  <c r="O1712" i="4"/>
  <c r="P1712" i="4"/>
  <c r="Q1712" i="4"/>
  <c r="R1712" i="4"/>
  <c r="K1713" i="4"/>
  <c r="L1713" i="4"/>
  <c r="M1713" i="4"/>
  <c r="N1713" i="4"/>
  <c r="O1713" i="4"/>
  <c r="P1713" i="4"/>
  <c r="Q1713" i="4"/>
  <c r="R1713" i="4"/>
  <c r="K1714" i="4"/>
  <c r="L1714" i="4"/>
  <c r="M1714" i="4"/>
  <c r="N1714" i="4"/>
  <c r="O1714" i="4"/>
  <c r="P1714" i="4"/>
  <c r="Q1714" i="4"/>
  <c r="R1714" i="4"/>
  <c r="K1715" i="4"/>
  <c r="L1715" i="4"/>
  <c r="M1715" i="4"/>
  <c r="N1715" i="4"/>
  <c r="O1715" i="4"/>
  <c r="P1715" i="4"/>
  <c r="Q1715" i="4"/>
  <c r="R1715" i="4"/>
  <c r="K1716" i="4"/>
  <c r="L1716" i="4"/>
  <c r="M1716" i="4"/>
  <c r="N1716" i="4"/>
  <c r="O1716" i="4"/>
  <c r="P1716" i="4"/>
  <c r="Q1716" i="4"/>
  <c r="R1716" i="4"/>
  <c r="K1717" i="4"/>
  <c r="L1717" i="4"/>
  <c r="M1717" i="4"/>
  <c r="N1717" i="4"/>
  <c r="O1717" i="4"/>
  <c r="P1717" i="4"/>
  <c r="Q1717" i="4"/>
  <c r="R1717" i="4"/>
  <c r="K1718" i="4"/>
  <c r="L1718" i="4"/>
  <c r="M1718" i="4"/>
  <c r="N1718" i="4"/>
  <c r="O1718" i="4"/>
  <c r="P1718" i="4"/>
  <c r="Q1718" i="4"/>
  <c r="R1718" i="4"/>
  <c r="K1719" i="4"/>
  <c r="L1719" i="4"/>
  <c r="M1719" i="4"/>
  <c r="N1719" i="4"/>
  <c r="O1719" i="4"/>
  <c r="P1719" i="4"/>
  <c r="Q1719" i="4"/>
  <c r="R1719" i="4"/>
  <c r="K1720" i="4"/>
  <c r="L1720" i="4"/>
  <c r="M1720" i="4"/>
  <c r="N1720" i="4"/>
  <c r="O1720" i="4"/>
  <c r="P1720" i="4"/>
  <c r="Q1720" i="4"/>
  <c r="R1720" i="4"/>
  <c r="K1721" i="4"/>
  <c r="L1721" i="4"/>
  <c r="M1721" i="4"/>
  <c r="N1721" i="4"/>
  <c r="O1721" i="4"/>
  <c r="P1721" i="4"/>
  <c r="Q1721" i="4"/>
  <c r="R1721" i="4"/>
  <c r="K1722" i="4"/>
  <c r="L1722" i="4"/>
  <c r="M1722" i="4"/>
  <c r="N1722" i="4"/>
  <c r="O1722" i="4"/>
  <c r="P1722" i="4"/>
  <c r="Q1722" i="4"/>
  <c r="R1722" i="4"/>
  <c r="K1723" i="4"/>
  <c r="L1723" i="4"/>
  <c r="M1723" i="4"/>
  <c r="N1723" i="4"/>
  <c r="O1723" i="4"/>
  <c r="P1723" i="4"/>
  <c r="Q1723" i="4"/>
  <c r="R1723" i="4"/>
  <c r="K1724" i="4"/>
  <c r="L1724" i="4"/>
  <c r="M1724" i="4"/>
  <c r="N1724" i="4"/>
  <c r="O1724" i="4"/>
  <c r="P1724" i="4"/>
  <c r="Q1724" i="4"/>
  <c r="R1724" i="4"/>
  <c r="K1725" i="4"/>
  <c r="L1725" i="4"/>
  <c r="M1725" i="4"/>
  <c r="N1725" i="4"/>
  <c r="O1725" i="4"/>
  <c r="P1725" i="4"/>
  <c r="Q1725" i="4"/>
  <c r="R1725" i="4"/>
  <c r="K1726" i="4"/>
  <c r="L1726" i="4"/>
  <c r="M1726" i="4"/>
  <c r="N1726" i="4"/>
  <c r="O1726" i="4"/>
  <c r="P1726" i="4"/>
  <c r="Q1726" i="4"/>
  <c r="R1726" i="4"/>
  <c r="K1727" i="4"/>
  <c r="L1727" i="4"/>
  <c r="M1727" i="4"/>
  <c r="N1727" i="4"/>
  <c r="O1727" i="4"/>
  <c r="P1727" i="4"/>
  <c r="Q1727" i="4"/>
  <c r="R1727" i="4"/>
  <c r="K1728" i="4"/>
  <c r="L1728" i="4"/>
  <c r="M1728" i="4"/>
  <c r="N1728" i="4"/>
  <c r="O1728" i="4"/>
  <c r="P1728" i="4"/>
  <c r="Q1728" i="4"/>
  <c r="R1728" i="4"/>
  <c r="K1729" i="4"/>
  <c r="L1729" i="4"/>
  <c r="M1729" i="4"/>
  <c r="N1729" i="4"/>
  <c r="O1729" i="4"/>
  <c r="P1729" i="4"/>
  <c r="Q1729" i="4"/>
  <c r="R1729" i="4"/>
  <c r="K1730" i="4"/>
  <c r="L1730" i="4"/>
  <c r="M1730" i="4"/>
  <c r="N1730" i="4"/>
  <c r="O1730" i="4"/>
  <c r="P1730" i="4"/>
  <c r="Q1730" i="4"/>
  <c r="R1730" i="4"/>
  <c r="K1731" i="4"/>
  <c r="L1731" i="4"/>
  <c r="M1731" i="4"/>
  <c r="N1731" i="4"/>
  <c r="O1731" i="4"/>
  <c r="P1731" i="4"/>
  <c r="Q1731" i="4"/>
  <c r="R1731" i="4"/>
  <c r="K1732" i="4"/>
  <c r="L1732" i="4"/>
  <c r="M1732" i="4"/>
  <c r="N1732" i="4"/>
  <c r="O1732" i="4"/>
  <c r="P1732" i="4"/>
  <c r="Q1732" i="4"/>
  <c r="R1732" i="4"/>
  <c r="K1733" i="4"/>
  <c r="L1733" i="4"/>
  <c r="M1733" i="4"/>
  <c r="N1733" i="4"/>
  <c r="O1733" i="4"/>
  <c r="P1733" i="4"/>
  <c r="Q1733" i="4"/>
  <c r="R1733" i="4"/>
  <c r="K1734" i="4"/>
  <c r="L1734" i="4"/>
  <c r="M1734" i="4"/>
  <c r="N1734" i="4"/>
  <c r="O1734" i="4"/>
  <c r="P1734" i="4"/>
  <c r="Q1734" i="4"/>
  <c r="R1734" i="4"/>
  <c r="K1735" i="4"/>
  <c r="L1735" i="4"/>
  <c r="M1735" i="4"/>
  <c r="N1735" i="4"/>
  <c r="O1735" i="4"/>
  <c r="P1735" i="4"/>
  <c r="Q1735" i="4"/>
  <c r="R1735" i="4"/>
  <c r="K1736" i="4"/>
  <c r="L1736" i="4"/>
  <c r="M1736" i="4"/>
  <c r="N1736" i="4"/>
  <c r="O1736" i="4"/>
  <c r="P1736" i="4"/>
  <c r="Q1736" i="4"/>
  <c r="R1736" i="4"/>
  <c r="K1737" i="4"/>
  <c r="L1737" i="4"/>
  <c r="M1737" i="4"/>
  <c r="N1737" i="4"/>
  <c r="O1737" i="4"/>
  <c r="P1737" i="4"/>
  <c r="Q1737" i="4"/>
  <c r="R1737" i="4"/>
  <c r="K1738" i="4"/>
  <c r="L1738" i="4"/>
  <c r="M1738" i="4"/>
  <c r="N1738" i="4"/>
  <c r="O1738" i="4"/>
  <c r="P1738" i="4"/>
  <c r="Q1738" i="4"/>
  <c r="R1738" i="4"/>
  <c r="K1739" i="4"/>
  <c r="L1739" i="4"/>
  <c r="M1739" i="4"/>
  <c r="N1739" i="4"/>
  <c r="O1739" i="4"/>
  <c r="P1739" i="4"/>
  <c r="Q1739" i="4"/>
  <c r="R1739" i="4"/>
  <c r="K1740" i="4"/>
  <c r="L1740" i="4"/>
  <c r="M1740" i="4"/>
  <c r="N1740" i="4"/>
  <c r="O1740" i="4"/>
  <c r="P1740" i="4"/>
  <c r="Q1740" i="4"/>
  <c r="R1740" i="4"/>
  <c r="K1741" i="4"/>
  <c r="L1741" i="4"/>
  <c r="M1741" i="4"/>
  <c r="N1741" i="4"/>
  <c r="O1741" i="4"/>
  <c r="P1741" i="4"/>
  <c r="Q1741" i="4"/>
  <c r="R1741" i="4"/>
  <c r="K1742" i="4"/>
  <c r="L1742" i="4"/>
  <c r="M1742" i="4"/>
  <c r="N1742" i="4"/>
  <c r="O1742" i="4"/>
  <c r="P1742" i="4"/>
  <c r="Q1742" i="4"/>
  <c r="R1742" i="4"/>
  <c r="K1743" i="4"/>
  <c r="L1743" i="4"/>
  <c r="M1743" i="4"/>
  <c r="N1743" i="4"/>
  <c r="O1743" i="4"/>
  <c r="P1743" i="4"/>
  <c r="Q1743" i="4"/>
  <c r="R1743" i="4"/>
  <c r="K1744" i="4"/>
  <c r="L1744" i="4"/>
  <c r="M1744" i="4"/>
  <c r="N1744" i="4"/>
  <c r="O1744" i="4"/>
  <c r="P1744" i="4"/>
  <c r="Q1744" i="4"/>
  <c r="R1744" i="4"/>
  <c r="K1745" i="4"/>
  <c r="L1745" i="4"/>
  <c r="M1745" i="4"/>
  <c r="N1745" i="4"/>
  <c r="O1745" i="4"/>
  <c r="P1745" i="4"/>
  <c r="Q1745" i="4"/>
  <c r="R1745" i="4"/>
  <c r="K1746" i="4"/>
  <c r="L1746" i="4"/>
  <c r="M1746" i="4"/>
  <c r="N1746" i="4"/>
  <c r="O1746" i="4"/>
  <c r="P1746" i="4"/>
  <c r="Q1746" i="4"/>
  <c r="R1746" i="4"/>
  <c r="K1747" i="4"/>
  <c r="L1747" i="4"/>
  <c r="M1747" i="4"/>
  <c r="N1747" i="4"/>
  <c r="O1747" i="4"/>
  <c r="P1747" i="4"/>
  <c r="Q1747" i="4"/>
  <c r="R1747" i="4"/>
  <c r="K1748" i="4"/>
  <c r="L1748" i="4"/>
  <c r="M1748" i="4"/>
  <c r="N1748" i="4"/>
  <c r="O1748" i="4"/>
  <c r="P1748" i="4"/>
  <c r="Q1748" i="4"/>
  <c r="R1748" i="4"/>
  <c r="K1749" i="4"/>
  <c r="L1749" i="4"/>
  <c r="M1749" i="4"/>
  <c r="N1749" i="4"/>
  <c r="O1749" i="4"/>
  <c r="P1749" i="4"/>
  <c r="Q1749" i="4"/>
  <c r="R1749" i="4"/>
  <c r="K1750" i="4"/>
  <c r="L1750" i="4"/>
  <c r="M1750" i="4"/>
  <c r="N1750" i="4"/>
  <c r="O1750" i="4"/>
  <c r="P1750" i="4"/>
  <c r="Q1750" i="4"/>
  <c r="R1750" i="4"/>
  <c r="K1751" i="4"/>
  <c r="L1751" i="4"/>
  <c r="M1751" i="4"/>
  <c r="N1751" i="4"/>
  <c r="O1751" i="4"/>
  <c r="P1751" i="4"/>
  <c r="Q1751" i="4"/>
  <c r="R1751" i="4"/>
  <c r="K1752" i="4"/>
  <c r="L1752" i="4"/>
  <c r="M1752" i="4"/>
  <c r="N1752" i="4"/>
  <c r="O1752" i="4"/>
  <c r="P1752" i="4"/>
  <c r="Q1752" i="4"/>
  <c r="R1752" i="4"/>
  <c r="K1753" i="4"/>
  <c r="L1753" i="4"/>
  <c r="M1753" i="4"/>
  <c r="N1753" i="4"/>
  <c r="O1753" i="4"/>
  <c r="P1753" i="4"/>
  <c r="Q1753" i="4"/>
  <c r="R1753" i="4"/>
  <c r="K1754" i="4"/>
  <c r="L1754" i="4"/>
  <c r="M1754" i="4"/>
  <c r="N1754" i="4"/>
  <c r="O1754" i="4"/>
  <c r="P1754" i="4"/>
  <c r="Q1754" i="4"/>
  <c r="R1754" i="4"/>
  <c r="K1755" i="4"/>
  <c r="L1755" i="4"/>
  <c r="M1755" i="4"/>
  <c r="N1755" i="4"/>
  <c r="O1755" i="4"/>
  <c r="P1755" i="4"/>
  <c r="Q1755" i="4"/>
  <c r="R1755" i="4"/>
  <c r="K1756" i="4"/>
  <c r="L1756" i="4"/>
  <c r="M1756" i="4"/>
  <c r="N1756" i="4"/>
  <c r="O1756" i="4"/>
  <c r="P1756" i="4"/>
  <c r="Q1756" i="4"/>
  <c r="R1756" i="4"/>
  <c r="K1757" i="4"/>
  <c r="L1757" i="4"/>
  <c r="M1757" i="4"/>
  <c r="N1757" i="4"/>
  <c r="O1757" i="4"/>
  <c r="P1757" i="4"/>
  <c r="Q1757" i="4"/>
  <c r="R1757" i="4"/>
  <c r="K1758" i="4"/>
  <c r="L1758" i="4"/>
  <c r="M1758" i="4"/>
  <c r="N1758" i="4"/>
  <c r="O1758" i="4"/>
  <c r="P1758" i="4"/>
  <c r="Q1758" i="4"/>
  <c r="R1758" i="4"/>
  <c r="K1759" i="4"/>
  <c r="L1759" i="4"/>
  <c r="M1759" i="4"/>
  <c r="N1759" i="4"/>
  <c r="O1759" i="4"/>
  <c r="P1759" i="4"/>
  <c r="Q1759" i="4"/>
  <c r="R1759" i="4"/>
  <c r="K1760" i="4"/>
  <c r="L1760" i="4"/>
  <c r="M1760" i="4"/>
  <c r="N1760" i="4"/>
  <c r="O1760" i="4"/>
  <c r="P1760" i="4"/>
  <c r="Q1760" i="4"/>
  <c r="R1760" i="4"/>
  <c r="K1761" i="4"/>
  <c r="L1761" i="4"/>
  <c r="M1761" i="4"/>
  <c r="N1761" i="4"/>
  <c r="O1761" i="4"/>
  <c r="P1761" i="4"/>
  <c r="Q1761" i="4"/>
  <c r="R1761" i="4"/>
  <c r="K1762" i="4"/>
  <c r="L1762" i="4"/>
  <c r="M1762" i="4"/>
  <c r="N1762" i="4"/>
  <c r="O1762" i="4"/>
  <c r="P1762" i="4"/>
  <c r="Q1762" i="4"/>
  <c r="R1762" i="4"/>
  <c r="K1763" i="4"/>
  <c r="L1763" i="4"/>
  <c r="M1763" i="4"/>
  <c r="N1763" i="4"/>
  <c r="O1763" i="4"/>
  <c r="P1763" i="4"/>
  <c r="Q1763" i="4"/>
  <c r="R1763" i="4"/>
  <c r="K1764" i="4"/>
  <c r="L1764" i="4"/>
  <c r="M1764" i="4"/>
  <c r="N1764" i="4"/>
  <c r="O1764" i="4"/>
  <c r="P1764" i="4"/>
  <c r="Q1764" i="4"/>
  <c r="R1764" i="4"/>
  <c r="K1765" i="4"/>
  <c r="L1765" i="4"/>
  <c r="M1765" i="4"/>
  <c r="N1765" i="4"/>
  <c r="O1765" i="4"/>
  <c r="P1765" i="4"/>
  <c r="Q1765" i="4"/>
  <c r="R1765" i="4"/>
  <c r="K1766" i="4"/>
  <c r="L1766" i="4"/>
  <c r="M1766" i="4"/>
  <c r="N1766" i="4"/>
  <c r="O1766" i="4"/>
  <c r="P1766" i="4"/>
  <c r="Q1766" i="4"/>
  <c r="R1766" i="4"/>
  <c r="K1767" i="4"/>
  <c r="L1767" i="4"/>
  <c r="M1767" i="4"/>
  <c r="N1767" i="4"/>
  <c r="O1767" i="4"/>
  <c r="P1767" i="4"/>
  <c r="Q1767" i="4"/>
  <c r="R1767" i="4"/>
  <c r="K1768" i="4"/>
  <c r="L1768" i="4"/>
  <c r="M1768" i="4"/>
  <c r="N1768" i="4"/>
  <c r="O1768" i="4"/>
  <c r="P1768" i="4"/>
  <c r="Q1768" i="4"/>
  <c r="R1768" i="4"/>
  <c r="K1769" i="4"/>
  <c r="L1769" i="4"/>
  <c r="M1769" i="4"/>
  <c r="N1769" i="4"/>
  <c r="O1769" i="4"/>
  <c r="P1769" i="4"/>
  <c r="Q1769" i="4"/>
  <c r="R1769" i="4"/>
  <c r="K1770" i="4"/>
  <c r="L1770" i="4"/>
  <c r="M1770" i="4"/>
  <c r="N1770" i="4"/>
  <c r="O1770" i="4"/>
  <c r="P1770" i="4"/>
  <c r="Q1770" i="4"/>
  <c r="R1770" i="4"/>
  <c r="K1771" i="4"/>
  <c r="L1771" i="4"/>
  <c r="M1771" i="4"/>
  <c r="N1771" i="4"/>
  <c r="O1771" i="4"/>
  <c r="P1771" i="4"/>
  <c r="Q1771" i="4"/>
  <c r="R1771" i="4"/>
  <c r="K1772" i="4"/>
  <c r="L1772" i="4"/>
  <c r="M1772" i="4"/>
  <c r="N1772" i="4"/>
  <c r="O1772" i="4"/>
  <c r="P1772" i="4"/>
  <c r="Q1772" i="4"/>
  <c r="R1772" i="4"/>
  <c r="K1773" i="4"/>
  <c r="L1773" i="4"/>
  <c r="M1773" i="4"/>
  <c r="N1773" i="4"/>
  <c r="O1773" i="4"/>
  <c r="P1773" i="4"/>
  <c r="Q1773" i="4"/>
  <c r="R1773" i="4"/>
  <c r="K1774" i="4"/>
  <c r="L1774" i="4"/>
  <c r="M1774" i="4"/>
  <c r="N1774" i="4"/>
  <c r="O1774" i="4"/>
  <c r="P1774" i="4"/>
  <c r="Q1774" i="4"/>
  <c r="R1774" i="4"/>
  <c r="K1775" i="4"/>
  <c r="L1775" i="4"/>
  <c r="M1775" i="4"/>
  <c r="N1775" i="4"/>
  <c r="O1775" i="4"/>
  <c r="P1775" i="4"/>
  <c r="Q1775" i="4"/>
  <c r="R1775" i="4"/>
  <c r="K1776" i="4"/>
  <c r="L1776" i="4"/>
  <c r="M1776" i="4"/>
  <c r="N1776" i="4"/>
  <c r="O1776" i="4"/>
  <c r="P1776" i="4"/>
  <c r="Q1776" i="4"/>
  <c r="R1776" i="4"/>
  <c r="K1777" i="4"/>
  <c r="L1777" i="4"/>
  <c r="M1777" i="4"/>
  <c r="N1777" i="4"/>
  <c r="O1777" i="4"/>
  <c r="P1777" i="4"/>
  <c r="Q1777" i="4"/>
  <c r="R1777" i="4"/>
  <c r="K1778" i="4"/>
  <c r="L1778" i="4"/>
  <c r="M1778" i="4"/>
  <c r="N1778" i="4"/>
  <c r="O1778" i="4"/>
  <c r="P1778" i="4"/>
  <c r="Q1778" i="4"/>
  <c r="R1778" i="4"/>
  <c r="K1779" i="4"/>
  <c r="L1779" i="4"/>
  <c r="M1779" i="4"/>
  <c r="N1779" i="4"/>
  <c r="O1779" i="4"/>
  <c r="P1779" i="4"/>
  <c r="Q1779" i="4"/>
  <c r="R1779" i="4"/>
  <c r="K1780" i="4"/>
  <c r="L1780" i="4"/>
  <c r="M1780" i="4"/>
  <c r="N1780" i="4"/>
  <c r="O1780" i="4"/>
  <c r="P1780" i="4"/>
  <c r="Q1780" i="4"/>
  <c r="R1780" i="4"/>
  <c r="K1781" i="4"/>
  <c r="L1781" i="4"/>
  <c r="M1781" i="4"/>
  <c r="N1781" i="4"/>
  <c r="O1781" i="4"/>
  <c r="P1781" i="4"/>
  <c r="Q1781" i="4"/>
  <c r="R1781" i="4"/>
  <c r="K1782" i="4"/>
  <c r="L1782" i="4"/>
  <c r="M1782" i="4"/>
  <c r="N1782" i="4"/>
  <c r="O1782" i="4"/>
  <c r="P1782" i="4"/>
  <c r="Q1782" i="4"/>
  <c r="R1782" i="4"/>
  <c r="K1783" i="4"/>
  <c r="L1783" i="4"/>
  <c r="M1783" i="4"/>
  <c r="N1783" i="4"/>
  <c r="O1783" i="4"/>
  <c r="P1783" i="4"/>
  <c r="Q1783" i="4"/>
  <c r="R1783" i="4"/>
  <c r="K1784" i="4"/>
  <c r="L1784" i="4"/>
  <c r="M1784" i="4"/>
  <c r="N1784" i="4"/>
  <c r="O1784" i="4"/>
  <c r="P1784" i="4"/>
  <c r="Q1784" i="4"/>
  <c r="R1784" i="4"/>
  <c r="K1785" i="4"/>
  <c r="L1785" i="4"/>
  <c r="M1785" i="4"/>
  <c r="N1785" i="4"/>
  <c r="O1785" i="4"/>
  <c r="P1785" i="4"/>
  <c r="Q1785" i="4"/>
  <c r="R1785" i="4"/>
  <c r="K1786" i="4"/>
  <c r="L1786" i="4"/>
  <c r="M1786" i="4"/>
  <c r="N1786" i="4"/>
  <c r="O1786" i="4"/>
  <c r="P1786" i="4"/>
  <c r="Q1786" i="4"/>
  <c r="R1786" i="4"/>
  <c r="K1787" i="4"/>
  <c r="L1787" i="4"/>
  <c r="M1787" i="4"/>
  <c r="N1787" i="4"/>
  <c r="O1787" i="4"/>
  <c r="P1787" i="4"/>
  <c r="Q1787" i="4"/>
  <c r="R1787" i="4"/>
  <c r="K1788" i="4"/>
  <c r="L1788" i="4"/>
  <c r="M1788" i="4"/>
  <c r="N1788" i="4"/>
  <c r="O1788" i="4"/>
  <c r="P1788" i="4"/>
  <c r="Q1788" i="4"/>
  <c r="R1788" i="4"/>
  <c r="K1789" i="4"/>
  <c r="L1789" i="4"/>
  <c r="M1789" i="4"/>
  <c r="N1789" i="4"/>
  <c r="O1789" i="4"/>
  <c r="P1789" i="4"/>
  <c r="Q1789" i="4"/>
  <c r="R1789" i="4"/>
  <c r="K1790" i="4"/>
  <c r="L1790" i="4"/>
  <c r="M1790" i="4"/>
  <c r="N1790" i="4"/>
  <c r="O1790" i="4"/>
  <c r="P1790" i="4"/>
  <c r="Q1790" i="4"/>
  <c r="R1790" i="4"/>
  <c r="K1791" i="4"/>
  <c r="L1791" i="4"/>
  <c r="M1791" i="4"/>
  <c r="N1791" i="4"/>
  <c r="O1791" i="4"/>
  <c r="P1791" i="4"/>
  <c r="Q1791" i="4"/>
  <c r="R1791" i="4"/>
  <c r="K1792" i="4"/>
  <c r="L1792" i="4"/>
  <c r="M1792" i="4"/>
  <c r="N1792" i="4"/>
  <c r="O1792" i="4"/>
  <c r="P1792" i="4"/>
  <c r="Q1792" i="4"/>
  <c r="R1792" i="4"/>
  <c r="K1793" i="4"/>
  <c r="L1793" i="4"/>
  <c r="M1793" i="4"/>
  <c r="N1793" i="4"/>
  <c r="O1793" i="4"/>
  <c r="P1793" i="4"/>
  <c r="Q1793" i="4"/>
  <c r="R1793" i="4"/>
  <c r="K1794" i="4"/>
  <c r="L1794" i="4"/>
  <c r="M1794" i="4"/>
  <c r="N1794" i="4"/>
  <c r="O1794" i="4"/>
  <c r="P1794" i="4"/>
  <c r="Q1794" i="4"/>
  <c r="R1794" i="4"/>
  <c r="K1795" i="4"/>
  <c r="L1795" i="4"/>
  <c r="M1795" i="4"/>
  <c r="N1795" i="4"/>
  <c r="O1795" i="4"/>
  <c r="P1795" i="4"/>
  <c r="Q1795" i="4"/>
  <c r="R1795" i="4"/>
  <c r="K1796" i="4"/>
  <c r="L1796" i="4"/>
  <c r="M1796" i="4"/>
  <c r="N1796" i="4"/>
  <c r="O1796" i="4"/>
  <c r="P1796" i="4"/>
  <c r="Q1796" i="4"/>
  <c r="R1796" i="4"/>
  <c r="K1797" i="4"/>
  <c r="L1797" i="4"/>
  <c r="M1797" i="4"/>
  <c r="N1797" i="4"/>
  <c r="O1797" i="4"/>
  <c r="P1797" i="4"/>
  <c r="Q1797" i="4"/>
  <c r="R1797" i="4"/>
  <c r="K1798" i="4"/>
  <c r="L1798" i="4"/>
  <c r="M1798" i="4"/>
  <c r="N1798" i="4"/>
  <c r="O1798" i="4"/>
  <c r="P1798" i="4"/>
  <c r="Q1798" i="4"/>
  <c r="R1798" i="4"/>
  <c r="K1799" i="4"/>
  <c r="L1799" i="4"/>
  <c r="M1799" i="4"/>
  <c r="N1799" i="4"/>
  <c r="O1799" i="4"/>
  <c r="P1799" i="4"/>
  <c r="Q1799" i="4"/>
  <c r="R1799" i="4"/>
  <c r="K1800" i="4"/>
  <c r="L1800" i="4"/>
  <c r="M1800" i="4"/>
  <c r="N1800" i="4"/>
  <c r="O1800" i="4"/>
  <c r="P1800" i="4"/>
  <c r="Q1800" i="4"/>
  <c r="R1800" i="4"/>
  <c r="K1801" i="4"/>
  <c r="L1801" i="4"/>
  <c r="M1801" i="4"/>
  <c r="N1801" i="4"/>
  <c r="O1801" i="4"/>
  <c r="P1801" i="4"/>
  <c r="Q1801" i="4"/>
  <c r="R1801" i="4"/>
  <c r="K1802" i="4"/>
  <c r="L1802" i="4"/>
  <c r="M1802" i="4"/>
  <c r="N1802" i="4"/>
  <c r="O1802" i="4"/>
  <c r="P1802" i="4"/>
  <c r="Q1802" i="4"/>
  <c r="R1802" i="4"/>
  <c r="K1803" i="4"/>
  <c r="L1803" i="4"/>
  <c r="M1803" i="4"/>
  <c r="N1803" i="4"/>
  <c r="O1803" i="4"/>
  <c r="P1803" i="4"/>
  <c r="Q1803" i="4"/>
  <c r="R1803" i="4"/>
  <c r="K1804" i="4"/>
  <c r="L1804" i="4"/>
  <c r="M1804" i="4"/>
  <c r="N1804" i="4"/>
  <c r="O1804" i="4"/>
  <c r="P1804" i="4"/>
  <c r="Q1804" i="4"/>
  <c r="R1804" i="4"/>
  <c r="K1805" i="4"/>
  <c r="L1805" i="4"/>
  <c r="M1805" i="4"/>
  <c r="N1805" i="4"/>
  <c r="O1805" i="4"/>
  <c r="P1805" i="4"/>
  <c r="Q1805" i="4"/>
  <c r="R1805" i="4"/>
  <c r="K1806" i="4"/>
  <c r="L1806" i="4"/>
  <c r="M1806" i="4"/>
  <c r="N1806" i="4"/>
  <c r="O1806" i="4"/>
  <c r="P1806" i="4"/>
  <c r="Q1806" i="4"/>
  <c r="R1806" i="4"/>
  <c r="K1807" i="4"/>
  <c r="L1807" i="4"/>
  <c r="M1807" i="4"/>
  <c r="N1807" i="4"/>
  <c r="O1807" i="4"/>
  <c r="P1807" i="4"/>
  <c r="Q1807" i="4"/>
  <c r="R1807" i="4"/>
  <c r="K1808" i="4"/>
  <c r="L1808" i="4"/>
  <c r="M1808" i="4"/>
  <c r="N1808" i="4"/>
  <c r="O1808" i="4"/>
  <c r="P1808" i="4"/>
  <c r="Q1808" i="4"/>
  <c r="R1808" i="4"/>
  <c r="K1809" i="4"/>
  <c r="L1809" i="4"/>
  <c r="M1809" i="4"/>
  <c r="N1809" i="4"/>
  <c r="O1809" i="4"/>
  <c r="P1809" i="4"/>
  <c r="Q1809" i="4"/>
  <c r="R1809" i="4"/>
  <c r="K1810" i="4"/>
  <c r="L1810" i="4"/>
  <c r="M1810" i="4"/>
  <c r="N1810" i="4"/>
  <c r="O1810" i="4"/>
  <c r="P1810" i="4"/>
  <c r="Q1810" i="4"/>
  <c r="R1810" i="4"/>
  <c r="K1811" i="4"/>
  <c r="L1811" i="4"/>
  <c r="M1811" i="4"/>
  <c r="N1811" i="4"/>
  <c r="O1811" i="4"/>
  <c r="P1811" i="4"/>
  <c r="Q1811" i="4"/>
  <c r="R1811" i="4"/>
  <c r="K1812" i="4"/>
  <c r="L1812" i="4"/>
  <c r="M1812" i="4"/>
  <c r="N1812" i="4"/>
  <c r="O1812" i="4"/>
  <c r="P1812" i="4"/>
  <c r="Q1812" i="4"/>
  <c r="R1812" i="4"/>
  <c r="K1813" i="4"/>
  <c r="L1813" i="4"/>
  <c r="M1813" i="4"/>
  <c r="N1813" i="4"/>
  <c r="O1813" i="4"/>
  <c r="P1813" i="4"/>
  <c r="Q1813" i="4"/>
  <c r="R1813" i="4"/>
  <c r="K1814" i="4"/>
  <c r="L1814" i="4"/>
  <c r="M1814" i="4"/>
  <c r="N1814" i="4"/>
  <c r="O1814" i="4"/>
  <c r="P1814" i="4"/>
  <c r="Q1814" i="4"/>
  <c r="R1814" i="4"/>
  <c r="K1815" i="4"/>
  <c r="L1815" i="4"/>
  <c r="M1815" i="4"/>
  <c r="N1815" i="4"/>
  <c r="O1815" i="4"/>
  <c r="P1815" i="4"/>
  <c r="Q1815" i="4"/>
  <c r="R1815" i="4"/>
  <c r="K1816" i="4"/>
  <c r="L1816" i="4"/>
  <c r="M1816" i="4"/>
  <c r="N1816" i="4"/>
  <c r="O1816" i="4"/>
  <c r="P1816" i="4"/>
  <c r="Q1816" i="4"/>
  <c r="R1816" i="4"/>
  <c r="K1817" i="4"/>
  <c r="L1817" i="4"/>
  <c r="M1817" i="4"/>
  <c r="N1817" i="4"/>
  <c r="O1817" i="4"/>
  <c r="P1817" i="4"/>
  <c r="Q1817" i="4"/>
  <c r="R1817" i="4"/>
  <c r="K1818" i="4"/>
  <c r="L1818" i="4"/>
  <c r="M1818" i="4"/>
  <c r="N1818" i="4"/>
  <c r="O1818" i="4"/>
  <c r="P1818" i="4"/>
  <c r="Q1818" i="4"/>
  <c r="R1818" i="4"/>
  <c r="K1819" i="4"/>
  <c r="L1819" i="4"/>
  <c r="M1819" i="4"/>
  <c r="N1819" i="4"/>
  <c r="O1819" i="4"/>
  <c r="P1819" i="4"/>
  <c r="Q1819" i="4"/>
  <c r="R1819" i="4"/>
  <c r="K1820" i="4"/>
  <c r="L1820" i="4"/>
  <c r="M1820" i="4"/>
  <c r="N1820" i="4"/>
  <c r="O1820" i="4"/>
  <c r="P1820" i="4"/>
  <c r="Q1820" i="4"/>
  <c r="R1820" i="4"/>
  <c r="K1821" i="4"/>
  <c r="L1821" i="4"/>
  <c r="M1821" i="4"/>
  <c r="N1821" i="4"/>
  <c r="O1821" i="4"/>
  <c r="P1821" i="4"/>
  <c r="Q1821" i="4"/>
  <c r="R1821" i="4"/>
  <c r="K1822" i="4"/>
  <c r="L1822" i="4"/>
  <c r="M1822" i="4"/>
  <c r="N1822" i="4"/>
  <c r="O1822" i="4"/>
  <c r="P1822" i="4"/>
  <c r="Q1822" i="4"/>
  <c r="R1822" i="4"/>
  <c r="K1823" i="4"/>
  <c r="L1823" i="4"/>
  <c r="M1823" i="4"/>
  <c r="N1823" i="4"/>
  <c r="O1823" i="4"/>
  <c r="P1823" i="4"/>
  <c r="Q1823" i="4"/>
  <c r="R1823" i="4"/>
  <c r="K1824" i="4"/>
  <c r="L1824" i="4"/>
  <c r="M1824" i="4"/>
  <c r="N1824" i="4"/>
  <c r="O1824" i="4"/>
  <c r="P1824" i="4"/>
  <c r="Q1824" i="4"/>
  <c r="R1824" i="4"/>
  <c r="K1825" i="4"/>
  <c r="L1825" i="4"/>
  <c r="M1825" i="4"/>
  <c r="N1825" i="4"/>
  <c r="O1825" i="4"/>
  <c r="P1825" i="4"/>
  <c r="Q1825" i="4"/>
  <c r="R1825" i="4"/>
  <c r="K1826" i="4"/>
  <c r="L1826" i="4"/>
  <c r="M1826" i="4"/>
  <c r="N1826" i="4"/>
  <c r="O1826" i="4"/>
  <c r="P1826" i="4"/>
  <c r="Q1826" i="4"/>
  <c r="R1826" i="4"/>
  <c r="K1827" i="4"/>
  <c r="L1827" i="4"/>
  <c r="M1827" i="4"/>
  <c r="N1827" i="4"/>
  <c r="O1827" i="4"/>
  <c r="P1827" i="4"/>
  <c r="Q1827" i="4"/>
  <c r="R1827" i="4"/>
  <c r="K1828" i="4"/>
  <c r="L1828" i="4"/>
  <c r="M1828" i="4"/>
  <c r="N1828" i="4"/>
  <c r="O1828" i="4"/>
  <c r="P1828" i="4"/>
  <c r="Q1828" i="4"/>
  <c r="R1828" i="4"/>
  <c r="K1829" i="4"/>
  <c r="L1829" i="4"/>
  <c r="M1829" i="4"/>
  <c r="N1829" i="4"/>
  <c r="O1829" i="4"/>
  <c r="P1829" i="4"/>
  <c r="Q1829" i="4"/>
  <c r="R1829" i="4"/>
  <c r="K1830" i="4"/>
  <c r="L1830" i="4"/>
  <c r="M1830" i="4"/>
  <c r="N1830" i="4"/>
  <c r="O1830" i="4"/>
  <c r="P1830" i="4"/>
  <c r="Q1830" i="4"/>
  <c r="R1830" i="4"/>
  <c r="K1831" i="4"/>
  <c r="L1831" i="4"/>
  <c r="M1831" i="4"/>
  <c r="N1831" i="4"/>
  <c r="O1831" i="4"/>
  <c r="P1831" i="4"/>
  <c r="Q1831" i="4"/>
  <c r="R1831" i="4"/>
  <c r="K1832" i="4"/>
  <c r="L1832" i="4"/>
  <c r="M1832" i="4"/>
  <c r="N1832" i="4"/>
  <c r="O1832" i="4"/>
  <c r="P1832" i="4"/>
  <c r="Q1832" i="4"/>
  <c r="R1832" i="4"/>
  <c r="K1833" i="4"/>
  <c r="L1833" i="4"/>
  <c r="M1833" i="4"/>
  <c r="N1833" i="4"/>
  <c r="O1833" i="4"/>
  <c r="P1833" i="4"/>
  <c r="Q1833" i="4"/>
  <c r="R1833" i="4"/>
  <c r="K1834" i="4"/>
  <c r="L1834" i="4"/>
  <c r="M1834" i="4"/>
  <c r="N1834" i="4"/>
  <c r="O1834" i="4"/>
  <c r="P1834" i="4"/>
  <c r="Q1834" i="4"/>
  <c r="R1834" i="4"/>
  <c r="K1835" i="4"/>
  <c r="L1835" i="4"/>
  <c r="M1835" i="4"/>
  <c r="N1835" i="4"/>
  <c r="O1835" i="4"/>
  <c r="P1835" i="4"/>
  <c r="Q1835" i="4"/>
  <c r="R1835" i="4"/>
  <c r="K1836" i="4"/>
  <c r="L1836" i="4"/>
  <c r="M1836" i="4"/>
  <c r="N1836" i="4"/>
  <c r="O1836" i="4"/>
  <c r="P1836" i="4"/>
  <c r="Q1836" i="4"/>
  <c r="R1836" i="4"/>
  <c r="K1837" i="4"/>
  <c r="L1837" i="4"/>
  <c r="M1837" i="4"/>
  <c r="N1837" i="4"/>
  <c r="O1837" i="4"/>
  <c r="P1837" i="4"/>
  <c r="Q1837" i="4"/>
  <c r="R1837" i="4"/>
  <c r="K1838" i="4"/>
  <c r="L1838" i="4"/>
  <c r="M1838" i="4"/>
  <c r="N1838" i="4"/>
  <c r="O1838" i="4"/>
  <c r="P1838" i="4"/>
  <c r="Q1838" i="4"/>
  <c r="R1838" i="4"/>
  <c r="K1839" i="4"/>
  <c r="L1839" i="4"/>
  <c r="M1839" i="4"/>
  <c r="N1839" i="4"/>
  <c r="O1839" i="4"/>
  <c r="P1839" i="4"/>
  <c r="Q1839" i="4"/>
  <c r="R1839" i="4"/>
  <c r="K1840" i="4"/>
  <c r="L1840" i="4"/>
  <c r="M1840" i="4"/>
  <c r="N1840" i="4"/>
  <c r="O1840" i="4"/>
  <c r="P1840" i="4"/>
  <c r="Q1840" i="4"/>
  <c r="R1840" i="4"/>
  <c r="K1841" i="4"/>
  <c r="L1841" i="4"/>
  <c r="M1841" i="4"/>
  <c r="N1841" i="4"/>
  <c r="O1841" i="4"/>
  <c r="P1841" i="4"/>
  <c r="Q1841" i="4"/>
  <c r="R1841" i="4"/>
  <c r="K1842" i="4"/>
  <c r="L1842" i="4"/>
  <c r="M1842" i="4"/>
  <c r="N1842" i="4"/>
  <c r="O1842" i="4"/>
  <c r="P1842" i="4"/>
  <c r="Q1842" i="4"/>
  <c r="R1842" i="4"/>
  <c r="K1843" i="4"/>
  <c r="L1843" i="4"/>
  <c r="M1843" i="4"/>
  <c r="N1843" i="4"/>
  <c r="O1843" i="4"/>
  <c r="P1843" i="4"/>
  <c r="Q1843" i="4"/>
  <c r="R1843" i="4"/>
  <c r="K1844" i="4"/>
  <c r="L1844" i="4"/>
  <c r="M1844" i="4"/>
  <c r="N1844" i="4"/>
  <c r="O1844" i="4"/>
  <c r="P1844" i="4"/>
  <c r="Q1844" i="4"/>
  <c r="R1844" i="4"/>
  <c r="K1845" i="4"/>
  <c r="L1845" i="4"/>
  <c r="M1845" i="4"/>
  <c r="N1845" i="4"/>
  <c r="O1845" i="4"/>
  <c r="P1845" i="4"/>
  <c r="Q1845" i="4"/>
  <c r="R1845" i="4"/>
  <c r="K1846" i="4"/>
  <c r="L1846" i="4"/>
  <c r="M1846" i="4"/>
  <c r="N1846" i="4"/>
  <c r="O1846" i="4"/>
  <c r="P1846" i="4"/>
  <c r="Q1846" i="4"/>
  <c r="R1846" i="4"/>
  <c r="K1847" i="4"/>
  <c r="L1847" i="4"/>
  <c r="M1847" i="4"/>
  <c r="N1847" i="4"/>
  <c r="O1847" i="4"/>
  <c r="P1847" i="4"/>
  <c r="Q1847" i="4"/>
  <c r="R1847" i="4"/>
  <c r="K1848" i="4"/>
  <c r="L1848" i="4"/>
  <c r="M1848" i="4"/>
  <c r="N1848" i="4"/>
  <c r="O1848" i="4"/>
  <c r="P1848" i="4"/>
  <c r="Q1848" i="4"/>
  <c r="R1848" i="4"/>
  <c r="K1849" i="4"/>
  <c r="L1849" i="4"/>
  <c r="M1849" i="4"/>
  <c r="N1849" i="4"/>
  <c r="O1849" i="4"/>
  <c r="P1849" i="4"/>
  <c r="Q1849" i="4"/>
  <c r="R1849" i="4"/>
  <c r="K1850" i="4"/>
  <c r="L1850" i="4"/>
  <c r="M1850" i="4"/>
  <c r="N1850" i="4"/>
  <c r="O1850" i="4"/>
  <c r="P1850" i="4"/>
  <c r="Q1850" i="4"/>
  <c r="R1850" i="4"/>
  <c r="K1851" i="4"/>
  <c r="L1851" i="4"/>
  <c r="M1851" i="4"/>
  <c r="N1851" i="4"/>
  <c r="O1851" i="4"/>
  <c r="P1851" i="4"/>
  <c r="Q1851" i="4"/>
  <c r="R1851" i="4"/>
  <c r="K1852" i="4"/>
  <c r="L1852" i="4"/>
  <c r="M1852" i="4"/>
  <c r="N1852" i="4"/>
  <c r="O1852" i="4"/>
  <c r="P1852" i="4"/>
  <c r="Q1852" i="4"/>
  <c r="R1852" i="4"/>
  <c r="K1853" i="4"/>
  <c r="L1853" i="4"/>
  <c r="M1853" i="4"/>
  <c r="N1853" i="4"/>
  <c r="O1853" i="4"/>
  <c r="P1853" i="4"/>
  <c r="Q1853" i="4"/>
  <c r="R1853" i="4"/>
  <c r="K1854" i="4"/>
  <c r="L1854" i="4"/>
  <c r="M1854" i="4"/>
  <c r="N1854" i="4"/>
  <c r="O1854" i="4"/>
  <c r="P1854" i="4"/>
  <c r="Q1854" i="4"/>
  <c r="R1854" i="4"/>
  <c r="K1855" i="4"/>
  <c r="L1855" i="4"/>
  <c r="M1855" i="4"/>
  <c r="N1855" i="4"/>
  <c r="O1855" i="4"/>
  <c r="P1855" i="4"/>
  <c r="Q1855" i="4"/>
  <c r="R1855" i="4"/>
  <c r="K1856" i="4"/>
  <c r="L1856" i="4"/>
  <c r="M1856" i="4"/>
  <c r="N1856" i="4"/>
  <c r="O1856" i="4"/>
  <c r="P1856" i="4"/>
  <c r="Q1856" i="4"/>
  <c r="R1856" i="4"/>
  <c r="K1857" i="4"/>
  <c r="L1857" i="4"/>
  <c r="M1857" i="4"/>
  <c r="N1857" i="4"/>
  <c r="O1857" i="4"/>
  <c r="P1857" i="4"/>
  <c r="Q1857" i="4"/>
  <c r="R1857" i="4"/>
  <c r="K1858" i="4"/>
  <c r="L1858" i="4"/>
  <c r="M1858" i="4"/>
  <c r="N1858" i="4"/>
  <c r="O1858" i="4"/>
  <c r="P1858" i="4"/>
  <c r="Q1858" i="4"/>
  <c r="R1858" i="4"/>
  <c r="K1859" i="4"/>
  <c r="L1859" i="4"/>
  <c r="M1859" i="4"/>
  <c r="N1859" i="4"/>
  <c r="O1859" i="4"/>
  <c r="P1859" i="4"/>
  <c r="Q1859" i="4"/>
  <c r="R1859" i="4"/>
  <c r="K1860" i="4"/>
  <c r="L1860" i="4"/>
  <c r="M1860" i="4"/>
  <c r="N1860" i="4"/>
  <c r="O1860" i="4"/>
  <c r="P1860" i="4"/>
  <c r="Q1860" i="4"/>
  <c r="R1860" i="4"/>
  <c r="K1861" i="4"/>
  <c r="L1861" i="4"/>
  <c r="M1861" i="4"/>
  <c r="N1861" i="4"/>
  <c r="O1861" i="4"/>
  <c r="P1861" i="4"/>
  <c r="Q1861" i="4"/>
  <c r="R1861" i="4"/>
  <c r="K1862" i="4"/>
  <c r="L1862" i="4"/>
  <c r="M1862" i="4"/>
  <c r="N1862" i="4"/>
  <c r="O1862" i="4"/>
  <c r="P1862" i="4"/>
  <c r="Q1862" i="4"/>
  <c r="R1862" i="4"/>
  <c r="K1863" i="4"/>
  <c r="L1863" i="4"/>
  <c r="M1863" i="4"/>
  <c r="N1863" i="4"/>
  <c r="O1863" i="4"/>
  <c r="P1863" i="4"/>
  <c r="Q1863" i="4"/>
  <c r="R1863" i="4"/>
  <c r="K1864" i="4"/>
  <c r="L1864" i="4"/>
  <c r="M1864" i="4"/>
  <c r="N1864" i="4"/>
  <c r="O1864" i="4"/>
  <c r="P1864" i="4"/>
  <c r="Q1864" i="4"/>
  <c r="R1864" i="4"/>
  <c r="K1865" i="4"/>
  <c r="L1865" i="4"/>
  <c r="M1865" i="4"/>
  <c r="N1865" i="4"/>
  <c r="O1865" i="4"/>
  <c r="P1865" i="4"/>
  <c r="Q1865" i="4"/>
  <c r="R1865" i="4"/>
  <c r="K1866" i="4"/>
  <c r="L1866" i="4"/>
  <c r="M1866" i="4"/>
  <c r="N1866" i="4"/>
  <c r="O1866" i="4"/>
  <c r="P1866" i="4"/>
  <c r="Q1866" i="4"/>
  <c r="R1866" i="4"/>
  <c r="K1867" i="4"/>
  <c r="L1867" i="4"/>
  <c r="M1867" i="4"/>
  <c r="N1867" i="4"/>
  <c r="O1867" i="4"/>
  <c r="P1867" i="4"/>
  <c r="Q1867" i="4"/>
  <c r="R1867" i="4"/>
  <c r="K1868" i="4"/>
  <c r="L1868" i="4"/>
  <c r="M1868" i="4"/>
  <c r="N1868" i="4"/>
  <c r="O1868" i="4"/>
  <c r="P1868" i="4"/>
  <c r="Q1868" i="4"/>
  <c r="R1868" i="4"/>
  <c r="K1869" i="4"/>
  <c r="L1869" i="4"/>
  <c r="M1869" i="4"/>
  <c r="N1869" i="4"/>
  <c r="O1869" i="4"/>
  <c r="P1869" i="4"/>
  <c r="Q1869" i="4"/>
  <c r="R1869" i="4"/>
  <c r="K1870" i="4"/>
  <c r="L1870" i="4"/>
  <c r="M1870" i="4"/>
  <c r="N1870" i="4"/>
  <c r="O1870" i="4"/>
  <c r="P1870" i="4"/>
  <c r="Q1870" i="4"/>
  <c r="R1870" i="4"/>
  <c r="K1871" i="4"/>
  <c r="L1871" i="4"/>
  <c r="M1871" i="4"/>
  <c r="N1871" i="4"/>
  <c r="O1871" i="4"/>
  <c r="P1871" i="4"/>
  <c r="Q1871" i="4"/>
  <c r="R1871" i="4"/>
  <c r="K1872" i="4"/>
  <c r="L1872" i="4"/>
  <c r="M1872" i="4"/>
  <c r="N1872" i="4"/>
  <c r="O1872" i="4"/>
  <c r="P1872" i="4"/>
  <c r="Q1872" i="4"/>
  <c r="R1872" i="4"/>
  <c r="K1873" i="4"/>
  <c r="L1873" i="4"/>
  <c r="M1873" i="4"/>
  <c r="N1873" i="4"/>
  <c r="O1873" i="4"/>
  <c r="P1873" i="4"/>
  <c r="Q1873" i="4"/>
  <c r="R1873" i="4"/>
  <c r="K1874" i="4"/>
  <c r="L1874" i="4"/>
  <c r="M1874" i="4"/>
  <c r="N1874" i="4"/>
  <c r="O1874" i="4"/>
  <c r="P1874" i="4"/>
  <c r="Q1874" i="4"/>
  <c r="R1874" i="4"/>
  <c r="K1875" i="4"/>
  <c r="L1875" i="4"/>
  <c r="M1875" i="4"/>
  <c r="N1875" i="4"/>
  <c r="O1875" i="4"/>
  <c r="P1875" i="4"/>
  <c r="Q1875" i="4"/>
  <c r="R1875" i="4"/>
  <c r="K1876" i="4"/>
  <c r="L1876" i="4"/>
  <c r="M1876" i="4"/>
  <c r="N1876" i="4"/>
  <c r="O1876" i="4"/>
  <c r="P1876" i="4"/>
  <c r="Q1876" i="4"/>
  <c r="R1876" i="4"/>
  <c r="K1877" i="4"/>
  <c r="L1877" i="4"/>
  <c r="M1877" i="4"/>
  <c r="N1877" i="4"/>
  <c r="O1877" i="4"/>
  <c r="P1877" i="4"/>
  <c r="Q1877" i="4"/>
  <c r="R1877" i="4"/>
  <c r="K1878" i="4"/>
  <c r="L1878" i="4"/>
  <c r="M1878" i="4"/>
  <c r="N1878" i="4"/>
  <c r="O1878" i="4"/>
  <c r="P1878" i="4"/>
  <c r="Q1878" i="4"/>
  <c r="R1878" i="4"/>
  <c r="K1879" i="4"/>
  <c r="L1879" i="4"/>
  <c r="M1879" i="4"/>
  <c r="N1879" i="4"/>
  <c r="O1879" i="4"/>
  <c r="P1879" i="4"/>
  <c r="Q1879" i="4"/>
  <c r="R1879" i="4"/>
  <c r="K1880" i="4"/>
  <c r="L1880" i="4"/>
  <c r="M1880" i="4"/>
  <c r="N1880" i="4"/>
  <c r="O1880" i="4"/>
  <c r="P1880" i="4"/>
  <c r="Q1880" i="4"/>
  <c r="R1880" i="4"/>
  <c r="K1881" i="4"/>
  <c r="L1881" i="4"/>
  <c r="M1881" i="4"/>
  <c r="N1881" i="4"/>
  <c r="O1881" i="4"/>
  <c r="P1881" i="4"/>
  <c r="Q1881" i="4"/>
  <c r="R1881" i="4"/>
  <c r="K1882" i="4"/>
  <c r="L1882" i="4"/>
  <c r="M1882" i="4"/>
  <c r="N1882" i="4"/>
  <c r="O1882" i="4"/>
  <c r="P1882" i="4"/>
  <c r="Q1882" i="4"/>
  <c r="R1882" i="4"/>
  <c r="K1883" i="4"/>
  <c r="L1883" i="4"/>
  <c r="M1883" i="4"/>
  <c r="N1883" i="4"/>
  <c r="O1883" i="4"/>
  <c r="P1883" i="4"/>
  <c r="Q1883" i="4"/>
  <c r="R1883" i="4"/>
  <c r="K1884" i="4"/>
  <c r="L1884" i="4"/>
  <c r="M1884" i="4"/>
  <c r="N1884" i="4"/>
  <c r="O1884" i="4"/>
  <c r="P1884" i="4"/>
  <c r="Q1884" i="4"/>
  <c r="R1884" i="4"/>
  <c r="K1885" i="4"/>
  <c r="L1885" i="4"/>
  <c r="M1885" i="4"/>
  <c r="N1885" i="4"/>
  <c r="O1885" i="4"/>
  <c r="P1885" i="4"/>
  <c r="Q1885" i="4"/>
  <c r="R1885" i="4"/>
  <c r="K1886" i="4"/>
  <c r="L1886" i="4"/>
  <c r="M1886" i="4"/>
  <c r="N1886" i="4"/>
  <c r="O1886" i="4"/>
  <c r="P1886" i="4"/>
  <c r="Q1886" i="4"/>
  <c r="R1886" i="4"/>
  <c r="K1887" i="4"/>
  <c r="L1887" i="4"/>
  <c r="M1887" i="4"/>
  <c r="N1887" i="4"/>
  <c r="O1887" i="4"/>
  <c r="P1887" i="4"/>
  <c r="Q1887" i="4"/>
  <c r="R1887" i="4"/>
  <c r="K1888" i="4"/>
  <c r="L1888" i="4"/>
  <c r="M1888" i="4"/>
  <c r="N1888" i="4"/>
  <c r="O1888" i="4"/>
  <c r="P1888" i="4"/>
  <c r="Q1888" i="4"/>
  <c r="R1888" i="4"/>
  <c r="K1889" i="4"/>
  <c r="L1889" i="4"/>
  <c r="M1889" i="4"/>
  <c r="N1889" i="4"/>
  <c r="O1889" i="4"/>
  <c r="P1889" i="4"/>
  <c r="Q1889" i="4"/>
  <c r="R1889" i="4"/>
  <c r="K1890" i="4"/>
  <c r="L1890" i="4"/>
  <c r="M1890" i="4"/>
  <c r="N1890" i="4"/>
  <c r="O1890" i="4"/>
  <c r="P1890" i="4"/>
  <c r="Q1890" i="4"/>
  <c r="R1890" i="4"/>
  <c r="K1891" i="4"/>
  <c r="L1891" i="4"/>
  <c r="M1891" i="4"/>
  <c r="N1891" i="4"/>
  <c r="O1891" i="4"/>
  <c r="P1891" i="4"/>
  <c r="Q1891" i="4"/>
  <c r="R1891" i="4"/>
  <c r="K1892" i="4"/>
  <c r="L1892" i="4"/>
  <c r="M1892" i="4"/>
  <c r="N1892" i="4"/>
  <c r="O1892" i="4"/>
  <c r="P1892" i="4"/>
  <c r="Q1892" i="4"/>
  <c r="R1892" i="4"/>
  <c r="K1893" i="4"/>
  <c r="L1893" i="4"/>
  <c r="M1893" i="4"/>
  <c r="N1893" i="4"/>
  <c r="O1893" i="4"/>
  <c r="P1893" i="4"/>
  <c r="Q1893" i="4"/>
  <c r="R1893" i="4"/>
  <c r="K1894" i="4"/>
  <c r="L1894" i="4"/>
  <c r="M1894" i="4"/>
  <c r="N1894" i="4"/>
  <c r="O1894" i="4"/>
  <c r="P1894" i="4"/>
  <c r="Q1894" i="4"/>
  <c r="R1894" i="4"/>
  <c r="K1895" i="4"/>
  <c r="L1895" i="4"/>
  <c r="M1895" i="4"/>
  <c r="N1895" i="4"/>
  <c r="O1895" i="4"/>
  <c r="P1895" i="4"/>
  <c r="Q1895" i="4"/>
  <c r="R1895" i="4"/>
  <c r="K1896" i="4"/>
  <c r="L1896" i="4"/>
  <c r="M1896" i="4"/>
  <c r="N1896" i="4"/>
  <c r="O1896" i="4"/>
  <c r="P1896" i="4"/>
  <c r="Q1896" i="4"/>
  <c r="R1896" i="4"/>
  <c r="K1897" i="4"/>
  <c r="L1897" i="4"/>
  <c r="M1897" i="4"/>
  <c r="N1897" i="4"/>
  <c r="O1897" i="4"/>
  <c r="P1897" i="4"/>
  <c r="Q1897" i="4"/>
  <c r="R1897" i="4"/>
  <c r="K1898" i="4"/>
  <c r="L1898" i="4"/>
  <c r="M1898" i="4"/>
  <c r="N1898" i="4"/>
  <c r="O1898" i="4"/>
  <c r="P1898" i="4"/>
  <c r="Q1898" i="4"/>
  <c r="R1898" i="4"/>
  <c r="K1899" i="4"/>
  <c r="L1899" i="4"/>
  <c r="M1899" i="4"/>
  <c r="N1899" i="4"/>
  <c r="O1899" i="4"/>
  <c r="P1899" i="4"/>
  <c r="Q1899" i="4"/>
  <c r="R1899" i="4"/>
  <c r="K1900" i="4"/>
  <c r="L1900" i="4"/>
  <c r="M1900" i="4"/>
  <c r="N1900" i="4"/>
  <c r="O1900" i="4"/>
  <c r="P1900" i="4"/>
  <c r="Q1900" i="4"/>
  <c r="R1900" i="4"/>
  <c r="K1901" i="4"/>
  <c r="L1901" i="4"/>
  <c r="M1901" i="4"/>
  <c r="N1901" i="4"/>
  <c r="O1901" i="4"/>
  <c r="P1901" i="4"/>
  <c r="Q1901" i="4"/>
  <c r="R1901" i="4"/>
  <c r="K1902" i="4"/>
  <c r="L1902" i="4"/>
  <c r="M1902" i="4"/>
  <c r="N1902" i="4"/>
  <c r="O1902" i="4"/>
  <c r="P1902" i="4"/>
  <c r="Q1902" i="4"/>
  <c r="R1902" i="4"/>
  <c r="K1903" i="4"/>
  <c r="L1903" i="4"/>
  <c r="M1903" i="4"/>
  <c r="N1903" i="4"/>
  <c r="O1903" i="4"/>
  <c r="P1903" i="4"/>
  <c r="Q1903" i="4"/>
  <c r="R1903" i="4"/>
  <c r="K1904" i="4"/>
  <c r="L1904" i="4"/>
  <c r="M1904" i="4"/>
  <c r="N1904" i="4"/>
  <c r="O1904" i="4"/>
  <c r="P1904" i="4"/>
  <c r="Q1904" i="4"/>
  <c r="R1904" i="4"/>
  <c r="K1905" i="4"/>
  <c r="L1905" i="4"/>
  <c r="M1905" i="4"/>
  <c r="N1905" i="4"/>
  <c r="O1905" i="4"/>
  <c r="P1905" i="4"/>
  <c r="Q1905" i="4"/>
  <c r="R1905" i="4"/>
  <c r="K1906" i="4"/>
  <c r="L1906" i="4"/>
  <c r="M1906" i="4"/>
  <c r="N1906" i="4"/>
  <c r="O1906" i="4"/>
  <c r="P1906" i="4"/>
  <c r="Q1906" i="4"/>
  <c r="R1906" i="4"/>
  <c r="K1907" i="4"/>
  <c r="L1907" i="4"/>
  <c r="M1907" i="4"/>
  <c r="N1907" i="4"/>
  <c r="O1907" i="4"/>
  <c r="P1907" i="4"/>
  <c r="Q1907" i="4"/>
  <c r="R1907" i="4"/>
  <c r="K1908" i="4"/>
  <c r="L1908" i="4"/>
  <c r="M1908" i="4"/>
  <c r="N1908" i="4"/>
  <c r="O1908" i="4"/>
  <c r="P1908" i="4"/>
  <c r="Q1908" i="4"/>
  <c r="R1908" i="4"/>
  <c r="K1909" i="4"/>
  <c r="L1909" i="4"/>
  <c r="M1909" i="4"/>
  <c r="N1909" i="4"/>
  <c r="O1909" i="4"/>
  <c r="P1909" i="4"/>
  <c r="Q1909" i="4"/>
  <c r="R1909" i="4"/>
  <c r="K1910" i="4"/>
  <c r="L1910" i="4"/>
  <c r="M1910" i="4"/>
  <c r="N1910" i="4"/>
  <c r="O1910" i="4"/>
  <c r="P1910" i="4"/>
  <c r="Q1910" i="4"/>
  <c r="R1910" i="4"/>
  <c r="K1911" i="4"/>
  <c r="L1911" i="4"/>
  <c r="M1911" i="4"/>
  <c r="N1911" i="4"/>
  <c r="O1911" i="4"/>
  <c r="P1911" i="4"/>
  <c r="Q1911" i="4"/>
  <c r="R1911" i="4"/>
  <c r="K1912" i="4"/>
  <c r="L1912" i="4"/>
  <c r="M1912" i="4"/>
  <c r="N1912" i="4"/>
  <c r="O1912" i="4"/>
  <c r="P1912" i="4"/>
  <c r="Q1912" i="4"/>
  <c r="R1912" i="4"/>
  <c r="K1913" i="4"/>
  <c r="L1913" i="4"/>
  <c r="M1913" i="4"/>
  <c r="N1913" i="4"/>
  <c r="O1913" i="4"/>
  <c r="P1913" i="4"/>
  <c r="Q1913" i="4"/>
  <c r="R1913" i="4"/>
  <c r="K1914" i="4"/>
  <c r="L1914" i="4"/>
  <c r="M1914" i="4"/>
  <c r="N1914" i="4"/>
  <c r="O1914" i="4"/>
  <c r="P1914" i="4"/>
  <c r="Q1914" i="4"/>
  <c r="R1914" i="4"/>
  <c r="K1915" i="4"/>
  <c r="L1915" i="4"/>
  <c r="M1915" i="4"/>
  <c r="N1915" i="4"/>
  <c r="O1915" i="4"/>
  <c r="P1915" i="4"/>
  <c r="Q1915" i="4"/>
  <c r="R1915" i="4"/>
  <c r="K1916" i="4"/>
  <c r="L1916" i="4"/>
  <c r="M1916" i="4"/>
  <c r="N1916" i="4"/>
  <c r="O1916" i="4"/>
  <c r="P1916" i="4"/>
  <c r="Q1916" i="4"/>
  <c r="R1916" i="4"/>
  <c r="K1917" i="4"/>
  <c r="L1917" i="4"/>
  <c r="M1917" i="4"/>
  <c r="N1917" i="4"/>
  <c r="O1917" i="4"/>
  <c r="P1917" i="4"/>
  <c r="Q1917" i="4"/>
  <c r="R1917" i="4"/>
  <c r="K1918" i="4"/>
  <c r="L1918" i="4"/>
  <c r="M1918" i="4"/>
  <c r="N1918" i="4"/>
  <c r="O1918" i="4"/>
  <c r="P1918" i="4"/>
  <c r="Q1918" i="4"/>
  <c r="R1918" i="4"/>
  <c r="K1919" i="4"/>
  <c r="L1919" i="4"/>
  <c r="M1919" i="4"/>
  <c r="N1919" i="4"/>
  <c r="O1919" i="4"/>
  <c r="P1919" i="4"/>
  <c r="Q1919" i="4"/>
  <c r="R1919" i="4"/>
  <c r="K1920" i="4"/>
  <c r="L1920" i="4"/>
  <c r="M1920" i="4"/>
  <c r="N1920" i="4"/>
  <c r="O1920" i="4"/>
  <c r="P1920" i="4"/>
  <c r="Q1920" i="4"/>
  <c r="R1920" i="4"/>
  <c r="K1922" i="4"/>
  <c r="L1922" i="4"/>
  <c r="M1922" i="4"/>
  <c r="N1922" i="4"/>
  <c r="O1922" i="4"/>
  <c r="P1922" i="4"/>
  <c r="Q1922" i="4"/>
  <c r="R1922" i="4"/>
  <c r="K1923" i="4"/>
  <c r="L1923" i="4"/>
  <c r="M1923" i="4"/>
  <c r="N1923" i="4"/>
  <c r="O1923" i="4"/>
  <c r="P1923" i="4"/>
  <c r="Q1923" i="4"/>
  <c r="R1923" i="4"/>
  <c r="K1924" i="4"/>
  <c r="L1924" i="4"/>
  <c r="M1924" i="4"/>
  <c r="N1924" i="4"/>
  <c r="O1924" i="4"/>
  <c r="P1924" i="4"/>
  <c r="Q1924" i="4"/>
  <c r="R1924" i="4"/>
  <c r="K1925" i="4"/>
  <c r="L1925" i="4"/>
  <c r="M1925" i="4"/>
  <c r="N1925" i="4"/>
  <c r="O1925" i="4"/>
  <c r="P1925" i="4"/>
  <c r="Q1925" i="4"/>
  <c r="R1925" i="4"/>
  <c r="K1926" i="4"/>
  <c r="L1926" i="4"/>
  <c r="M1926" i="4"/>
  <c r="N1926" i="4"/>
  <c r="O1926" i="4"/>
  <c r="P1926" i="4"/>
  <c r="Q1926" i="4"/>
  <c r="R1926" i="4"/>
  <c r="K1927" i="4"/>
  <c r="L1927" i="4"/>
  <c r="M1927" i="4"/>
  <c r="N1927" i="4"/>
  <c r="O1927" i="4"/>
  <c r="P1927" i="4"/>
  <c r="Q1927" i="4"/>
  <c r="R1927" i="4"/>
  <c r="K1928" i="4"/>
  <c r="L1928" i="4"/>
  <c r="M1928" i="4"/>
  <c r="N1928" i="4"/>
  <c r="O1928" i="4"/>
  <c r="P1928" i="4"/>
  <c r="Q1928" i="4"/>
  <c r="R1928" i="4"/>
  <c r="K1929" i="4"/>
  <c r="L1929" i="4"/>
  <c r="M1929" i="4"/>
  <c r="N1929" i="4"/>
  <c r="O1929" i="4"/>
  <c r="P1929" i="4"/>
  <c r="Q1929" i="4"/>
  <c r="R1929" i="4"/>
  <c r="K1930" i="4"/>
  <c r="L1930" i="4"/>
  <c r="M1930" i="4"/>
  <c r="N1930" i="4"/>
  <c r="O1930" i="4"/>
  <c r="P1930" i="4"/>
  <c r="Q1930" i="4"/>
  <c r="R1930" i="4"/>
  <c r="K1931" i="4"/>
  <c r="L1931" i="4"/>
  <c r="M1931" i="4"/>
  <c r="N1931" i="4"/>
  <c r="O1931" i="4"/>
  <c r="P1931" i="4"/>
  <c r="Q1931" i="4"/>
  <c r="R1931" i="4"/>
  <c r="K1932" i="4"/>
  <c r="L1932" i="4"/>
  <c r="M1932" i="4"/>
  <c r="N1932" i="4"/>
  <c r="O1932" i="4"/>
  <c r="P1932" i="4"/>
  <c r="Q1932" i="4"/>
  <c r="R1932" i="4"/>
  <c r="K1933" i="4"/>
  <c r="L1933" i="4"/>
  <c r="M1933" i="4"/>
  <c r="N1933" i="4"/>
  <c r="O1933" i="4"/>
  <c r="P1933" i="4"/>
  <c r="Q1933" i="4"/>
  <c r="R1933" i="4"/>
  <c r="K1934" i="4"/>
  <c r="L1934" i="4"/>
  <c r="M1934" i="4"/>
  <c r="N1934" i="4"/>
  <c r="O1934" i="4"/>
  <c r="P1934" i="4"/>
  <c r="Q1934" i="4"/>
  <c r="R1934" i="4"/>
  <c r="K1935" i="4"/>
  <c r="L1935" i="4"/>
  <c r="M1935" i="4"/>
  <c r="N1935" i="4"/>
  <c r="O1935" i="4"/>
  <c r="P1935" i="4"/>
  <c r="Q1935" i="4"/>
  <c r="R1935" i="4"/>
  <c r="K1936" i="4"/>
  <c r="L1936" i="4"/>
  <c r="M1936" i="4"/>
  <c r="N1936" i="4"/>
  <c r="O1936" i="4"/>
  <c r="P1936" i="4"/>
  <c r="Q1936" i="4"/>
  <c r="R1936" i="4"/>
  <c r="K1937" i="4"/>
  <c r="L1937" i="4"/>
  <c r="M1937" i="4"/>
  <c r="N1937" i="4"/>
  <c r="O1937" i="4"/>
  <c r="P1937" i="4"/>
  <c r="Q1937" i="4"/>
  <c r="R1937" i="4"/>
  <c r="K1938" i="4"/>
  <c r="L1938" i="4"/>
  <c r="M1938" i="4"/>
  <c r="N1938" i="4"/>
  <c r="O1938" i="4"/>
  <c r="P1938" i="4"/>
  <c r="Q1938" i="4"/>
  <c r="R1938" i="4"/>
  <c r="K1939" i="4"/>
  <c r="L1939" i="4"/>
  <c r="M1939" i="4"/>
  <c r="N1939" i="4"/>
  <c r="O1939" i="4"/>
  <c r="P1939" i="4"/>
  <c r="Q1939" i="4"/>
  <c r="R1939" i="4"/>
  <c r="K1940" i="4"/>
  <c r="L1940" i="4"/>
  <c r="M1940" i="4"/>
  <c r="N1940" i="4"/>
  <c r="O1940" i="4"/>
  <c r="P1940" i="4"/>
  <c r="Q1940" i="4"/>
  <c r="R1940" i="4"/>
  <c r="K1941" i="4"/>
  <c r="L1941" i="4"/>
  <c r="M1941" i="4"/>
  <c r="N1941" i="4"/>
  <c r="O1941" i="4"/>
  <c r="P1941" i="4"/>
  <c r="Q1941" i="4"/>
  <c r="R1941" i="4"/>
  <c r="K1942" i="4"/>
  <c r="L1942" i="4"/>
  <c r="M1942" i="4"/>
  <c r="N1942" i="4"/>
  <c r="O1942" i="4"/>
  <c r="P1942" i="4"/>
  <c r="Q1942" i="4"/>
  <c r="R1942" i="4"/>
  <c r="K1943" i="4"/>
  <c r="L1943" i="4"/>
  <c r="M1943" i="4"/>
  <c r="N1943" i="4"/>
  <c r="O1943" i="4"/>
  <c r="P1943" i="4"/>
  <c r="Q1943" i="4"/>
  <c r="R1943" i="4"/>
  <c r="K1944" i="4"/>
  <c r="L1944" i="4"/>
  <c r="M1944" i="4"/>
  <c r="N1944" i="4"/>
  <c r="O1944" i="4"/>
  <c r="P1944" i="4"/>
  <c r="Q1944" i="4"/>
  <c r="R1944" i="4"/>
  <c r="K1945" i="4"/>
  <c r="L1945" i="4"/>
  <c r="M1945" i="4"/>
  <c r="N1945" i="4"/>
  <c r="O1945" i="4"/>
  <c r="P1945" i="4"/>
  <c r="Q1945" i="4"/>
  <c r="R1945" i="4"/>
  <c r="K1946" i="4"/>
  <c r="L1946" i="4"/>
  <c r="M1946" i="4"/>
  <c r="N1946" i="4"/>
  <c r="O1946" i="4"/>
  <c r="P1946" i="4"/>
  <c r="Q1946" i="4"/>
  <c r="R1946" i="4"/>
  <c r="K1947" i="4"/>
  <c r="L1947" i="4"/>
  <c r="M1947" i="4"/>
  <c r="N1947" i="4"/>
  <c r="O1947" i="4"/>
  <c r="P1947" i="4"/>
  <c r="Q1947" i="4"/>
  <c r="R1947" i="4"/>
  <c r="K1948" i="4"/>
  <c r="L1948" i="4"/>
  <c r="M1948" i="4"/>
  <c r="N1948" i="4"/>
  <c r="O1948" i="4"/>
  <c r="P1948" i="4"/>
  <c r="Q1948" i="4"/>
  <c r="R1948" i="4"/>
  <c r="K1949" i="4"/>
  <c r="L1949" i="4"/>
  <c r="M1949" i="4"/>
  <c r="N1949" i="4"/>
  <c r="O1949" i="4"/>
  <c r="P1949" i="4"/>
  <c r="Q1949" i="4"/>
  <c r="R1949" i="4"/>
  <c r="K1950" i="4"/>
  <c r="L1950" i="4"/>
  <c r="M1950" i="4"/>
  <c r="N1950" i="4"/>
  <c r="O1950" i="4"/>
  <c r="P1950" i="4"/>
  <c r="Q1950" i="4"/>
  <c r="R1950" i="4"/>
  <c r="K1951" i="4"/>
  <c r="L1951" i="4"/>
  <c r="M1951" i="4"/>
  <c r="N1951" i="4"/>
  <c r="O1951" i="4"/>
  <c r="P1951" i="4"/>
  <c r="Q1951" i="4"/>
  <c r="R1951" i="4"/>
  <c r="K1952" i="4"/>
  <c r="L1952" i="4"/>
  <c r="M1952" i="4"/>
  <c r="N1952" i="4"/>
  <c r="O1952" i="4"/>
  <c r="P1952" i="4"/>
  <c r="Q1952" i="4"/>
  <c r="R1952" i="4"/>
  <c r="K1953" i="4"/>
  <c r="L1953" i="4"/>
  <c r="M1953" i="4"/>
  <c r="N1953" i="4"/>
  <c r="O1953" i="4"/>
  <c r="P1953" i="4"/>
  <c r="Q1953" i="4"/>
  <c r="R1953" i="4"/>
  <c r="K1954" i="4"/>
  <c r="L1954" i="4"/>
  <c r="M1954" i="4"/>
  <c r="N1954" i="4"/>
  <c r="O1954" i="4"/>
  <c r="P1954" i="4"/>
  <c r="Q1954" i="4"/>
  <c r="R1954" i="4"/>
  <c r="K1955" i="4"/>
  <c r="L1955" i="4"/>
  <c r="M1955" i="4"/>
  <c r="N1955" i="4"/>
  <c r="O1955" i="4"/>
  <c r="P1955" i="4"/>
  <c r="Q1955" i="4"/>
  <c r="R1955" i="4"/>
  <c r="K1956" i="4"/>
  <c r="L1956" i="4"/>
  <c r="M1956" i="4"/>
  <c r="N1956" i="4"/>
  <c r="O1956" i="4"/>
  <c r="P1956" i="4"/>
  <c r="Q1956" i="4"/>
  <c r="R1956" i="4"/>
  <c r="K1957" i="4"/>
  <c r="L1957" i="4"/>
  <c r="M1957" i="4"/>
  <c r="N1957" i="4"/>
  <c r="O1957" i="4"/>
  <c r="P1957" i="4"/>
  <c r="Q1957" i="4"/>
  <c r="R1957" i="4"/>
  <c r="K1958" i="4"/>
  <c r="L1958" i="4"/>
  <c r="M1958" i="4"/>
  <c r="N1958" i="4"/>
  <c r="O1958" i="4"/>
  <c r="P1958" i="4"/>
  <c r="Q1958" i="4"/>
  <c r="R1958" i="4"/>
  <c r="K1959" i="4"/>
  <c r="L1959" i="4"/>
  <c r="M1959" i="4"/>
  <c r="N1959" i="4"/>
  <c r="O1959" i="4"/>
  <c r="P1959" i="4"/>
  <c r="Q1959" i="4"/>
  <c r="R1959" i="4"/>
  <c r="K1960" i="4"/>
  <c r="L1960" i="4"/>
  <c r="M1960" i="4"/>
  <c r="N1960" i="4"/>
  <c r="O1960" i="4"/>
  <c r="P1960" i="4"/>
  <c r="Q1960" i="4"/>
  <c r="R1960" i="4"/>
  <c r="K1961" i="4"/>
  <c r="L1961" i="4"/>
  <c r="M1961" i="4"/>
  <c r="N1961" i="4"/>
  <c r="O1961" i="4"/>
  <c r="P1961" i="4"/>
  <c r="Q1961" i="4"/>
  <c r="R1961" i="4"/>
  <c r="K1962" i="4"/>
  <c r="L1962" i="4"/>
  <c r="M1962" i="4"/>
  <c r="N1962" i="4"/>
  <c r="O1962" i="4"/>
  <c r="P1962" i="4"/>
  <c r="Q1962" i="4"/>
  <c r="R1962" i="4"/>
  <c r="K1963" i="4"/>
  <c r="L1963" i="4"/>
  <c r="M1963" i="4"/>
  <c r="N1963" i="4"/>
  <c r="O1963" i="4"/>
  <c r="P1963" i="4"/>
  <c r="Q1963" i="4"/>
  <c r="R1963" i="4"/>
  <c r="K1964" i="4"/>
  <c r="L1964" i="4"/>
  <c r="M1964" i="4"/>
  <c r="N1964" i="4"/>
  <c r="O1964" i="4"/>
  <c r="P1964" i="4"/>
  <c r="Q1964" i="4"/>
  <c r="R1964" i="4"/>
  <c r="K1965" i="4"/>
  <c r="L1965" i="4"/>
  <c r="M1965" i="4"/>
  <c r="N1965" i="4"/>
  <c r="O1965" i="4"/>
  <c r="P1965" i="4"/>
  <c r="Q1965" i="4"/>
  <c r="R1965" i="4"/>
  <c r="K1966" i="4"/>
  <c r="L1966" i="4"/>
  <c r="M1966" i="4"/>
  <c r="N1966" i="4"/>
  <c r="O1966" i="4"/>
  <c r="P1966" i="4"/>
  <c r="Q1966" i="4"/>
  <c r="R1966" i="4"/>
  <c r="K1967" i="4"/>
  <c r="L1967" i="4"/>
  <c r="M1967" i="4"/>
  <c r="N1967" i="4"/>
  <c r="O1967" i="4"/>
  <c r="P1967" i="4"/>
  <c r="Q1967" i="4"/>
  <c r="R1967" i="4"/>
  <c r="K1968" i="4"/>
  <c r="L1968" i="4"/>
  <c r="M1968" i="4"/>
  <c r="N1968" i="4"/>
  <c r="O1968" i="4"/>
  <c r="P1968" i="4"/>
  <c r="Q1968" i="4"/>
  <c r="R1968" i="4"/>
  <c r="K1969" i="4"/>
  <c r="L1969" i="4"/>
  <c r="M1969" i="4"/>
  <c r="N1969" i="4"/>
  <c r="O1969" i="4"/>
  <c r="P1969" i="4"/>
  <c r="Q1969" i="4"/>
  <c r="R1969" i="4"/>
  <c r="K1970" i="4"/>
  <c r="L1970" i="4"/>
  <c r="M1970" i="4"/>
  <c r="N1970" i="4"/>
  <c r="O1970" i="4"/>
  <c r="P1970" i="4"/>
  <c r="Q1970" i="4"/>
  <c r="R1970" i="4"/>
  <c r="K1971" i="4"/>
  <c r="L1971" i="4"/>
  <c r="M1971" i="4"/>
  <c r="N1971" i="4"/>
  <c r="O1971" i="4"/>
  <c r="P1971" i="4"/>
  <c r="Q1971" i="4"/>
  <c r="R1971" i="4"/>
  <c r="K1972" i="4"/>
  <c r="L1972" i="4"/>
  <c r="M1972" i="4"/>
  <c r="N1972" i="4"/>
  <c r="O1972" i="4"/>
  <c r="P1972" i="4"/>
  <c r="Q1972" i="4"/>
  <c r="R1972" i="4"/>
  <c r="K1973" i="4"/>
  <c r="L1973" i="4"/>
  <c r="M1973" i="4"/>
  <c r="N1973" i="4"/>
  <c r="O1973" i="4"/>
  <c r="P1973" i="4"/>
  <c r="Q1973" i="4"/>
  <c r="R1973" i="4"/>
  <c r="K1974" i="4"/>
  <c r="L1974" i="4"/>
  <c r="M1974" i="4"/>
  <c r="N1974" i="4"/>
  <c r="O1974" i="4"/>
  <c r="P1974" i="4"/>
  <c r="Q1974" i="4"/>
  <c r="R1974" i="4"/>
  <c r="K1975" i="4"/>
  <c r="L1975" i="4"/>
  <c r="M1975" i="4"/>
  <c r="N1975" i="4"/>
  <c r="O1975" i="4"/>
  <c r="P1975" i="4"/>
  <c r="Q1975" i="4"/>
  <c r="R1975" i="4"/>
  <c r="K1976" i="4"/>
  <c r="L1976" i="4"/>
  <c r="M1976" i="4"/>
  <c r="N1976" i="4"/>
  <c r="O1976" i="4"/>
  <c r="P1976" i="4"/>
  <c r="Q1976" i="4"/>
  <c r="R1976" i="4"/>
  <c r="K1977" i="4"/>
  <c r="L1977" i="4"/>
  <c r="M1977" i="4"/>
  <c r="N1977" i="4"/>
  <c r="O1977" i="4"/>
  <c r="P1977" i="4"/>
  <c r="Q1977" i="4"/>
  <c r="R1977" i="4"/>
  <c r="K1978" i="4"/>
  <c r="L1978" i="4"/>
  <c r="M1978" i="4"/>
  <c r="N1978" i="4"/>
  <c r="O1978" i="4"/>
  <c r="P1978" i="4"/>
  <c r="Q1978" i="4"/>
  <c r="R1978" i="4"/>
  <c r="K1979" i="4"/>
  <c r="L1979" i="4"/>
  <c r="M1979" i="4"/>
  <c r="N1979" i="4"/>
  <c r="O1979" i="4"/>
  <c r="P1979" i="4"/>
  <c r="Q1979" i="4"/>
  <c r="R1979" i="4"/>
  <c r="K1980" i="4"/>
  <c r="L1980" i="4"/>
  <c r="M1980" i="4"/>
  <c r="N1980" i="4"/>
  <c r="O1980" i="4"/>
  <c r="P1980" i="4"/>
  <c r="Q1980" i="4"/>
  <c r="R1980" i="4"/>
  <c r="K1981" i="4"/>
  <c r="L1981" i="4"/>
  <c r="M1981" i="4"/>
  <c r="N1981" i="4"/>
  <c r="O1981" i="4"/>
  <c r="P1981" i="4"/>
  <c r="Q1981" i="4"/>
  <c r="R1981" i="4"/>
  <c r="K1982" i="4"/>
  <c r="L1982" i="4"/>
  <c r="M1982" i="4"/>
  <c r="N1982" i="4"/>
  <c r="O1982" i="4"/>
  <c r="P1982" i="4"/>
  <c r="Q1982" i="4"/>
  <c r="R1982" i="4"/>
  <c r="K1983" i="4"/>
  <c r="L1983" i="4"/>
  <c r="M1983" i="4"/>
  <c r="N1983" i="4"/>
  <c r="O1983" i="4"/>
  <c r="P1983" i="4"/>
  <c r="Q1983" i="4"/>
  <c r="R1983" i="4"/>
  <c r="K1984" i="4"/>
  <c r="L1984" i="4"/>
  <c r="M1984" i="4"/>
  <c r="N1984" i="4"/>
  <c r="O1984" i="4"/>
  <c r="P1984" i="4"/>
  <c r="Q1984" i="4"/>
  <c r="R1984" i="4"/>
  <c r="K1985" i="4"/>
  <c r="L1985" i="4"/>
  <c r="M1985" i="4"/>
  <c r="N1985" i="4"/>
  <c r="O1985" i="4"/>
  <c r="P1985" i="4"/>
  <c r="Q1985" i="4"/>
  <c r="R1985" i="4"/>
  <c r="K1986" i="4"/>
  <c r="L1986" i="4"/>
  <c r="M1986" i="4"/>
  <c r="N1986" i="4"/>
  <c r="O1986" i="4"/>
  <c r="P1986" i="4"/>
  <c r="Q1986" i="4"/>
  <c r="R1986" i="4"/>
  <c r="K1987" i="4"/>
  <c r="L1987" i="4"/>
  <c r="M1987" i="4"/>
  <c r="N1987" i="4"/>
  <c r="O1987" i="4"/>
  <c r="P1987" i="4"/>
  <c r="Q1987" i="4"/>
  <c r="R1987" i="4"/>
  <c r="K1988" i="4"/>
  <c r="L1988" i="4"/>
  <c r="M1988" i="4"/>
  <c r="N1988" i="4"/>
  <c r="O1988" i="4"/>
  <c r="P1988" i="4"/>
  <c r="Q1988" i="4"/>
  <c r="R1988" i="4"/>
  <c r="K1989" i="4"/>
  <c r="L1989" i="4"/>
  <c r="M1989" i="4"/>
  <c r="N1989" i="4"/>
  <c r="O1989" i="4"/>
  <c r="P1989" i="4"/>
  <c r="Q1989" i="4"/>
  <c r="R1989" i="4"/>
  <c r="K1990" i="4"/>
  <c r="L1990" i="4"/>
  <c r="M1990" i="4"/>
  <c r="N1990" i="4"/>
  <c r="O1990" i="4"/>
  <c r="P1990" i="4"/>
  <c r="Q1990" i="4"/>
  <c r="R1990" i="4"/>
  <c r="K1991" i="4"/>
  <c r="L1991" i="4"/>
  <c r="M1991" i="4"/>
  <c r="N1991" i="4"/>
  <c r="O1991" i="4"/>
  <c r="P1991" i="4"/>
  <c r="Q1991" i="4"/>
  <c r="R1991" i="4"/>
  <c r="K1992" i="4"/>
  <c r="L1992" i="4"/>
  <c r="M1992" i="4"/>
  <c r="N1992" i="4"/>
  <c r="O1992" i="4"/>
  <c r="P1992" i="4"/>
  <c r="Q1992" i="4"/>
  <c r="R1992" i="4"/>
  <c r="K1993" i="4"/>
  <c r="L1993" i="4"/>
  <c r="M1993" i="4"/>
  <c r="N1993" i="4"/>
  <c r="O1993" i="4"/>
  <c r="P1993" i="4"/>
  <c r="Q1993" i="4"/>
  <c r="R1993" i="4"/>
  <c r="K1994" i="4"/>
  <c r="L1994" i="4"/>
  <c r="M1994" i="4"/>
  <c r="N1994" i="4"/>
  <c r="O1994" i="4"/>
  <c r="P1994" i="4"/>
  <c r="Q1994" i="4"/>
  <c r="R1994" i="4"/>
  <c r="K1995" i="4"/>
  <c r="L1995" i="4"/>
  <c r="M1995" i="4"/>
  <c r="N1995" i="4"/>
  <c r="O1995" i="4"/>
  <c r="P1995" i="4"/>
  <c r="Q1995" i="4"/>
  <c r="R1995" i="4"/>
  <c r="K1996" i="4"/>
  <c r="L1996" i="4"/>
  <c r="M1996" i="4"/>
  <c r="N1996" i="4"/>
  <c r="O1996" i="4"/>
  <c r="P1996" i="4"/>
  <c r="Q1996" i="4"/>
  <c r="R1996" i="4"/>
  <c r="K1997" i="4"/>
  <c r="L1997" i="4"/>
  <c r="M1997" i="4"/>
  <c r="N1997" i="4"/>
  <c r="O1997" i="4"/>
  <c r="P1997" i="4"/>
  <c r="Q1997" i="4"/>
  <c r="R1997" i="4"/>
  <c r="K1998" i="4"/>
  <c r="L1998" i="4"/>
  <c r="M1998" i="4"/>
  <c r="N1998" i="4"/>
  <c r="O1998" i="4"/>
  <c r="P1998" i="4"/>
  <c r="Q1998" i="4"/>
  <c r="R1998" i="4"/>
  <c r="K1999" i="4"/>
  <c r="L1999" i="4"/>
  <c r="M1999" i="4"/>
  <c r="N1999" i="4"/>
  <c r="O1999" i="4"/>
  <c r="P1999" i="4"/>
  <c r="Q1999" i="4"/>
  <c r="R1999" i="4"/>
  <c r="K2000" i="4"/>
  <c r="L2000" i="4"/>
  <c r="M2000" i="4"/>
  <c r="N2000" i="4"/>
  <c r="O2000" i="4"/>
  <c r="P2000" i="4"/>
  <c r="Q2000" i="4"/>
  <c r="R2000" i="4"/>
  <c r="K2001" i="4"/>
  <c r="L2001" i="4"/>
  <c r="M2001" i="4"/>
  <c r="N2001" i="4"/>
  <c r="O2001" i="4"/>
  <c r="P2001" i="4"/>
  <c r="Q2001" i="4"/>
  <c r="R2001" i="4"/>
  <c r="I388" i="5" l="1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Q960" i="4"/>
  <c r="P960" i="4"/>
  <c r="O960" i="4"/>
  <c r="N960" i="4"/>
  <c r="M960" i="4"/>
  <c r="R960" i="4" s="1"/>
  <c r="L960" i="4"/>
  <c r="K960" i="4"/>
  <c r="R959" i="4"/>
  <c r="Q959" i="4"/>
  <c r="P959" i="4"/>
  <c r="O959" i="4"/>
  <c r="N959" i="4"/>
  <c r="M959" i="4"/>
  <c r="L959" i="4"/>
  <c r="K959" i="4"/>
  <c r="R958" i="4"/>
  <c r="Q958" i="4"/>
  <c r="P958" i="4"/>
  <c r="O958" i="4"/>
  <c r="N958" i="4"/>
  <c r="M958" i="4"/>
  <c r="L958" i="4"/>
  <c r="K958" i="4"/>
  <c r="R957" i="4"/>
  <c r="Q957" i="4"/>
  <c r="P957" i="4"/>
  <c r="O957" i="4"/>
  <c r="N957" i="4"/>
  <c r="M957" i="4"/>
  <c r="L957" i="4"/>
  <c r="K957" i="4"/>
  <c r="R956" i="4"/>
  <c r="Q956" i="4"/>
  <c r="P956" i="4"/>
  <c r="O956" i="4"/>
  <c r="N956" i="4"/>
  <c r="M956" i="4"/>
  <c r="L956" i="4"/>
  <c r="K956" i="4"/>
  <c r="R955" i="4"/>
  <c r="Q955" i="4"/>
  <c r="P955" i="4"/>
  <c r="O955" i="4"/>
  <c r="N955" i="4"/>
  <c r="M955" i="4"/>
  <c r="L955" i="4"/>
  <c r="K955" i="4"/>
  <c r="R954" i="4"/>
  <c r="Q954" i="4"/>
  <c r="P954" i="4"/>
  <c r="O954" i="4"/>
  <c r="N954" i="4"/>
  <c r="M954" i="4"/>
  <c r="L954" i="4"/>
  <c r="K954" i="4"/>
  <c r="R953" i="4"/>
  <c r="Q953" i="4"/>
  <c r="P953" i="4"/>
  <c r="O953" i="4"/>
  <c r="N953" i="4"/>
  <c r="M953" i="4"/>
  <c r="L953" i="4"/>
  <c r="K953" i="4"/>
  <c r="R952" i="4"/>
  <c r="Q952" i="4"/>
  <c r="P952" i="4"/>
  <c r="O952" i="4"/>
  <c r="N952" i="4"/>
  <c r="M952" i="4"/>
  <c r="L952" i="4"/>
  <c r="K952" i="4"/>
  <c r="R951" i="4"/>
  <c r="Q951" i="4"/>
  <c r="P951" i="4"/>
  <c r="O951" i="4"/>
  <c r="N951" i="4"/>
  <c r="M951" i="4"/>
  <c r="L951" i="4"/>
  <c r="K951" i="4"/>
  <c r="R950" i="4"/>
  <c r="Q950" i="4"/>
  <c r="P950" i="4"/>
  <c r="O950" i="4"/>
  <c r="N950" i="4"/>
  <c r="M950" i="4"/>
  <c r="L950" i="4"/>
  <c r="K950" i="4"/>
  <c r="R949" i="4"/>
  <c r="Q949" i="4"/>
  <c r="P949" i="4"/>
  <c r="O949" i="4"/>
  <c r="N949" i="4"/>
  <c r="M949" i="4"/>
  <c r="L949" i="4"/>
  <c r="K949" i="4"/>
  <c r="R948" i="4"/>
  <c r="Q948" i="4"/>
  <c r="P948" i="4"/>
  <c r="O948" i="4"/>
  <c r="N948" i="4"/>
  <c r="M948" i="4"/>
  <c r="L948" i="4"/>
  <c r="K948" i="4"/>
  <c r="R947" i="4"/>
  <c r="Q947" i="4"/>
  <c r="P947" i="4"/>
  <c r="O947" i="4"/>
  <c r="N947" i="4"/>
  <c r="M947" i="4"/>
  <c r="L947" i="4"/>
  <c r="K947" i="4"/>
  <c r="R946" i="4"/>
  <c r="Q946" i="4"/>
  <c r="P946" i="4"/>
  <c r="O946" i="4"/>
  <c r="N946" i="4"/>
  <c r="M946" i="4"/>
  <c r="L946" i="4"/>
  <c r="K946" i="4"/>
  <c r="R945" i="4"/>
  <c r="Q945" i="4"/>
  <c r="P945" i="4"/>
  <c r="O945" i="4"/>
  <c r="N945" i="4"/>
  <c r="M945" i="4"/>
  <c r="L945" i="4"/>
  <c r="K945" i="4"/>
  <c r="R944" i="4"/>
  <c r="Q944" i="4"/>
  <c r="P944" i="4"/>
  <c r="O944" i="4"/>
  <c r="N944" i="4"/>
  <c r="M944" i="4"/>
  <c r="L944" i="4"/>
  <c r="K944" i="4"/>
  <c r="R943" i="4"/>
  <c r="Q943" i="4"/>
  <c r="P943" i="4"/>
  <c r="O943" i="4"/>
  <c r="N943" i="4"/>
  <c r="M943" i="4"/>
  <c r="L943" i="4"/>
  <c r="K943" i="4"/>
  <c r="R942" i="4"/>
  <c r="Q942" i="4"/>
  <c r="P942" i="4"/>
  <c r="O942" i="4"/>
  <c r="N942" i="4"/>
  <c r="M942" i="4"/>
  <c r="L942" i="4"/>
  <c r="K942" i="4"/>
  <c r="R941" i="4"/>
  <c r="Q941" i="4"/>
  <c r="P941" i="4"/>
  <c r="O941" i="4"/>
  <c r="N941" i="4"/>
  <c r="M941" i="4"/>
  <c r="L941" i="4"/>
  <c r="K941" i="4"/>
  <c r="R940" i="4"/>
  <c r="Q940" i="4"/>
  <c r="P940" i="4"/>
  <c r="O940" i="4"/>
  <c r="N940" i="4"/>
  <c r="M940" i="4"/>
  <c r="L940" i="4"/>
  <c r="K940" i="4"/>
  <c r="R939" i="4"/>
  <c r="Q939" i="4"/>
  <c r="P939" i="4"/>
  <c r="O939" i="4"/>
  <c r="N939" i="4"/>
  <c r="M939" i="4"/>
  <c r="L939" i="4"/>
  <c r="K939" i="4"/>
  <c r="R938" i="4"/>
  <c r="Q938" i="4"/>
  <c r="P938" i="4"/>
  <c r="O938" i="4"/>
  <c r="N938" i="4"/>
  <c r="M938" i="4"/>
  <c r="L938" i="4"/>
  <c r="K938" i="4"/>
  <c r="R937" i="4"/>
  <c r="Q937" i="4"/>
  <c r="P937" i="4"/>
  <c r="O937" i="4"/>
  <c r="N937" i="4"/>
  <c r="M937" i="4"/>
  <c r="L937" i="4"/>
  <c r="K937" i="4"/>
  <c r="R936" i="4"/>
  <c r="Q936" i="4"/>
  <c r="P936" i="4"/>
  <c r="O936" i="4"/>
  <c r="N936" i="4"/>
  <c r="M936" i="4"/>
  <c r="L936" i="4"/>
  <c r="K936" i="4"/>
  <c r="R935" i="4"/>
  <c r="Q935" i="4"/>
  <c r="P935" i="4"/>
  <c r="O935" i="4"/>
  <c r="N935" i="4"/>
  <c r="M935" i="4"/>
  <c r="L935" i="4"/>
  <c r="K935" i="4"/>
  <c r="R934" i="4"/>
  <c r="Q934" i="4"/>
  <c r="P934" i="4"/>
  <c r="O934" i="4"/>
  <c r="N934" i="4"/>
  <c r="M934" i="4"/>
  <c r="L934" i="4"/>
  <c r="K934" i="4"/>
  <c r="R933" i="4"/>
  <c r="Q933" i="4"/>
  <c r="P933" i="4"/>
  <c r="O933" i="4"/>
  <c r="N933" i="4"/>
  <c r="M933" i="4"/>
  <c r="L933" i="4"/>
  <c r="K933" i="4"/>
  <c r="R932" i="4"/>
  <c r="Q932" i="4"/>
  <c r="P932" i="4"/>
  <c r="O932" i="4"/>
  <c r="N932" i="4"/>
  <c r="M932" i="4"/>
  <c r="L932" i="4"/>
  <c r="K932" i="4"/>
  <c r="R931" i="4"/>
  <c r="Q931" i="4"/>
  <c r="P931" i="4"/>
  <c r="O931" i="4"/>
  <c r="N931" i="4"/>
  <c r="M931" i="4"/>
  <c r="L931" i="4"/>
  <c r="K931" i="4"/>
  <c r="R930" i="4"/>
  <c r="Q930" i="4"/>
  <c r="P930" i="4"/>
  <c r="O930" i="4"/>
  <c r="N930" i="4"/>
  <c r="M930" i="4"/>
  <c r="L930" i="4"/>
  <c r="K930" i="4"/>
  <c r="R929" i="4"/>
  <c r="Q929" i="4"/>
  <c r="P929" i="4"/>
  <c r="O929" i="4"/>
  <c r="N929" i="4"/>
  <c r="M929" i="4"/>
  <c r="L929" i="4"/>
  <c r="K929" i="4"/>
  <c r="R928" i="4"/>
  <c r="Q928" i="4"/>
  <c r="P928" i="4"/>
  <c r="O928" i="4"/>
  <c r="N928" i="4"/>
  <c r="M928" i="4"/>
  <c r="L928" i="4"/>
  <c r="K928" i="4"/>
  <c r="R927" i="4"/>
  <c r="Q927" i="4"/>
  <c r="P927" i="4"/>
  <c r="O927" i="4"/>
  <c r="N927" i="4"/>
  <c r="M927" i="4"/>
  <c r="L927" i="4"/>
  <c r="K927" i="4"/>
  <c r="R926" i="4"/>
  <c r="Q926" i="4"/>
  <c r="P926" i="4"/>
  <c r="O926" i="4"/>
  <c r="N926" i="4"/>
  <c r="M926" i="4"/>
  <c r="L926" i="4"/>
  <c r="K926" i="4"/>
  <c r="R925" i="4"/>
  <c r="Q925" i="4"/>
  <c r="P925" i="4"/>
  <c r="O925" i="4"/>
  <c r="N925" i="4"/>
  <c r="M925" i="4"/>
  <c r="L925" i="4"/>
  <c r="K925" i="4"/>
  <c r="R924" i="4"/>
  <c r="Q924" i="4"/>
  <c r="P924" i="4"/>
  <c r="O924" i="4"/>
  <c r="N924" i="4"/>
  <c r="M924" i="4"/>
  <c r="L924" i="4"/>
  <c r="K924" i="4"/>
  <c r="R923" i="4"/>
  <c r="Q923" i="4"/>
  <c r="P923" i="4"/>
  <c r="O923" i="4"/>
  <c r="N923" i="4"/>
  <c r="M923" i="4"/>
  <c r="L923" i="4"/>
  <c r="K923" i="4"/>
  <c r="R922" i="4"/>
  <c r="Q922" i="4"/>
  <c r="P922" i="4"/>
  <c r="O922" i="4"/>
  <c r="N922" i="4"/>
  <c r="M922" i="4"/>
  <c r="L922" i="4"/>
  <c r="K922" i="4"/>
  <c r="R921" i="4"/>
  <c r="Q921" i="4"/>
  <c r="P921" i="4"/>
  <c r="O921" i="4"/>
  <c r="N921" i="4"/>
  <c r="M921" i="4"/>
  <c r="L921" i="4"/>
  <c r="K921" i="4"/>
  <c r="R920" i="4"/>
  <c r="Q920" i="4"/>
  <c r="P920" i="4"/>
  <c r="O920" i="4"/>
  <c r="N920" i="4"/>
  <c r="M920" i="4"/>
  <c r="L920" i="4"/>
  <c r="K920" i="4"/>
  <c r="R919" i="4"/>
  <c r="Q919" i="4"/>
  <c r="P919" i="4"/>
  <c r="O919" i="4"/>
  <c r="N919" i="4"/>
  <c r="M919" i="4"/>
  <c r="L919" i="4"/>
  <c r="K919" i="4"/>
  <c r="R918" i="4"/>
  <c r="Q918" i="4"/>
  <c r="P918" i="4"/>
  <c r="O918" i="4"/>
  <c r="N918" i="4"/>
  <c r="M918" i="4"/>
  <c r="L918" i="4"/>
  <c r="K918" i="4"/>
  <c r="R917" i="4"/>
  <c r="Q917" i="4"/>
  <c r="P917" i="4"/>
  <c r="O917" i="4"/>
  <c r="N917" i="4"/>
  <c r="M917" i="4"/>
  <c r="L917" i="4"/>
  <c r="K917" i="4"/>
  <c r="R916" i="4"/>
  <c r="Q916" i="4"/>
  <c r="P916" i="4"/>
  <c r="O916" i="4"/>
  <c r="N916" i="4"/>
  <c r="M916" i="4"/>
  <c r="L916" i="4"/>
  <c r="K916" i="4"/>
  <c r="R915" i="4"/>
  <c r="Q915" i="4"/>
  <c r="P915" i="4"/>
  <c r="O915" i="4"/>
  <c r="N915" i="4"/>
  <c r="M915" i="4"/>
  <c r="L915" i="4"/>
  <c r="K915" i="4"/>
  <c r="R914" i="4"/>
  <c r="Q914" i="4"/>
  <c r="P914" i="4"/>
  <c r="O914" i="4"/>
  <c r="N914" i="4"/>
  <c r="M914" i="4"/>
  <c r="L914" i="4"/>
  <c r="K914" i="4"/>
  <c r="R913" i="4"/>
  <c r="Q913" i="4"/>
  <c r="P913" i="4"/>
  <c r="O913" i="4"/>
  <c r="N913" i="4"/>
  <c r="M913" i="4"/>
  <c r="L913" i="4"/>
  <c r="K913" i="4"/>
  <c r="R912" i="4"/>
  <c r="Q912" i="4"/>
  <c r="P912" i="4"/>
  <c r="O912" i="4"/>
  <c r="N912" i="4"/>
  <c r="M912" i="4"/>
  <c r="L912" i="4"/>
  <c r="K912" i="4"/>
  <c r="R911" i="4"/>
  <c r="Q911" i="4"/>
  <c r="P911" i="4"/>
  <c r="O911" i="4"/>
  <c r="N911" i="4"/>
  <c r="M911" i="4"/>
  <c r="L911" i="4"/>
  <c r="K911" i="4"/>
  <c r="R910" i="4"/>
  <c r="Q910" i="4"/>
  <c r="P910" i="4"/>
  <c r="O910" i="4"/>
  <c r="N910" i="4"/>
  <c r="M910" i="4"/>
  <c r="L910" i="4"/>
  <c r="K910" i="4"/>
  <c r="R909" i="4"/>
  <c r="Q909" i="4"/>
  <c r="P909" i="4"/>
  <c r="O909" i="4"/>
  <c r="N909" i="4"/>
  <c r="M909" i="4"/>
  <c r="L909" i="4"/>
  <c r="K909" i="4"/>
  <c r="R908" i="4"/>
  <c r="Q908" i="4"/>
  <c r="P908" i="4"/>
  <c r="O908" i="4"/>
  <c r="N908" i="4"/>
  <c r="M908" i="4"/>
  <c r="L908" i="4"/>
  <c r="K908" i="4"/>
  <c r="R907" i="4"/>
  <c r="Q907" i="4"/>
  <c r="P907" i="4"/>
  <c r="O907" i="4"/>
  <c r="N907" i="4"/>
  <c r="M907" i="4"/>
  <c r="L907" i="4"/>
  <c r="K907" i="4"/>
  <c r="R906" i="4"/>
  <c r="Q906" i="4"/>
  <c r="P906" i="4"/>
  <c r="O906" i="4"/>
  <c r="N906" i="4"/>
  <c r="M906" i="4"/>
  <c r="L906" i="4"/>
  <c r="K906" i="4"/>
  <c r="R905" i="4"/>
  <c r="Q905" i="4"/>
  <c r="P905" i="4"/>
  <c r="O905" i="4"/>
  <c r="N905" i="4"/>
  <c r="M905" i="4"/>
  <c r="L905" i="4"/>
  <c r="K905" i="4"/>
  <c r="R904" i="4"/>
  <c r="Q904" i="4"/>
  <c r="P904" i="4"/>
  <c r="O904" i="4"/>
  <c r="N904" i="4"/>
  <c r="M904" i="4"/>
  <c r="L904" i="4"/>
  <c r="K904" i="4"/>
  <c r="R903" i="4"/>
  <c r="Q903" i="4"/>
  <c r="P903" i="4"/>
  <c r="O903" i="4"/>
  <c r="N903" i="4"/>
  <c r="M903" i="4"/>
  <c r="L903" i="4"/>
  <c r="K903" i="4"/>
  <c r="R902" i="4"/>
  <c r="Q902" i="4"/>
  <c r="P902" i="4"/>
  <c r="O902" i="4"/>
  <c r="N902" i="4"/>
  <c r="M902" i="4"/>
  <c r="L902" i="4"/>
  <c r="K902" i="4"/>
  <c r="R901" i="4"/>
  <c r="Q901" i="4"/>
  <c r="P901" i="4"/>
  <c r="O901" i="4"/>
  <c r="N901" i="4"/>
  <c r="M901" i="4"/>
  <c r="L901" i="4"/>
  <c r="K901" i="4"/>
  <c r="R900" i="4"/>
  <c r="Q900" i="4"/>
  <c r="P900" i="4"/>
  <c r="O900" i="4"/>
  <c r="N900" i="4"/>
  <c r="M900" i="4"/>
  <c r="L900" i="4"/>
  <c r="K900" i="4"/>
  <c r="R899" i="4"/>
  <c r="Q899" i="4"/>
  <c r="P899" i="4"/>
  <c r="O899" i="4"/>
  <c r="N899" i="4"/>
  <c r="M899" i="4"/>
  <c r="L899" i="4"/>
  <c r="K899" i="4"/>
  <c r="R898" i="4"/>
  <c r="Q898" i="4"/>
  <c r="P898" i="4"/>
  <c r="O898" i="4"/>
  <c r="N898" i="4"/>
  <c r="M898" i="4"/>
  <c r="L898" i="4"/>
  <c r="K898" i="4"/>
  <c r="R897" i="4"/>
  <c r="Q897" i="4"/>
  <c r="P897" i="4"/>
  <c r="O897" i="4"/>
  <c r="N897" i="4"/>
  <c r="M897" i="4"/>
  <c r="L897" i="4"/>
  <c r="K897" i="4"/>
  <c r="R896" i="4"/>
  <c r="Q896" i="4"/>
  <c r="P896" i="4"/>
  <c r="O896" i="4"/>
  <c r="N896" i="4"/>
  <c r="M896" i="4"/>
  <c r="L896" i="4"/>
  <c r="K896" i="4"/>
  <c r="R895" i="4"/>
  <c r="Q895" i="4"/>
  <c r="P895" i="4"/>
  <c r="O895" i="4"/>
  <c r="N895" i="4"/>
  <c r="M895" i="4"/>
  <c r="L895" i="4"/>
  <c r="K895" i="4"/>
  <c r="R894" i="4"/>
  <c r="Q894" i="4"/>
  <c r="P894" i="4"/>
  <c r="O894" i="4"/>
  <c r="N894" i="4"/>
  <c r="M894" i="4"/>
  <c r="L894" i="4"/>
  <c r="K894" i="4"/>
  <c r="R893" i="4"/>
  <c r="Q893" i="4"/>
  <c r="P893" i="4"/>
  <c r="O893" i="4"/>
  <c r="N893" i="4"/>
  <c r="M893" i="4"/>
  <c r="L893" i="4"/>
  <c r="K893" i="4"/>
  <c r="R892" i="4"/>
  <c r="Q892" i="4"/>
  <c r="P892" i="4"/>
  <c r="O892" i="4"/>
  <c r="N892" i="4"/>
  <c r="M892" i="4"/>
  <c r="L892" i="4"/>
  <c r="K892" i="4"/>
  <c r="R891" i="4"/>
  <c r="Q891" i="4"/>
  <c r="P891" i="4"/>
  <c r="O891" i="4"/>
  <c r="N891" i="4"/>
  <c r="M891" i="4"/>
  <c r="L891" i="4"/>
  <c r="K891" i="4"/>
  <c r="R890" i="4"/>
  <c r="Q890" i="4"/>
  <c r="P890" i="4"/>
  <c r="O890" i="4"/>
  <c r="N890" i="4"/>
  <c r="M890" i="4"/>
  <c r="L890" i="4"/>
  <c r="K890" i="4"/>
  <c r="R889" i="4"/>
  <c r="Q889" i="4"/>
  <c r="P889" i="4"/>
  <c r="O889" i="4"/>
  <c r="N889" i="4"/>
  <c r="M889" i="4"/>
  <c r="L889" i="4"/>
  <c r="K889" i="4"/>
  <c r="R888" i="4"/>
  <c r="Q888" i="4"/>
  <c r="P888" i="4"/>
  <c r="O888" i="4"/>
  <c r="N888" i="4"/>
  <c r="M888" i="4"/>
  <c r="L888" i="4"/>
  <c r="K888" i="4"/>
  <c r="R887" i="4"/>
  <c r="Q887" i="4"/>
  <c r="P887" i="4"/>
  <c r="O887" i="4"/>
  <c r="N887" i="4"/>
  <c r="M887" i="4"/>
  <c r="L887" i="4"/>
  <c r="K887" i="4"/>
  <c r="R886" i="4"/>
  <c r="Q886" i="4"/>
  <c r="P886" i="4"/>
  <c r="O886" i="4"/>
  <c r="N886" i="4"/>
  <c r="M886" i="4"/>
  <c r="L886" i="4"/>
  <c r="K886" i="4"/>
  <c r="R885" i="4"/>
  <c r="Q885" i="4"/>
  <c r="P885" i="4"/>
  <c r="O885" i="4"/>
  <c r="N885" i="4"/>
  <c r="M885" i="4"/>
  <c r="L885" i="4"/>
  <c r="K885" i="4"/>
  <c r="R884" i="4"/>
  <c r="Q884" i="4"/>
  <c r="P884" i="4"/>
  <c r="O884" i="4"/>
  <c r="N884" i="4"/>
  <c r="M884" i="4"/>
  <c r="L884" i="4"/>
  <c r="K884" i="4"/>
  <c r="R883" i="4"/>
  <c r="Q883" i="4"/>
  <c r="P883" i="4"/>
  <c r="O883" i="4"/>
  <c r="N883" i="4"/>
  <c r="M883" i="4"/>
  <c r="L883" i="4"/>
  <c r="K883" i="4"/>
  <c r="R882" i="4"/>
  <c r="Q882" i="4"/>
  <c r="P882" i="4"/>
  <c r="O882" i="4"/>
  <c r="N882" i="4"/>
  <c r="M882" i="4"/>
  <c r="L882" i="4"/>
  <c r="K882" i="4"/>
  <c r="R881" i="4"/>
  <c r="Q881" i="4"/>
  <c r="P881" i="4"/>
  <c r="O881" i="4"/>
  <c r="N881" i="4"/>
  <c r="M881" i="4"/>
  <c r="L881" i="4"/>
  <c r="K881" i="4"/>
  <c r="R880" i="4"/>
  <c r="Q880" i="4"/>
  <c r="P880" i="4"/>
  <c r="O880" i="4"/>
  <c r="N880" i="4"/>
  <c r="M880" i="4"/>
  <c r="L880" i="4"/>
  <c r="K880" i="4"/>
  <c r="R879" i="4"/>
  <c r="Q879" i="4"/>
  <c r="P879" i="4"/>
  <c r="O879" i="4"/>
  <c r="N879" i="4"/>
  <c r="M879" i="4"/>
  <c r="L879" i="4"/>
  <c r="K879" i="4"/>
  <c r="R878" i="4"/>
  <c r="Q878" i="4"/>
  <c r="P878" i="4"/>
  <c r="O878" i="4"/>
  <c r="N878" i="4"/>
  <c r="M878" i="4"/>
  <c r="L878" i="4"/>
  <c r="K878" i="4"/>
  <c r="R877" i="4"/>
  <c r="Q877" i="4"/>
  <c r="P877" i="4"/>
  <c r="O877" i="4"/>
  <c r="N877" i="4"/>
  <c r="M877" i="4"/>
  <c r="L877" i="4"/>
  <c r="K877" i="4"/>
  <c r="R876" i="4"/>
  <c r="Q876" i="4"/>
  <c r="P876" i="4"/>
  <c r="O876" i="4"/>
  <c r="N876" i="4"/>
  <c r="M876" i="4"/>
  <c r="L876" i="4"/>
  <c r="K876" i="4"/>
  <c r="R875" i="4"/>
  <c r="Q875" i="4"/>
  <c r="P875" i="4"/>
  <c r="O875" i="4"/>
  <c r="N875" i="4"/>
  <c r="M875" i="4"/>
  <c r="L875" i="4"/>
  <c r="K875" i="4"/>
  <c r="R874" i="4"/>
  <c r="Q874" i="4"/>
  <c r="P874" i="4"/>
  <c r="O874" i="4"/>
  <c r="N874" i="4"/>
  <c r="M874" i="4"/>
  <c r="L874" i="4"/>
  <c r="K874" i="4"/>
  <c r="R873" i="4"/>
  <c r="Q873" i="4"/>
  <c r="P873" i="4"/>
  <c r="O873" i="4"/>
  <c r="N873" i="4"/>
  <c r="M873" i="4"/>
  <c r="L873" i="4"/>
  <c r="K873" i="4"/>
  <c r="R872" i="4"/>
  <c r="Q872" i="4"/>
  <c r="P872" i="4"/>
  <c r="O872" i="4"/>
  <c r="N872" i="4"/>
  <c r="M872" i="4"/>
  <c r="L872" i="4"/>
  <c r="K872" i="4"/>
  <c r="R871" i="4"/>
  <c r="Q871" i="4"/>
  <c r="P871" i="4"/>
  <c r="O871" i="4"/>
  <c r="N871" i="4"/>
  <c r="M871" i="4"/>
  <c r="L871" i="4"/>
  <c r="K871" i="4"/>
  <c r="R870" i="4"/>
  <c r="Q870" i="4"/>
  <c r="P870" i="4"/>
  <c r="O870" i="4"/>
  <c r="N870" i="4"/>
  <c r="M870" i="4"/>
  <c r="L870" i="4"/>
  <c r="K870" i="4"/>
  <c r="R869" i="4"/>
  <c r="Q869" i="4"/>
  <c r="P869" i="4"/>
  <c r="O869" i="4"/>
  <c r="N869" i="4"/>
  <c r="M869" i="4"/>
  <c r="L869" i="4"/>
  <c r="K869" i="4"/>
  <c r="R868" i="4"/>
  <c r="Q868" i="4"/>
  <c r="P868" i="4"/>
  <c r="O868" i="4"/>
  <c r="N868" i="4"/>
  <c r="M868" i="4"/>
  <c r="L868" i="4"/>
  <c r="K868" i="4"/>
  <c r="R867" i="4"/>
  <c r="Q867" i="4"/>
  <c r="P867" i="4"/>
  <c r="O867" i="4"/>
  <c r="N867" i="4"/>
  <c r="M867" i="4"/>
  <c r="L867" i="4"/>
  <c r="K867" i="4"/>
  <c r="R866" i="4"/>
  <c r="Q866" i="4"/>
  <c r="P866" i="4"/>
  <c r="O866" i="4"/>
  <c r="N866" i="4"/>
  <c r="M866" i="4"/>
  <c r="L866" i="4"/>
  <c r="K866" i="4"/>
  <c r="R865" i="4"/>
  <c r="Q865" i="4"/>
  <c r="P865" i="4"/>
  <c r="O865" i="4"/>
  <c r="N865" i="4"/>
  <c r="M865" i="4"/>
  <c r="L865" i="4"/>
  <c r="K865" i="4"/>
  <c r="R864" i="4"/>
  <c r="Q864" i="4"/>
  <c r="P864" i="4"/>
  <c r="O864" i="4"/>
  <c r="N864" i="4"/>
  <c r="M864" i="4"/>
  <c r="L864" i="4"/>
  <c r="K864" i="4"/>
  <c r="R863" i="4"/>
  <c r="Q863" i="4"/>
  <c r="P863" i="4"/>
  <c r="O863" i="4"/>
  <c r="N863" i="4"/>
  <c r="M863" i="4"/>
  <c r="L863" i="4"/>
  <c r="K863" i="4"/>
  <c r="R862" i="4"/>
  <c r="Q862" i="4"/>
  <c r="P862" i="4"/>
  <c r="O862" i="4"/>
  <c r="N862" i="4"/>
  <c r="M862" i="4"/>
  <c r="L862" i="4"/>
  <c r="K862" i="4"/>
  <c r="R861" i="4"/>
  <c r="Q861" i="4"/>
  <c r="P861" i="4"/>
  <c r="O861" i="4"/>
  <c r="N861" i="4"/>
  <c r="M861" i="4"/>
  <c r="L861" i="4"/>
  <c r="K861" i="4"/>
  <c r="R860" i="4"/>
  <c r="Q860" i="4"/>
  <c r="P860" i="4"/>
  <c r="O860" i="4"/>
  <c r="N860" i="4"/>
  <c r="M860" i="4"/>
  <c r="L860" i="4"/>
  <c r="K860" i="4"/>
  <c r="R859" i="4"/>
  <c r="Q859" i="4"/>
  <c r="P859" i="4"/>
  <c r="O859" i="4"/>
  <c r="N859" i="4"/>
  <c r="M859" i="4"/>
  <c r="L859" i="4"/>
  <c r="K859" i="4"/>
  <c r="R858" i="4"/>
  <c r="Q858" i="4"/>
  <c r="P858" i="4"/>
  <c r="O858" i="4"/>
  <c r="N858" i="4"/>
  <c r="M858" i="4"/>
  <c r="L858" i="4"/>
  <c r="K858" i="4"/>
  <c r="R857" i="4"/>
  <c r="Q857" i="4"/>
  <c r="P857" i="4"/>
  <c r="O857" i="4"/>
  <c r="N857" i="4"/>
  <c r="M857" i="4"/>
  <c r="L857" i="4"/>
  <c r="K857" i="4"/>
  <c r="R856" i="4"/>
  <c r="Q856" i="4"/>
  <c r="P856" i="4"/>
  <c r="O856" i="4"/>
  <c r="N856" i="4"/>
  <c r="M856" i="4"/>
  <c r="L856" i="4"/>
  <c r="K856" i="4"/>
  <c r="R855" i="4"/>
  <c r="Q855" i="4"/>
  <c r="P855" i="4"/>
  <c r="O855" i="4"/>
  <c r="N855" i="4"/>
  <c r="M855" i="4"/>
  <c r="L855" i="4"/>
  <c r="K855" i="4"/>
  <c r="R854" i="4"/>
  <c r="Q854" i="4"/>
  <c r="P854" i="4"/>
  <c r="O854" i="4"/>
  <c r="N854" i="4"/>
  <c r="M854" i="4"/>
  <c r="L854" i="4"/>
  <c r="K854" i="4"/>
  <c r="R853" i="4"/>
  <c r="Q853" i="4"/>
  <c r="P853" i="4"/>
  <c r="O853" i="4"/>
  <c r="N853" i="4"/>
  <c r="M853" i="4"/>
  <c r="L853" i="4"/>
  <c r="K853" i="4"/>
  <c r="R852" i="4"/>
  <c r="Q852" i="4"/>
  <c r="P852" i="4"/>
  <c r="O852" i="4"/>
  <c r="N852" i="4"/>
  <c r="M852" i="4"/>
  <c r="L852" i="4"/>
  <c r="K852" i="4"/>
  <c r="R851" i="4"/>
  <c r="Q851" i="4"/>
  <c r="P851" i="4"/>
  <c r="O851" i="4"/>
  <c r="N851" i="4"/>
  <c r="M851" i="4"/>
  <c r="L851" i="4"/>
  <c r="K851" i="4"/>
  <c r="R850" i="4"/>
  <c r="Q850" i="4"/>
  <c r="P850" i="4"/>
  <c r="O850" i="4"/>
  <c r="N850" i="4"/>
  <c r="M850" i="4"/>
  <c r="L850" i="4"/>
  <c r="K850" i="4"/>
  <c r="R849" i="4"/>
  <c r="Q849" i="4"/>
  <c r="P849" i="4"/>
  <c r="O849" i="4"/>
  <c r="N849" i="4"/>
  <c r="M849" i="4"/>
  <c r="L849" i="4"/>
  <c r="K849" i="4"/>
  <c r="R848" i="4"/>
  <c r="Q848" i="4"/>
  <c r="P848" i="4"/>
  <c r="O848" i="4"/>
  <c r="N848" i="4"/>
  <c r="M848" i="4"/>
  <c r="L848" i="4"/>
  <c r="K848" i="4"/>
  <c r="R847" i="4"/>
  <c r="Q847" i="4"/>
  <c r="P847" i="4"/>
  <c r="O847" i="4"/>
  <c r="N847" i="4"/>
  <c r="M847" i="4"/>
  <c r="L847" i="4"/>
  <c r="K847" i="4"/>
  <c r="R846" i="4"/>
  <c r="Q846" i="4"/>
  <c r="P846" i="4"/>
  <c r="O846" i="4"/>
  <c r="N846" i="4"/>
  <c r="M846" i="4"/>
  <c r="L846" i="4"/>
  <c r="K846" i="4"/>
  <c r="R845" i="4"/>
  <c r="Q845" i="4"/>
  <c r="P845" i="4"/>
  <c r="O845" i="4"/>
  <c r="N845" i="4"/>
  <c r="M845" i="4"/>
  <c r="L845" i="4"/>
  <c r="K845" i="4"/>
  <c r="R844" i="4"/>
  <c r="Q844" i="4"/>
  <c r="P844" i="4"/>
  <c r="O844" i="4"/>
  <c r="N844" i="4"/>
  <c r="M844" i="4"/>
  <c r="L844" i="4"/>
  <c r="K844" i="4"/>
  <c r="R843" i="4"/>
  <c r="Q843" i="4"/>
  <c r="P843" i="4"/>
  <c r="O843" i="4"/>
  <c r="N843" i="4"/>
  <c r="M843" i="4"/>
  <c r="L843" i="4"/>
  <c r="K843" i="4"/>
  <c r="R842" i="4"/>
  <c r="Q842" i="4"/>
  <c r="P842" i="4"/>
  <c r="O842" i="4"/>
  <c r="N842" i="4"/>
  <c r="M842" i="4"/>
  <c r="L842" i="4"/>
  <c r="K842" i="4"/>
  <c r="R841" i="4"/>
  <c r="Q841" i="4"/>
  <c r="P841" i="4"/>
  <c r="O841" i="4"/>
  <c r="N841" i="4"/>
  <c r="M841" i="4"/>
  <c r="L841" i="4"/>
  <c r="K841" i="4"/>
  <c r="R840" i="4"/>
  <c r="Q840" i="4"/>
  <c r="P840" i="4"/>
  <c r="O840" i="4"/>
  <c r="N840" i="4"/>
  <c r="M840" i="4"/>
  <c r="L840" i="4"/>
  <c r="K840" i="4"/>
  <c r="R839" i="4"/>
  <c r="Q839" i="4"/>
  <c r="P839" i="4"/>
  <c r="O839" i="4"/>
  <c r="N839" i="4"/>
  <c r="M839" i="4"/>
  <c r="L839" i="4"/>
  <c r="K839" i="4"/>
  <c r="R838" i="4"/>
  <c r="Q838" i="4"/>
  <c r="P838" i="4"/>
  <c r="O838" i="4"/>
  <c r="N838" i="4"/>
  <c r="M838" i="4"/>
  <c r="L838" i="4"/>
  <c r="K838" i="4"/>
  <c r="R837" i="4"/>
  <c r="Q837" i="4"/>
  <c r="P837" i="4"/>
  <c r="O837" i="4"/>
  <c r="N837" i="4"/>
  <c r="M837" i="4"/>
  <c r="L837" i="4"/>
  <c r="K837" i="4"/>
  <c r="R836" i="4"/>
  <c r="Q836" i="4"/>
  <c r="P836" i="4"/>
  <c r="O836" i="4"/>
  <c r="N836" i="4"/>
  <c r="M836" i="4"/>
  <c r="L836" i="4"/>
  <c r="K836" i="4"/>
  <c r="R835" i="4"/>
  <c r="Q835" i="4"/>
  <c r="P835" i="4"/>
  <c r="O835" i="4"/>
  <c r="N835" i="4"/>
  <c r="M835" i="4"/>
  <c r="L835" i="4"/>
  <c r="K835" i="4"/>
  <c r="R834" i="4"/>
  <c r="Q834" i="4"/>
  <c r="P834" i="4"/>
  <c r="O834" i="4"/>
  <c r="N834" i="4"/>
  <c r="M834" i="4"/>
  <c r="L834" i="4"/>
  <c r="K834" i="4"/>
  <c r="R833" i="4"/>
  <c r="Q833" i="4"/>
  <c r="P833" i="4"/>
  <c r="O833" i="4"/>
  <c r="N833" i="4"/>
  <c r="M833" i="4"/>
  <c r="L833" i="4"/>
  <c r="K833" i="4"/>
  <c r="R832" i="4"/>
  <c r="Q832" i="4"/>
  <c r="P832" i="4"/>
  <c r="O832" i="4"/>
  <c r="N832" i="4"/>
  <c r="M832" i="4"/>
  <c r="L832" i="4"/>
  <c r="K832" i="4"/>
  <c r="R831" i="4"/>
  <c r="Q831" i="4"/>
  <c r="P831" i="4"/>
  <c r="O831" i="4"/>
  <c r="N831" i="4"/>
  <c r="M831" i="4"/>
  <c r="L831" i="4"/>
  <c r="K831" i="4"/>
  <c r="R830" i="4"/>
  <c r="Q830" i="4"/>
  <c r="P830" i="4"/>
  <c r="O830" i="4"/>
  <c r="N830" i="4"/>
  <c r="M830" i="4"/>
  <c r="L830" i="4"/>
  <c r="K830" i="4"/>
  <c r="R829" i="4"/>
  <c r="Q829" i="4"/>
  <c r="P829" i="4"/>
  <c r="O829" i="4"/>
  <c r="N829" i="4"/>
  <c r="M829" i="4"/>
  <c r="L829" i="4"/>
  <c r="K829" i="4"/>
  <c r="R828" i="4"/>
  <c r="Q828" i="4"/>
  <c r="P828" i="4"/>
  <c r="O828" i="4"/>
  <c r="N828" i="4"/>
  <c r="M828" i="4"/>
  <c r="L828" i="4"/>
  <c r="K828" i="4"/>
  <c r="R827" i="4"/>
  <c r="Q827" i="4"/>
  <c r="P827" i="4"/>
  <c r="O827" i="4"/>
  <c r="N827" i="4"/>
  <c r="M827" i="4"/>
  <c r="L827" i="4"/>
  <c r="K827" i="4"/>
  <c r="R826" i="4"/>
  <c r="Q826" i="4"/>
  <c r="P826" i="4"/>
  <c r="O826" i="4"/>
  <c r="N826" i="4"/>
  <c r="M826" i="4"/>
  <c r="L826" i="4"/>
  <c r="K826" i="4"/>
  <c r="R825" i="4"/>
  <c r="Q825" i="4"/>
  <c r="P825" i="4"/>
  <c r="O825" i="4"/>
  <c r="N825" i="4"/>
  <c r="M825" i="4"/>
  <c r="L825" i="4"/>
  <c r="K825" i="4"/>
  <c r="R824" i="4"/>
  <c r="Q824" i="4"/>
  <c r="P824" i="4"/>
  <c r="O824" i="4"/>
  <c r="N824" i="4"/>
  <c r="M824" i="4"/>
  <c r="L824" i="4"/>
  <c r="K824" i="4"/>
  <c r="R823" i="4"/>
  <c r="Q823" i="4"/>
  <c r="P823" i="4"/>
  <c r="O823" i="4"/>
  <c r="N823" i="4"/>
  <c r="M823" i="4"/>
  <c r="L823" i="4"/>
  <c r="K823" i="4"/>
  <c r="R822" i="4"/>
  <c r="Q822" i="4"/>
  <c r="P822" i="4"/>
  <c r="O822" i="4"/>
  <c r="N822" i="4"/>
  <c r="M822" i="4"/>
  <c r="L822" i="4"/>
  <c r="K822" i="4"/>
  <c r="R821" i="4"/>
  <c r="Q821" i="4"/>
  <c r="P821" i="4"/>
  <c r="O821" i="4"/>
  <c r="N821" i="4"/>
  <c r="M821" i="4"/>
  <c r="L821" i="4"/>
  <c r="K821" i="4"/>
  <c r="R820" i="4"/>
  <c r="Q820" i="4"/>
  <c r="P820" i="4"/>
  <c r="O820" i="4"/>
  <c r="N820" i="4"/>
  <c r="M820" i="4"/>
  <c r="L820" i="4"/>
  <c r="K820" i="4"/>
  <c r="R819" i="4"/>
  <c r="Q819" i="4"/>
  <c r="P819" i="4"/>
  <c r="O819" i="4"/>
  <c r="N819" i="4"/>
  <c r="M819" i="4"/>
  <c r="L819" i="4"/>
  <c r="K819" i="4"/>
  <c r="R818" i="4"/>
  <c r="Q818" i="4"/>
  <c r="P818" i="4"/>
  <c r="O818" i="4"/>
  <c r="N818" i="4"/>
  <c r="M818" i="4"/>
  <c r="L818" i="4"/>
  <c r="K818" i="4"/>
  <c r="R817" i="4"/>
  <c r="Q817" i="4"/>
  <c r="P817" i="4"/>
  <c r="O817" i="4"/>
  <c r="N817" i="4"/>
  <c r="M817" i="4"/>
  <c r="L817" i="4"/>
  <c r="K817" i="4"/>
  <c r="R816" i="4"/>
  <c r="Q816" i="4"/>
  <c r="P816" i="4"/>
  <c r="O816" i="4"/>
  <c r="N816" i="4"/>
  <c r="M816" i="4"/>
  <c r="L816" i="4"/>
  <c r="K816" i="4"/>
  <c r="R815" i="4"/>
  <c r="Q815" i="4"/>
  <c r="P815" i="4"/>
  <c r="O815" i="4"/>
  <c r="N815" i="4"/>
  <c r="M815" i="4"/>
  <c r="L815" i="4"/>
  <c r="K815" i="4"/>
  <c r="R814" i="4"/>
  <c r="Q814" i="4"/>
  <c r="P814" i="4"/>
  <c r="O814" i="4"/>
  <c r="N814" i="4"/>
  <c r="M814" i="4"/>
  <c r="L814" i="4"/>
  <c r="K814" i="4"/>
  <c r="R813" i="4"/>
  <c r="Q813" i="4"/>
  <c r="P813" i="4"/>
  <c r="O813" i="4"/>
  <c r="N813" i="4"/>
  <c r="M813" i="4"/>
  <c r="L813" i="4"/>
  <c r="K813" i="4"/>
  <c r="R812" i="4"/>
  <c r="Q812" i="4"/>
  <c r="P812" i="4"/>
  <c r="O812" i="4"/>
  <c r="N812" i="4"/>
  <c r="M812" i="4"/>
  <c r="L812" i="4"/>
  <c r="K812" i="4"/>
  <c r="R811" i="4"/>
  <c r="Q811" i="4"/>
  <c r="P811" i="4"/>
  <c r="O811" i="4"/>
  <c r="N811" i="4"/>
  <c r="M811" i="4"/>
  <c r="L811" i="4"/>
  <c r="K811" i="4"/>
  <c r="R810" i="4"/>
  <c r="Q810" i="4"/>
  <c r="P810" i="4"/>
  <c r="O810" i="4"/>
  <c r="N810" i="4"/>
  <c r="M810" i="4"/>
  <c r="L810" i="4"/>
  <c r="K810" i="4"/>
  <c r="R809" i="4"/>
  <c r="Q809" i="4"/>
  <c r="P809" i="4"/>
  <c r="O809" i="4"/>
  <c r="N809" i="4"/>
  <c r="M809" i="4"/>
  <c r="L809" i="4"/>
  <c r="K809" i="4"/>
  <c r="R808" i="4"/>
  <c r="Q808" i="4"/>
  <c r="P808" i="4"/>
  <c r="O808" i="4"/>
  <c r="N808" i="4"/>
  <c r="M808" i="4"/>
  <c r="L808" i="4"/>
  <c r="K808" i="4"/>
  <c r="R807" i="4"/>
  <c r="Q807" i="4"/>
  <c r="P807" i="4"/>
  <c r="O807" i="4"/>
  <c r="N807" i="4"/>
  <c r="M807" i="4"/>
  <c r="L807" i="4"/>
  <c r="K807" i="4"/>
  <c r="R806" i="4"/>
  <c r="Q806" i="4"/>
  <c r="P806" i="4"/>
  <c r="O806" i="4"/>
  <c r="N806" i="4"/>
  <c r="M806" i="4"/>
  <c r="L806" i="4"/>
  <c r="K806" i="4"/>
  <c r="R805" i="4"/>
  <c r="Q805" i="4"/>
  <c r="P805" i="4"/>
  <c r="O805" i="4"/>
  <c r="N805" i="4"/>
  <c r="M805" i="4"/>
  <c r="L805" i="4"/>
  <c r="K805" i="4"/>
  <c r="R804" i="4"/>
  <c r="Q804" i="4"/>
  <c r="P804" i="4"/>
  <c r="O804" i="4"/>
  <c r="N804" i="4"/>
  <c r="M804" i="4"/>
  <c r="L804" i="4"/>
  <c r="K804" i="4"/>
  <c r="R803" i="4"/>
  <c r="Q803" i="4"/>
  <c r="P803" i="4"/>
  <c r="O803" i="4"/>
  <c r="N803" i="4"/>
  <c r="M803" i="4"/>
  <c r="L803" i="4"/>
  <c r="K803" i="4"/>
  <c r="R802" i="4"/>
  <c r="Q802" i="4"/>
  <c r="P802" i="4"/>
  <c r="O802" i="4"/>
  <c r="N802" i="4"/>
  <c r="M802" i="4"/>
  <c r="L802" i="4"/>
  <c r="K802" i="4"/>
  <c r="R801" i="4"/>
  <c r="Q801" i="4"/>
  <c r="P801" i="4"/>
  <c r="O801" i="4"/>
  <c r="N801" i="4"/>
  <c r="M801" i="4"/>
  <c r="L801" i="4"/>
  <c r="K801" i="4"/>
  <c r="R800" i="4"/>
  <c r="Q800" i="4"/>
  <c r="P800" i="4"/>
  <c r="O800" i="4"/>
  <c r="N800" i="4"/>
  <c r="M800" i="4"/>
  <c r="L800" i="4"/>
  <c r="K800" i="4"/>
  <c r="R799" i="4"/>
  <c r="Q799" i="4"/>
  <c r="P799" i="4"/>
  <c r="O799" i="4"/>
  <c r="N799" i="4"/>
  <c r="M799" i="4"/>
  <c r="L799" i="4"/>
  <c r="K799" i="4"/>
  <c r="R798" i="4"/>
  <c r="Q798" i="4"/>
  <c r="P798" i="4"/>
  <c r="O798" i="4"/>
  <c r="N798" i="4"/>
  <c r="M798" i="4"/>
  <c r="L798" i="4"/>
  <c r="K798" i="4"/>
  <c r="R797" i="4"/>
  <c r="Q797" i="4"/>
  <c r="P797" i="4"/>
  <c r="O797" i="4"/>
  <c r="N797" i="4"/>
  <c r="M797" i="4"/>
  <c r="L797" i="4"/>
  <c r="K797" i="4"/>
  <c r="R796" i="4"/>
  <c r="Q796" i="4"/>
  <c r="P796" i="4"/>
  <c r="O796" i="4"/>
  <c r="N796" i="4"/>
  <c r="M796" i="4"/>
  <c r="L796" i="4"/>
  <c r="K796" i="4"/>
  <c r="R795" i="4"/>
  <c r="Q795" i="4"/>
  <c r="P795" i="4"/>
  <c r="O795" i="4"/>
  <c r="N795" i="4"/>
  <c r="M795" i="4"/>
  <c r="L795" i="4"/>
  <c r="K795" i="4"/>
  <c r="R794" i="4"/>
  <c r="Q794" i="4"/>
  <c r="P794" i="4"/>
  <c r="O794" i="4"/>
  <c r="N794" i="4"/>
  <c r="M794" i="4"/>
  <c r="L794" i="4"/>
  <c r="K794" i="4"/>
  <c r="R793" i="4"/>
  <c r="Q793" i="4"/>
  <c r="P793" i="4"/>
  <c r="O793" i="4"/>
  <c r="N793" i="4"/>
  <c r="M793" i="4"/>
  <c r="L793" i="4"/>
  <c r="K793" i="4"/>
  <c r="R792" i="4"/>
  <c r="Q792" i="4"/>
  <c r="P792" i="4"/>
  <c r="O792" i="4"/>
  <c r="N792" i="4"/>
  <c r="M792" i="4"/>
  <c r="L792" i="4"/>
  <c r="K792" i="4"/>
  <c r="R791" i="4"/>
  <c r="Q791" i="4"/>
  <c r="P791" i="4"/>
  <c r="O791" i="4"/>
  <c r="N791" i="4"/>
  <c r="M791" i="4"/>
  <c r="L791" i="4"/>
  <c r="K791" i="4"/>
  <c r="R790" i="4"/>
  <c r="Q790" i="4"/>
  <c r="P790" i="4"/>
  <c r="O790" i="4"/>
  <c r="N790" i="4"/>
  <c r="M790" i="4"/>
  <c r="L790" i="4"/>
  <c r="K790" i="4"/>
  <c r="R789" i="4"/>
  <c r="Q789" i="4"/>
  <c r="P789" i="4"/>
  <c r="O789" i="4"/>
  <c r="N789" i="4"/>
  <c r="M789" i="4"/>
  <c r="L789" i="4"/>
  <c r="K789" i="4"/>
  <c r="R788" i="4"/>
  <c r="Q788" i="4"/>
  <c r="P788" i="4"/>
  <c r="O788" i="4"/>
  <c r="N788" i="4"/>
  <c r="M788" i="4"/>
  <c r="L788" i="4"/>
  <c r="K788" i="4"/>
  <c r="R787" i="4"/>
  <c r="Q787" i="4"/>
  <c r="P787" i="4"/>
  <c r="O787" i="4"/>
  <c r="N787" i="4"/>
  <c r="M787" i="4"/>
  <c r="L787" i="4"/>
  <c r="K787" i="4"/>
  <c r="R786" i="4"/>
  <c r="Q786" i="4"/>
  <c r="P786" i="4"/>
  <c r="O786" i="4"/>
  <c r="N786" i="4"/>
  <c r="M786" i="4"/>
  <c r="L786" i="4"/>
  <c r="K786" i="4"/>
  <c r="R785" i="4"/>
  <c r="Q785" i="4"/>
  <c r="P785" i="4"/>
  <c r="O785" i="4"/>
  <c r="N785" i="4"/>
  <c r="M785" i="4"/>
  <c r="L785" i="4"/>
  <c r="K785" i="4"/>
  <c r="R784" i="4"/>
  <c r="Q784" i="4"/>
  <c r="P784" i="4"/>
  <c r="O784" i="4"/>
  <c r="N784" i="4"/>
  <c r="M784" i="4"/>
  <c r="L784" i="4"/>
  <c r="K784" i="4"/>
  <c r="R783" i="4"/>
  <c r="Q783" i="4"/>
  <c r="P783" i="4"/>
  <c r="O783" i="4"/>
  <c r="N783" i="4"/>
  <c r="M783" i="4"/>
  <c r="L783" i="4"/>
  <c r="K783" i="4"/>
  <c r="R782" i="4"/>
  <c r="Q782" i="4"/>
  <c r="P782" i="4"/>
  <c r="O782" i="4"/>
  <c r="N782" i="4"/>
  <c r="M782" i="4"/>
  <c r="L782" i="4"/>
  <c r="K782" i="4"/>
  <c r="R781" i="4"/>
  <c r="Q781" i="4"/>
  <c r="P781" i="4"/>
  <c r="O781" i="4"/>
  <c r="N781" i="4"/>
  <c r="M781" i="4"/>
  <c r="L781" i="4"/>
  <c r="K781" i="4"/>
  <c r="R780" i="4"/>
  <c r="Q780" i="4"/>
  <c r="P780" i="4"/>
  <c r="O780" i="4"/>
  <c r="N780" i="4"/>
  <c r="M780" i="4"/>
  <c r="L780" i="4"/>
  <c r="K780" i="4"/>
  <c r="R779" i="4"/>
  <c r="Q779" i="4"/>
  <c r="P779" i="4"/>
  <c r="O779" i="4"/>
  <c r="N779" i="4"/>
  <c r="M779" i="4"/>
  <c r="L779" i="4"/>
  <c r="K779" i="4"/>
  <c r="R778" i="4"/>
  <c r="Q778" i="4"/>
  <c r="P778" i="4"/>
  <c r="O778" i="4"/>
  <c r="N778" i="4"/>
  <c r="M778" i="4"/>
  <c r="L778" i="4"/>
  <c r="K778" i="4"/>
  <c r="R777" i="4"/>
  <c r="Q777" i="4"/>
  <c r="P777" i="4"/>
  <c r="O777" i="4"/>
  <c r="N777" i="4"/>
  <c r="M777" i="4"/>
  <c r="L777" i="4"/>
  <c r="K777" i="4"/>
  <c r="R776" i="4"/>
  <c r="Q776" i="4"/>
  <c r="P776" i="4"/>
  <c r="O776" i="4"/>
  <c r="N776" i="4"/>
  <c r="M776" i="4"/>
  <c r="L776" i="4"/>
  <c r="K776" i="4"/>
  <c r="R775" i="4"/>
  <c r="Q775" i="4"/>
  <c r="P775" i="4"/>
  <c r="O775" i="4"/>
  <c r="N775" i="4"/>
  <c r="M775" i="4"/>
  <c r="L775" i="4"/>
  <c r="K775" i="4"/>
  <c r="R774" i="4"/>
  <c r="Q774" i="4"/>
  <c r="P774" i="4"/>
  <c r="O774" i="4"/>
  <c r="N774" i="4"/>
  <c r="M774" i="4"/>
  <c r="L774" i="4"/>
  <c r="K774" i="4"/>
  <c r="R773" i="4"/>
  <c r="Q773" i="4"/>
  <c r="P773" i="4"/>
  <c r="O773" i="4"/>
  <c r="N773" i="4"/>
  <c r="M773" i="4"/>
  <c r="L773" i="4"/>
  <c r="K773" i="4"/>
  <c r="R772" i="4"/>
  <c r="Q772" i="4"/>
  <c r="P772" i="4"/>
  <c r="O772" i="4"/>
  <c r="N772" i="4"/>
  <c r="M772" i="4"/>
  <c r="L772" i="4"/>
  <c r="K772" i="4"/>
  <c r="R771" i="4"/>
  <c r="Q771" i="4"/>
  <c r="P771" i="4"/>
  <c r="O771" i="4"/>
  <c r="N771" i="4"/>
  <c r="M771" i="4"/>
  <c r="L771" i="4"/>
  <c r="K771" i="4"/>
  <c r="R770" i="4"/>
  <c r="Q770" i="4"/>
  <c r="P770" i="4"/>
  <c r="O770" i="4"/>
  <c r="N770" i="4"/>
  <c r="M770" i="4"/>
  <c r="L770" i="4"/>
  <c r="K770" i="4"/>
  <c r="R769" i="4"/>
  <c r="Q769" i="4"/>
  <c r="P769" i="4"/>
  <c r="O769" i="4"/>
  <c r="N769" i="4"/>
  <c r="M769" i="4"/>
  <c r="L769" i="4"/>
  <c r="K769" i="4"/>
  <c r="R768" i="4"/>
  <c r="Q768" i="4"/>
  <c r="P768" i="4"/>
  <c r="O768" i="4"/>
  <c r="N768" i="4"/>
  <c r="M768" i="4"/>
  <c r="L768" i="4"/>
  <c r="K768" i="4"/>
  <c r="R767" i="4"/>
  <c r="Q767" i="4"/>
  <c r="P767" i="4"/>
  <c r="O767" i="4"/>
  <c r="N767" i="4"/>
  <c r="M767" i="4"/>
  <c r="L767" i="4"/>
  <c r="K767" i="4"/>
  <c r="R766" i="4"/>
  <c r="Q766" i="4"/>
  <c r="P766" i="4"/>
  <c r="O766" i="4"/>
  <c r="N766" i="4"/>
  <c r="M766" i="4"/>
  <c r="L766" i="4"/>
  <c r="K766" i="4"/>
  <c r="R765" i="4"/>
  <c r="Q765" i="4"/>
  <c r="P765" i="4"/>
  <c r="O765" i="4"/>
  <c r="N765" i="4"/>
  <c r="M765" i="4"/>
  <c r="L765" i="4"/>
  <c r="K765" i="4"/>
  <c r="R764" i="4"/>
  <c r="Q764" i="4"/>
  <c r="P764" i="4"/>
  <c r="O764" i="4"/>
  <c r="N764" i="4"/>
  <c r="M764" i="4"/>
  <c r="L764" i="4"/>
  <c r="K764" i="4"/>
  <c r="R763" i="4"/>
  <c r="Q763" i="4"/>
  <c r="P763" i="4"/>
  <c r="O763" i="4"/>
  <c r="N763" i="4"/>
  <c r="M763" i="4"/>
  <c r="L763" i="4"/>
  <c r="K763" i="4"/>
  <c r="R762" i="4"/>
  <c r="Q762" i="4"/>
  <c r="P762" i="4"/>
  <c r="O762" i="4"/>
  <c r="N762" i="4"/>
  <c r="M762" i="4"/>
  <c r="L762" i="4"/>
  <c r="K762" i="4"/>
  <c r="R761" i="4"/>
  <c r="Q761" i="4"/>
  <c r="P761" i="4"/>
  <c r="O761" i="4"/>
  <c r="N761" i="4"/>
  <c r="M761" i="4"/>
  <c r="L761" i="4"/>
  <c r="K761" i="4"/>
  <c r="R760" i="4"/>
  <c r="Q760" i="4"/>
  <c r="P760" i="4"/>
  <c r="O760" i="4"/>
  <c r="N760" i="4"/>
  <c r="M760" i="4"/>
  <c r="L760" i="4"/>
  <c r="K760" i="4"/>
  <c r="R759" i="4"/>
  <c r="Q759" i="4"/>
  <c r="P759" i="4"/>
  <c r="O759" i="4"/>
  <c r="N759" i="4"/>
  <c r="M759" i="4"/>
  <c r="L759" i="4"/>
  <c r="K759" i="4"/>
  <c r="R758" i="4"/>
  <c r="Q758" i="4"/>
  <c r="P758" i="4"/>
  <c r="O758" i="4"/>
  <c r="N758" i="4"/>
  <c r="M758" i="4"/>
  <c r="L758" i="4"/>
  <c r="K758" i="4"/>
  <c r="R757" i="4"/>
  <c r="Q757" i="4"/>
  <c r="P757" i="4"/>
  <c r="O757" i="4"/>
  <c r="N757" i="4"/>
  <c r="M757" i="4"/>
  <c r="L757" i="4"/>
  <c r="K757" i="4"/>
  <c r="R756" i="4"/>
  <c r="Q756" i="4"/>
  <c r="P756" i="4"/>
  <c r="O756" i="4"/>
  <c r="N756" i="4"/>
  <c r="M756" i="4"/>
  <c r="L756" i="4"/>
  <c r="K756" i="4"/>
  <c r="R755" i="4"/>
  <c r="Q755" i="4"/>
  <c r="P755" i="4"/>
  <c r="O755" i="4"/>
  <c r="N755" i="4"/>
  <c r="M755" i="4"/>
  <c r="L755" i="4"/>
  <c r="K755" i="4"/>
  <c r="R754" i="4"/>
  <c r="Q754" i="4"/>
  <c r="P754" i="4"/>
  <c r="O754" i="4"/>
  <c r="N754" i="4"/>
  <c r="M754" i="4"/>
  <c r="L754" i="4"/>
  <c r="K754" i="4"/>
  <c r="R753" i="4"/>
  <c r="Q753" i="4"/>
  <c r="P753" i="4"/>
  <c r="O753" i="4"/>
  <c r="N753" i="4"/>
  <c r="M753" i="4"/>
  <c r="L753" i="4"/>
  <c r="K753" i="4"/>
  <c r="R752" i="4"/>
  <c r="Q752" i="4"/>
  <c r="P752" i="4"/>
  <c r="O752" i="4"/>
  <c r="N752" i="4"/>
  <c r="M752" i="4"/>
  <c r="L752" i="4"/>
  <c r="K752" i="4"/>
  <c r="R751" i="4"/>
  <c r="Q751" i="4"/>
  <c r="P751" i="4"/>
  <c r="O751" i="4"/>
  <c r="N751" i="4"/>
  <c r="M751" i="4"/>
  <c r="L751" i="4"/>
  <c r="K751" i="4"/>
  <c r="R750" i="4"/>
  <c r="Q750" i="4"/>
  <c r="P750" i="4"/>
  <c r="O750" i="4"/>
  <c r="N750" i="4"/>
  <c r="M750" i="4"/>
  <c r="L750" i="4"/>
  <c r="K750" i="4"/>
  <c r="R749" i="4"/>
  <c r="Q749" i="4"/>
  <c r="P749" i="4"/>
  <c r="O749" i="4"/>
  <c r="N749" i="4"/>
  <c r="M749" i="4"/>
  <c r="L749" i="4"/>
  <c r="K749" i="4"/>
  <c r="R748" i="4"/>
  <c r="Q748" i="4"/>
  <c r="P748" i="4"/>
  <c r="O748" i="4"/>
  <c r="N748" i="4"/>
  <c r="M748" i="4"/>
  <c r="L748" i="4"/>
  <c r="K748" i="4"/>
  <c r="R747" i="4"/>
  <c r="Q747" i="4"/>
  <c r="P747" i="4"/>
  <c r="O747" i="4"/>
  <c r="N747" i="4"/>
  <c r="M747" i="4"/>
  <c r="L747" i="4"/>
  <c r="K747" i="4"/>
  <c r="R746" i="4"/>
  <c r="Q746" i="4"/>
  <c r="P746" i="4"/>
  <c r="O746" i="4"/>
  <c r="N746" i="4"/>
  <c r="M746" i="4"/>
  <c r="L746" i="4"/>
  <c r="K746" i="4"/>
  <c r="R745" i="4"/>
  <c r="Q745" i="4"/>
  <c r="P745" i="4"/>
  <c r="O745" i="4"/>
  <c r="N745" i="4"/>
  <c r="M745" i="4"/>
  <c r="L745" i="4"/>
  <c r="K745" i="4"/>
  <c r="R744" i="4"/>
  <c r="Q744" i="4"/>
  <c r="P744" i="4"/>
  <c r="O744" i="4"/>
  <c r="N744" i="4"/>
  <c r="M744" i="4"/>
  <c r="L744" i="4"/>
  <c r="K744" i="4"/>
  <c r="R743" i="4"/>
  <c r="Q743" i="4"/>
  <c r="P743" i="4"/>
  <c r="O743" i="4"/>
  <c r="N743" i="4"/>
  <c r="M743" i="4"/>
  <c r="L743" i="4"/>
  <c r="K743" i="4"/>
  <c r="R742" i="4"/>
  <c r="Q742" i="4"/>
  <c r="P742" i="4"/>
  <c r="O742" i="4"/>
  <c r="N742" i="4"/>
  <c r="M742" i="4"/>
  <c r="L742" i="4"/>
  <c r="K742" i="4"/>
  <c r="R741" i="4"/>
  <c r="Q741" i="4"/>
  <c r="P741" i="4"/>
  <c r="O741" i="4"/>
  <c r="N741" i="4"/>
  <c r="M741" i="4"/>
  <c r="L741" i="4"/>
  <c r="K741" i="4"/>
  <c r="R740" i="4"/>
  <c r="Q740" i="4"/>
  <c r="P740" i="4"/>
  <c r="O740" i="4"/>
  <c r="N740" i="4"/>
  <c r="M740" i="4"/>
  <c r="L740" i="4"/>
  <c r="K740" i="4"/>
  <c r="R739" i="4"/>
  <c r="Q739" i="4"/>
  <c r="P739" i="4"/>
  <c r="O739" i="4"/>
  <c r="N739" i="4"/>
  <c r="M739" i="4"/>
  <c r="L739" i="4"/>
  <c r="K739" i="4"/>
  <c r="R738" i="4"/>
  <c r="Q738" i="4"/>
  <c r="P738" i="4"/>
  <c r="O738" i="4"/>
  <c r="N738" i="4"/>
  <c r="M738" i="4"/>
  <c r="L738" i="4"/>
  <c r="K738" i="4"/>
  <c r="R737" i="4"/>
  <c r="Q737" i="4"/>
  <c r="P737" i="4"/>
  <c r="O737" i="4"/>
  <c r="N737" i="4"/>
  <c r="M737" i="4"/>
  <c r="L737" i="4"/>
  <c r="K737" i="4"/>
  <c r="R736" i="4"/>
  <c r="Q736" i="4"/>
  <c r="P736" i="4"/>
  <c r="O736" i="4"/>
  <c r="N736" i="4"/>
  <c r="M736" i="4"/>
  <c r="L736" i="4"/>
  <c r="K736" i="4"/>
  <c r="R735" i="4"/>
  <c r="Q735" i="4"/>
  <c r="P735" i="4"/>
  <c r="O735" i="4"/>
  <c r="N735" i="4"/>
  <c r="M735" i="4"/>
  <c r="L735" i="4"/>
  <c r="K735" i="4"/>
  <c r="R734" i="4"/>
  <c r="Q734" i="4"/>
  <c r="P734" i="4"/>
  <c r="O734" i="4"/>
  <c r="N734" i="4"/>
  <c r="M734" i="4"/>
  <c r="L734" i="4"/>
  <c r="K734" i="4"/>
  <c r="R733" i="4"/>
  <c r="Q733" i="4"/>
  <c r="P733" i="4"/>
  <c r="O733" i="4"/>
  <c r="N733" i="4"/>
  <c r="M733" i="4"/>
  <c r="L733" i="4"/>
  <c r="K733" i="4"/>
  <c r="R732" i="4"/>
  <c r="Q732" i="4"/>
  <c r="P732" i="4"/>
  <c r="O732" i="4"/>
  <c r="N732" i="4"/>
  <c r="M732" i="4"/>
  <c r="L732" i="4"/>
  <c r="K732" i="4"/>
  <c r="R731" i="4"/>
  <c r="Q731" i="4"/>
  <c r="P731" i="4"/>
  <c r="O731" i="4"/>
  <c r="N731" i="4"/>
  <c r="M731" i="4"/>
  <c r="L731" i="4"/>
  <c r="K731" i="4"/>
  <c r="R730" i="4"/>
  <c r="Q730" i="4"/>
  <c r="P730" i="4"/>
  <c r="O730" i="4"/>
  <c r="N730" i="4"/>
  <c r="M730" i="4"/>
  <c r="L730" i="4"/>
  <c r="K730" i="4"/>
  <c r="R729" i="4"/>
  <c r="Q729" i="4"/>
  <c r="P729" i="4"/>
  <c r="O729" i="4"/>
  <c r="N729" i="4"/>
  <c r="M729" i="4"/>
  <c r="L729" i="4"/>
  <c r="K729" i="4"/>
  <c r="R728" i="4"/>
  <c r="Q728" i="4"/>
  <c r="P728" i="4"/>
  <c r="O728" i="4"/>
  <c r="N728" i="4"/>
  <c r="M728" i="4"/>
  <c r="L728" i="4"/>
  <c r="K728" i="4"/>
  <c r="R727" i="4"/>
  <c r="Q727" i="4"/>
  <c r="P727" i="4"/>
  <c r="O727" i="4"/>
  <c r="N727" i="4"/>
  <c r="M727" i="4"/>
  <c r="L727" i="4"/>
  <c r="K727" i="4"/>
  <c r="R726" i="4"/>
  <c r="Q726" i="4"/>
  <c r="P726" i="4"/>
  <c r="O726" i="4"/>
  <c r="N726" i="4"/>
  <c r="M726" i="4"/>
  <c r="L726" i="4"/>
  <c r="K726" i="4"/>
  <c r="R725" i="4"/>
  <c r="Q725" i="4"/>
  <c r="P725" i="4"/>
  <c r="O725" i="4"/>
  <c r="N725" i="4"/>
  <c r="M725" i="4"/>
  <c r="L725" i="4"/>
  <c r="K725" i="4"/>
  <c r="R724" i="4"/>
  <c r="Q724" i="4"/>
  <c r="P724" i="4"/>
  <c r="O724" i="4"/>
  <c r="N724" i="4"/>
  <c r="M724" i="4"/>
  <c r="L724" i="4"/>
  <c r="K724" i="4"/>
  <c r="R723" i="4"/>
  <c r="Q723" i="4"/>
  <c r="P723" i="4"/>
  <c r="O723" i="4"/>
  <c r="N723" i="4"/>
  <c r="M723" i="4"/>
  <c r="L723" i="4"/>
  <c r="K723" i="4"/>
  <c r="R722" i="4"/>
  <c r="Q722" i="4"/>
  <c r="P722" i="4"/>
  <c r="O722" i="4"/>
  <c r="N722" i="4"/>
  <c r="M722" i="4"/>
  <c r="L722" i="4"/>
  <c r="K722" i="4"/>
  <c r="R721" i="4"/>
  <c r="Q721" i="4"/>
  <c r="P721" i="4"/>
  <c r="O721" i="4"/>
  <c r="N721" i="4"/>
  <c r="M721" i="4"/>
  <c r="L721" i="4"/>
  <c r="K721" i="4"/>
  <c r="R720" i="4"/>
  <c r="Q720" i="4"/>
  <c r="P720" i="4"/>
  <c r="O720" i="4"/>
  <c r="N720" i="4"/>
  <c r="M720" i="4"/>
  <c r="L720" i="4"/>
  <c r="K720" i="4"/>
  <c r="R719" i="4"/>
  <c r="Q719" i="4"/>
  <c r="P719" i="4"/>
  <c r="O719" i="4"/>
  <c r="N719" i="4"/>
  <c r="M719" i="4"/>
  <c r="L719" i="4"/>
  <c r="K719" i="4"/>
  <c r="R718" i="4"/>
  <c r="Q718" i="4"/>
  <c r="P718" i="4"/>
  <c r="O718" i="4"/>
  <c r="N718" i="4"/>
  <c r="M718" i="4"/>
  <c r="L718" i="4"/>
  <c r="K718" i="4"/>
  <c r="R717" i="4"/>
  <c r="Q717" i="4"/>
  <c r="P717" i="4"/>
  <c r="O717" i="4"/>
  <c r="N717" i="4"/>
  <c r="M717" i="4"/>
  <c r="L717" i="4"/>
  <c r="K717" i="4"/>
  <c r="R716" i="4"/>
  <c r="Q716" i="4"/>
  <c r="P716" i="4"/>
  <c r="O716" i="4"/>
  <c r="N716" i="4"/>
  <c r="M716" i="4"/>
  <c r="L716" i="4"/>
  <c r="K716" i="4"/>
  <c r="R715" i="4"/>
  <c r="Q715" i="4"/>
  <c r="P715" i="4"/>
  <c r="O715" i="4"/>
  <c r="N715" i="4"/>
  <c r="M715" i="4"/>
  <c r="L715" i="4"/>
  <c r="K715" i="4"/>
  <c r="R714" i="4"/>
  <c r="Q714" i="4"/>
  <c r="P714" i="4"/>
  <c r="O714" i="4"/>
  <c r="N714" i="4"/>
  <c r="M714" i="4"/>
  <c r="L714" i="4"/>
  <c r="K714" i="4"/>
  <c r="R713" i="4"/>
  <c r="Q713" i="4"/>
  <c r="P713" i="4"/>
  <c r="O713" i="4"/>
  <c r="N713" i="4"/>
  <c r="M713" i="4"/>
  <c r="L713" i="4"/>
  <c r="K713" i="4"/>
  <c r="R712" i="4"/>
  <c r="Q712" i="4"/>
  <c r="P712" i="4"/>
  <c r="O712" i="4"/>
  <c r="N712" i="4"/>
  <c r="M712" i="4"/>
  <c r="L712" i="4"/>
  <c r="K712" i="4"/>
  <c r="R711" i="4"/>
  <c r="Q711" i="4"/>
  <c r="P711" i="4"/>
  <c r="O711" i="4"/>
  <c r="N711" i="4"/>
  <c r="M711" i="4"/>
  <c r="L711" i="4"/>
  <c r="K711" i="4"/>
  <c r="R710" i="4"/>
  <c r="Q710" i="4"/>
  <c r="P710" i="4"/>
  <c r="O710" i="4"/>
  <c r="N710" i="4"/>
  <c r="M710" i="4"/>
  <c r="L710" i="4"/>
  <c r="K710" i="4"/>
  <c r="R709" i="4"/>
  <c r="Q709" i="4"/>
  <c r="P709" i="4"/>
  <c r="O709" i="4"/>
  <c r="N709" i="4"/>
  <c r="M709" i="4"/>
  <c r="L709" i="4"/>
  <c r="K709" i="4"/>
  <c r="R708" i="4"/>
  <c r="Q708" i="4"/>
  <c r="P708" i="4"/>
  <c r="O708" i="4"/>
  <c r="N708" i="4"/>
  <c r="M708" i="4"/>
  <c r="L708" i="4"/>
  <c r="K708" i="4"/>
  <c r="R707" i="4"/>
  <c r="Q707" i="4"/>
  <c r="P707" i="4"/>
  <c r="O707" i="4"/>
  <c r="N707" i="4"/>
  <c r="M707" i="4"/>
  <c r="L707" i="4"/>
  <c r="K707" i="4"/>
  <c r="R706" i="4"/>
  <c r="Q706" i="4"/>
  <c r="P706" i="4"/>
  <c r="O706" i="4"/>
  <c r="N706" i="4"/>
  <c r="M706" i="4"/>
  <c r="L706" i="4"/>
  <c r="K706" i="4"/>
  <c r="R705" i="4"/>
  <c r="Q705" i="4"/>
  <c r="P705" i="4"/>
  <c r="O705" i="4"/>
  <c r="N705" i="4"/>
  <c r="M705" i="4"/>
  <c r="L705" i="4"/>
  <c r="K705" i="4"/>
  <c r="R704" i="4"/>
  <c r="Q704" i="4"/>
  <c r="P704" i="4"/>
  <c r="O704" i="4"/>
  <c r="N704" i="4"/>
  <c r="M704" i="4"/>
  <c r="L704" i="4"/>
  <c r="K704" i="4"/>
  <c r="R703" i="4"/>
  <c r="Q703" i="4"/>
  <c r="P703" i="4"/>
  <c r="O703" i="4"/>
  <c r="N703" i="4"/>
  <c r="M703" i="4"/>
  <c r="L703" i="4"/>
  <c r="K703" i="4"/>
  <c r="R702" i="4"/>
  <c r="Q702" i="4"/>
  <c r="P702" i="4"/>
  <c r="O702" i="4"/>
  <c r="N702" i="4"/>
  <c r="M702" i="4"/>
  <c r="L702" i="4"/>
  <c r="K702" i="4"/>
  <c r="R701" i="4"/>
  <c r="Q701" i="4"/>
  <c r="P701" i="4"/>
  <c r="O701" i="4"/>
  <c r="N701" i="4"/>
  <c r="M701" i="4"/>
  <c r="L701" i="4"/>
  <c r="K701" i="4"/>
  <c r="R700" i="4"/>
  <c r="Q700" i="4"/>
  <c r="P700" i="4"/>
  <c r="O700" i="4"/>
  <c r="N700" i="4"/>
  <c r="M700" i="4"/>
  <c r="L700" i="4"/>
  <c r="K700" i="4"/>
  <c r="R699" i="4"/>
  <c r="Q699" i="4"/>
  <c r="P699" i="4"/>
  <c r="O699" i="4"/>
  <c r="N699" i="4"/>
  <c r="M699" i="4"/>
  <c r="L699" i="4"/>
  <c r="K699" i="4"/>
  <c r="R698" i="4"/>
  <c r="Q698" i="4"/>
  <c r="P698" i="4"/>
  <c r="O698" i="4"/>
  <c r="N698" i="4"/>
  <c r="M698" i="4"/>
  <c r="L698" i="4"/>
  <c r="K698" i="4"/>
  <c r="R697" i="4"/>
  <c r="Q697" i="4"/>
  <c r="P697" i="4"/>
  <c r="O697" i="4"/>
  <c r="N697" i="4"/>
  <c r="M697" i="4"/>
  <c r="L697" i="4"/>
  <c r="K697" i="4"/>
  <c r="R696" i="4"/>
  <c r="Q696" i="4"/>
  <c r="P696" i="4"/>
  <c r="O696" i="4"/>
  <c r="N696" i="4"/>
  <c r="M696" i="4"/>
  <c r="L696" i="4"/>
  <c r="K696" i="4"/>
  <c r="R695" i="4"/>
  <c r="Q695" i="4"/>
  <c r="P695" i="4"/>
  <c r="O695" i="4"/>
  <c r="N695" i="4"/>
  <c r="M695" i="4"/>
  <c r="L695" i="4"/>
  <c r="K695" i="4"/>
  <c r="R694" i="4"/>
  <c r="Q694" i="4"/>
  <c r="P694" i="4"/>
  <c r="O694" i="4"/>
  <c r="N694" i="4"/>
  <c r="M694" i="4"/>
  <c r="L694" i="4"/>
  <c r="K694" i="4"/>
  <c r="R693" i="4"/>
  <c r="Q693" i="4"/>
  <c r="P693" i="4"/>
  <c r="O693" i="4"/>
  <c r="N693" i="4"/>
  <c r="M693" i="4"/>
  <c r="L693" i="4"/>
  <c r="K693" i="4"/>
  <c r="R692" i="4"/>
  <c r="Q692" i="4"/>
  <c r="P692" i="4"/>
  <c r="O692" i="4"/>
  <c r="N692" i="4"/>
  <c r="M692" i="4"/>
  <c r="L692" i="4"/>
  <c r="K692" i="4"/>
  <c r="R691" i="4"/>
  <c r="Q691" i="4"/>
  <c r="P691" i="4"/>
  <c r="O691" i="4"/>
  <c r="N691" i="4"/>
  <c r="M691" i="4"/>
  <c r="L691" i="4"/>
  <c r="K691" i="4"/>
  <c r="R690" i="4"/>
  <c r="Q690" i="4"/>
  <c r="P690" i="4"/>
  <c r="O690" i="4"/>
  <c r="N690" i="4"/>
  <c r="M690" i="4"/>
  <c r="L690" i="4"/>
  <c r="K690" i="4"/>
  <c r="R689" i="4"/>
  <c r="Q689" i="4"/>
  <c r="P689" i="4"/>
  <c r="O689" i="4"/>
  <c r="N689" i="4"/>
  <c r="M689" i="4"/>
  <c r="L689" i="4"/>
  <c r="K689" i="4"/>
  <c r="R688" i="4"/>
  <c r="Q688" i="4"/>
  <c r="P688" i="4"/>
  <c r="O688" i="4"/>
  <c r="N688" i="4"/>
  <c r="M688" i="4"/>
  <c r="L688" i="4"/>
  <c r="K688" i="4"/>
  <c r="R687" i="4"/>
  <c r="Q687" i="4"/>
  <c r="P687" i="4"/>
  <c r="O687" i="4"/>
  <c r="N687" i="4"/>
  <c r="M687" i="4"/>
  <c r="L687" i="4"/>
  <c r="K687" i="4"/>
  <c r="R686" i="4"/>
  <c r="Q686" i="4"/>
  <c r="P686" i="4"/>
  <c r="O686" i="4"/>
  <c r="N686" i="4"/>
  <c r="M686" i="4"/>
  <c r="L686" i="4"/>
  <c r="K686" i="4"/>
  <c r="R685" i="4"/>
  <c r="Q685" i="4"/>
  <c r="P685" i="4"/>
  <c r="O685" i="4"/>
  <c r="N685" i="4"/>
  <c r="M685" i="4"/>
  <c r="L685" i="4"/>
  <c r="K685" i="4"/>
  <c r="R684" i="4"/>
  <c r="Q684" i="4"/>
  <c r="P684" i="4"/>
  <c r="O684" i="4"/>
  <c r="N684" i="4"/>
  <c r="M684" i="4"/>
  <c r="L684" i="4"/>
  <c r="K684" i="4"/>
  <c r="R683" i="4"/>
  <c r="Q683" i="4"/>
  <c r="P683" i="4"/>
  <c r="O683" i="4"/>
  <c r="N683" i="4"/>
  <c r="M683" i="4"/>
  <c r="L683" i="4"/>
  <c r="K683" i="4"/>
  <c r="R682" i="4"/>
  <c r="Q682" i="4"/>
  <c r="P682" i="4"/>
  <c r="O682" i="4"/>
  <c r="N682" i="4"/>
  <c r="M682" i="4"/>
  <c r="L682" i="4"/>
  <c r="K682" i="4"/>
  <c r="R681" i="4"/>
  <c r="Q681" i="4"/>
  <c r="P681" i="4"/>
  <c r="O681" i="4"/>
  <c r="N681" i="4"/>
  <c r="M681" i="4"/>
  <c r="L681" i="4"/>
  <c r="K681" i="4"/>
  <c r="R680" i="4"/>
  <c r="Q680" i="4"/>
  <c r="P680" i="4"/>
  <c r="O680" i="4"/>
  <c r="N680" i="4"/>
  <c r="M680" i="4"/>
  <c r="L680" i="4"/>
  <c r="K680" i="4"/>
  <c r="R679" i="4"/>
  <c r="Q679" i="4"/>
  <c r="P679" i="4"/>
  <c r="O679" i="4"/>
  <c r="N679" i="4"/>
  <c r="M679" i="4"/>
  <c r="L679" i="4"/>
  <c r="K679" i="4"/>
  <c r="R678" i="4"/>
  <c r="Q678" i="4"/>
  <c r="P678" i="4"/>
  <c r="O678" i="4"/>
  <c r="N678" i="4"/>
  <c r="M678" i="4"/>
  <c r="L678" i="4"/>
  <c r="K678" i="4"/>
  <c r="R677" i="4"/>
  <c r="Q677" i="4"/>
  <c r="P677" i="4"/>
  <c r="O677" i="4"/>
  <c r="N677" i="4"/>
  <c r="M677" i="4"/>
  <c r="L677" i="4"/>
  <c r="K677" i="4"/>
  <c r="R676" i="4"/>
  <c r="Q676" i="4"/>
  <c r="P676" i="4"/>
  <c r="O676" i="4"/>
  <c r="N676" i="4"/>
  <c r="M676" i="4"/>
  <c r="L676" i="4"/>
  <c r="K676" i="4"/>
  <c r="R675" i="4"/>
  <c r="Q675" i="4"/>
  <c r="P675" i="4"/>
  <c r="O675" i="4"/>
  <c r="N675" i="4"/>
  <c r="M675" i="4"/>
  <c r="L675" i="4"/>
  <c r="K675" i="4"/>
  <c r="R674" i="4"/>
  <c r="Q674" i="4"/>
  <c r="P674" i="4"/>
  <c r="O674" i="4"/>
  <c r="N674" i="4"/>
  <c r="M674" i="4"/>
  <c r="L674" i="4"/>
  <c r="K674" i="4"/>
  <c r="R673" i="4"/>
  <c r="Q673" i="4"/>
  <c r="P673" i="4"/>
  <c r="O673" i="4"/>
  <c r="N673" i="4"/>
  <c r="M673" i="4"/>
  <c r="L673" i="4"/>
  <c r="K673" i="4"/>
  <c r="R672" i="4"/>
  <c r="Q672" i="4"/>
  <c r="P672" i="4"/>
  <c r="O672" i="4"/>
  <c r="N672" i="4"/>
  <c r="M672" i="4"/>
  <c r="L672" i="4"/>
  <c r="K672" i="4"/>
  <c r="R671" i="4"/>
  <c r="Q671" i="4"/>
  <c r="P671" i="4"/>
  <c r="O671" i="4"/>
  <c r="N671" i="4"/>
  <c r="M671" i="4"/>
  <c r="L671" i="4"/>
  <c r="K671" i="4"/>
  <c r="R670" i="4"/>
  <c r="Q670" i="4"/>
  <c r="P670" i="4"/>
  <c r="O670" i="4"/>
  <c r="N670" i="4"/>
  <c r="M670" i="4"/>
  <c r="L670" i="4"/>
  <c r="K670" i="4"/>
  <c r="R669" i="4"/>
  <c r="Q669" i="4"/>
  <c r="P669" i="4"/>
  <c r="O669" i="4"/>
  <c r="N669" i="4"/>
  <c r="M669" i="4"/>
  <c r="L669" i="4"/>
  <c r="K669" i="4"/>
  <c r="R668" i="4"/>
  <c r="Q668" i="4"/>
  <c r="P668" i="4"/>
  <c r="O668" i="4"/>
  <c r="N668" i="4"/>
  <c r="M668" i="4"/>
  <c r="L668" i="4"/>
  <c r="K668" i="4"/>
  <c r="R667" i="4"/>
  <c r="Q667" i="4"/>
  <c r="P667" i="4"/>
  <c r="O667" i="4"/>
  <c r="N667" i="4"/>
  <c r="M667" i="4"/>
  <c r="L667" i="4"/>
  <c r="K667" i="4"/>
  <c r="R666" i="4"/>
  <c r="Q666" i="4"/>
  <c r="P666" i="4"/>
  <c r="O666" i="4"/>
  <c r="N666" i="4"/>
  <c r="M666" i="4"/>
  <c r="L666" i="4"/>
  <c r="K666" i="4"/>
  <c r="R665" i="4"/>
  <c r="Q665" i="4"/>
  <c r="P665" i="4"/>
  <c r="O665" i="4"/>
  <c r="N665" i="4"/>
  <c r="M665" i="4"/>
  <c r="L665" i="4"/>
  <c r="K665" i="4"/>
  <c r="R478" i="4"/>
  <c r="Q478" i="4"/>
  <c r="P478" i="4"/>
  <c r="O478" i="4"/>
  <c r="N478" i="4"/>
  <c r="M478" i="4"/>
  <c r="L478" i="4"/>
  <c r="K478" i="4"/>
  <c r="R477" i="4"/>
  <c r="Q477" i="4"/>
  <c r="P477" i="4"/>
  <c r="O477" i="4"/>
  <c r="N477" i="4"/>
  <c r="M477" i="4"/>
  <c r="L477" i="4"/>
  <c r="K477" i="4"/>
  <c r="R476" i="4"/>
  <c r="Q476" i="4"/>
  <c r="P476" i="4"/>
  <c r="O476" i="4"/>
  <c r="N476" i="4"/>
  <c r="M476" i="4"/>
  <c r="L476" i="4"/>
  <c r="K476" i="4"/>
  <c r="R475" i="4"/>
  <c r="Q475" i="4"/>
  <c r="P475" i="4"/>
  <c r="O475" i="4"/>
  <c r="N475" i="4"/>
  <c r="M475" i="4"/>
  <c r="L475" i="4"/>
  <c r="K475" i="4"/>
  <c r="R474" i="4"/>
  <c r="Q474" i="4"/>
  <c r="P474" i="4"/>
  <c r="O474" i="4"/>
  <c r="N474" i="4"/>
  <c r="M474" i="4"/>
  <c r="L474" i="4"/>
  <c r="K474" i="4"/>
  <c r="R473" i="4"/>
  <c r="Q473" i="4"/>
  <c r="P473" i="4"/>
  <c r="O473" i="4"/>
  <c r="N473" i="4"/>
  <c r="M473" i="4"/>
  <c r="L473" i="4"/>
  <c r="K473" i="4"/>
  <c r="R472" i="4"/>
  <c r="Q472" i="4"/>
  <c r="P472" i="4"/>
  <c r="O472" i="4"/>
  <c r="N472" i="4"/>
  <c r="M472" i="4"/>
  <c r="L472" i="4"/>
  <c r="K472" i="4"/>
  <c r="R471" i="4"/>
  <c r="Q471" i="4"/>
  <c r="P471" i="4"/>
  <c r="O471" i="4"/>
  <c r="N471" i="4"/>
  <c r="M471" i="4"/>
  <c r="L471" i="4"/>
  <c r="K471" i="4"/>
  <c r="R470" i="4"/>
  <c r="Q470" i="4"/>
  <c r="P470" i="4"/>
  <c r="O470" i="4"/>
  <c r="N470" i="4"/>
  <c r="M470" i="4"/>
  <c r="L470" i="4"/>
  <c r="K470" i="4"/>
  <c r="R469" i="4"/>
  <c r="Q469" i="4"/>
  <c r="P469" i="4"/>
  <c r="O469" i="4"/>
  <c r="N469" i="4"/>
  <c r="M469" i="4"/>
  <c r="L469" i="4"/>
  <c r="K469" i="4"/>
  <c r="R468" i="4"/>
  <c r="Q468" i="4"/>
  <c r="P468" i="4"/>
  <c r="O468" i="4"/>
  <c r="N468" i="4"/>
  <c r="M468" i="4"/>
  <c r="L468" i="4"/>
  <c r="K468" i="4"/>
  <c r="R467" i="4"/>
  <c r="Q467" i="4"/>
  <c r="P467" i="4"/>
  <c r="O467" i="4"/>
  <c r="N467" i="4"/>
  <c r="M467" i="4"/>
  <c r="L467" i="4"/>
  <c r="K467" i="4"/>
  <c r="R466" i="4"/>
  <c r="Q466" i="4"/>
  <c r="P466" i="4"/>
  <c r="O466" i="4"/>
  <c r="N466" i="4"/>
  <c r="M466" i="4"/>
  <c r="L466" i="4"/>
  <c r="K466" i="4"/>
  <c r="R465" i="4"/>
  <c r="Q465" i="4"/>
  <c r="P465" i="4"/>
  <c r="O465" i="4"/>
  <c r="N465" i="4"/>
  <c r="M465" i="4"/>
  <c r="L465" i="4"/>
  <c r="K465" i="4"/>
  <c r="R464" i="4"/>
  <c r="Q464" i="4"/>
  <c r="P464" i="4"/>
  <c r="O464" i="4"/>
  <c r="N464" i="4"/>
  <c r="M464" i="4"/>
  <c r="L464" i="4"/>
  <c r="K464" i="4"/>
  <c r="R463" i="4"/>
  <c r="Q463" i="4"/>
  <c r="P463" i="4"/>
  <c r="O463" i="4"/>
  <c r="N463" i="4"/>
  <c r="M463" i="4"/>
  <c r="L463" i="4"/>
  <c r="K463" i="4"/>
  <c r="R462" i="4"/>
  <c r="Q462" i="4"/>
  <c r="P462" i="4"/>
  <c r="O462" i="4"/>
  <c r="N462" i="4"/>
  <c r="M462" i="4"/>
  <c r="L462" i="4"/>
  <c r="K462" i="4"/>
  <c r="R461" i="4"/>
  <c r="Q461" i="4"/>
  <c r="P461" i="4"/>
  <c r="O461" i="4"/>
  <c r="N461" i="4"/>
  <c r="M461" i="4"/>
  <c r="L461" i="4"/>
  <c r="K461" i="4"/>
  <c r="R460" i="4"/>
  <c r="Q460" i="4"/>
  <c r="P460" i="4"/>
  <c r="O460" i="4"/>
  <c r="N460" i="4"/>
  <c r="M460" i="4"/>
  <c r="L460" i="4"/>
  <c r="K460" i="4"/>
  <c r="R459" i="4"/>
  <c r="Q459" i="4"/>
  <c r="P459" i="4"/>
  <c r="O459" i="4"/>
  <c r="N459" i="4"/>
  <c r="M459" i="4"/>
  <c r="L459" i="4"/>
  <c r="K459" i="4"/>
  <c r="R458" i="4"/>
  <c r="Q458" i="4"/>
  <c r="P458" i="4"/>
  <c r="O458" i="4"/>
  <c r="N458" i="4"/>
  <c r="M458" i="4"/>
  <c r="L458" i="4"/>
  <c r="K458" i="4"/>
  <c r="R457" i="4"/>
  <c r="Q457" i="4"/>
  <c r="P457" i="4"/>
  <c r="O457" i="4"/>
  <c r="N457" i="4"/>
  <c r="M457" i="4"/>
  <c r="L457" i="4"/>
  <c r="K457" i="4"/>
  <c r="R456" i="4"/>
  <c r="Q456" i="4"/>
  <c r="P456" i="4"/>
  <c r="O456" i="4"/>
  <c r="N456" i="4"/>
  <c r="M456" i="4"/>
  <c r="L456" i="4"/>
  <c r="K456" i="4"/>
  <c r="R455" i="4"/>
  <c r="Q455" i="4"/>
  <c r="P455" i="4"/>
  <c r="O455" i="4"/>
  <c r="N455" i="4"/>
  <c r="M455" i="4"/>
  <c r="L455" i="4"/>
  <c r="K455" i="4"/>
  <c r="R454" i="4"/>
  <c r="Q454" i="4"/>
  <c r="P454" i="4"/>
  <c r="O454" i="4"/>
  <c r="N454" i="4"/>
  <c r="M454" i="4"/>
  <c r="L454" i="4"/>
  <c r="K454" i="4"/>
  <c r="R453" i="4"/>
  <c r="Q453" i="4"/>
  <c r="P453" i="4"/>
  <c r="O453" i="4"/>
  <c r="N453" i="4"/>
  <c r="M453" i="4"/>
  <c r="L453" i="4"/>
  <c r="K453" i="4"/>
  <c r="R452" i="4"/>
  <c r="Q452" i="4"/>
  <c r="P452" i="4"/>
  <c r="O452" i="4"/>
  <c r="N452" i="4"/>
  <c r="M452" i="4"/>
  <c r="L452" i="4"/>
  <c r="K452" i="4"/>
  <c r="R451" i="4"/>
  <c r="Q451" i="4"/>
  <c r="P451" i="4"/>
  <c r="O451" i="4"/>
  <c r="N451" i="4"/>
  <c r="M451" i="4"/>
  <c r="L451" i="4"/>
  <c r="K451" i="4"/>
  <c r="R450" i="4"/>
  <c r="Q450" i="4"/>
  <c r="P450" i="4"/>
  <c r="O450" i="4"/>
  <c r="N450" i="4"/>
  <c r="M450" i="4"/>
  <c r="L450" i="4"/>
  <c r="K450" i="4"/>
  <c r="R449" i="4"/>
  <c r="Q449" i="4"/>
  <c r="P449" i="4"/>
  <c r="O449" i="4"/>
  <c r="N449" i="4"/>
  <c r="M449" i="4"/>
  <c r="L449" i="4"/>
  <c r="K449" i="4"/>
  <c r="R448" i="4"/>
  <c r="Q448" i="4"/>
  <c r="P448" i="4"/>
  <c r="O448" i="4"/>
  <c r="N448" i="4"/>
  <c r="M448" i="4"/>
  <c r="L448" i="4"/>
  <c r="K448" i="4"/>
  <c r="R447" i="4"/>
  <c r="Q447" i="4"/>
  <c r="P447" i="4"/>
  <c r="O447" i="4"/>
  <c r="N447" i="4"/>
  <c r="M447" i="4"/>
  <c r="L447" i="4"/>
  <c r="K447" i="4"/>
  <c r="R446" i="4"/>
  <c r="Q446" i="4"/>
  <c r="P446" i="4"/>
  <c r="O446" i="4"/>
  <c r="N446" i="4"/>
  <c r="M446" i="4"/>
  <c r="L446" i="4"/>
  <c r="K446" i="4"/>
  <c r="R445" i="4"/>
  <c r="Q445" i="4"/>
  <c r="P445" i="4"/>
  <c r="O445" i="4"/>
  <c r="N445" i="4"/>
  <c r="M445" i="4"/>
  <c r="L445" i="4"/>
  <c r="K445" i="4"/>
  <c r="R444" i="4"/>
  <c r="Q444" i="4"/>
  <c r="P444" i="4"/>
  <c r="O444" i="4"/>
  <c r="N444" i="4"/>
  <c r="M444" i="4"/>
  <c r="L444" i="4"/>
  <c r="K444" i="4"/>
  <c r="R443" i="4"/>
  <c r="Q443" i="4"/>
  <c r="P443" i="4"/>
  <c r="O443" i="4"/>
  <c r="N443" i="4"/>
  <c r="M443" i="4"/>
  <c r="L443" i="4"/>
  <c r="K443" i="4"/>
  <c r="R442" i="4"/>
  <c r="Q442" i="4"/>
  <c r="P442" i="4"/>
  <c r="O442" i="4"/>
  <c r="N442" i="4"/>
  <c r="M442" i="4"/>
  <c r="L442" i="4"/>
  <c r="K442" i="4"/>
  <c r="R441" i="4"/>
  <c r="Q441" i="4"/>
  <c r="P441" i="4"/>
  <c r="O441" i="4"/>
  <c r="N441" i="4"/>
  <c r="M441" i="4"/>
  <c r="L441" i="4"/>
  <c r="K441" i="4"/>
  <c r="R440" i="4"/>
  <c r="Q440" i="4"/>
  <c r="P440" i="4"/>
  <c r="O440" i="4"/>
  <c r="N440" i="4"/>
  <c r="M440" i="4"/>
  <c r="L440" i="4"/>
  <c r="K440" i="4"/>
  <c r="R439" i="4"/>
  <c r="Q439" i="4"/>
  <c r="P439" i="4"/>
  <c r="O439" i="4"/>
  <c r="N439" i="4"/>
  <c r="M439" i="4"/>
  <c r="L439" i="4"/>
  <c r="K439" i="4"/>
  <c r="R438" i="4"/>
  <c r="Q438" i="4"/>
  <c r="P438" i="4"/>
  <c r="O438" i="4"/>
  <c r="N438" i="4"/>
  <c r="M438" i="4"/>
  <c r="L438" i="4"/>
  <c r="K438" i="4"/>
  <c r="R437" i="4"/>
  <c r="Q437" i="4"/>
  <c r="P437" i="4"/>
  <c r="O437" i="4"/>
  <c r="N437" i="4"/>
  <c r="M437" i="4"/>
  <c r="L437" i="4"/>
  <c r="K437" i="4"/>
  <c r="R436" i="4"/>
  <c r="Q436" i="4"/>
  <c r="P436" i="4"/>
  <c r="O436" i="4"/>
  <c r="N436" i="4"/>
  <c r="M436" i="4"/>
  <c r="L436" i="4"/>
  <c r="K436" i="4"/>
  <c r="R435" i="4"/>
  <c r="Q435" i="4"/>
  <c r="P435" i="4"/>
  <c r="O435" i="4"/>
  <c r="N435" i="4"/>
  <c r="M435" i="4"/>
  <c r="L435" i="4"/>
  <c r="K435" i="4"/>
  <c r="R434" i="4"/>
  <c r="Q434" i="4"/>
  <c r="P434" i="4"/>
  <c r="O434" i="4"/>
  <c r="N434" i="4"/>
  <c r="M434" i="4"/>
  <c r="L434" i="4"/>
  <c r="K434" i="4"/>
  <c r="R433" i="4"/>
  <c r="Q433" i="4"/>
  <c r="P433" i="4"/>
  <c r="O433" i="4"/>
  <c r="N433" i="4"/>
  <c r="M433" i="4"/>
  <c r="L433" i="4"/>
  <c r="K433" i="4"/>
  <c r="R432" i="4"/>
  <c r="Q432" i="4"/>
  <c r="P432" i="4"/>
  <c r="O432" i="4"/>
  <c r="N432" i="4"/>
  <c r="M432" i="4"/>
  <c r="L432" i="4"/>
  <c r="K432" i="4"/>
  <c r="R431" i="4"/>
  <c r="Q431" i="4"/>
  <c r="P431" i="4"/>
  <c r="O431" i="4"/>
  <c r="N431" i="4"/>
  <c r="M431" i="4"/>
  <c r="L431" i="4"/>
  <c r="K431" i="4"/>
  <c r="R430" i="4"/>
  <c r="Q430" i="4"/>
  <c r="P430" i="4"/>
  <c r="O430" i="4"/>
  <c r="N430" i="4"/>
  <c r="M430" i="4"/>
  <c r="L430" i="4"/>
  <c r="K430" i="4"/>
  <c r="R429" i="4"/>
  <c r="Q429" i="4"/>
  <c r="P429" i="4"/>
  <c r="O429" i="4"/>
  <c r="N429" i="4"/>
  <c r="M429" i="4"/>
  <c r="L429" i="4"/>
  <c r="K429" i="4"/>
  <c r="R428" i="4"/>
  <c r="Q428" i="4"/>
  <c r="P428" i="4"/>
  <c r="O428" i="4"/>
  <c r="N428" i="4"/>
  <c r="M428" i="4"/>
  <c r="L428" i="4"/>
  <c r="K428" i="4"/>
  <c r="R427" i="4"/>
  <c r="Q427" i="4"/>
  <c r="P427" i="4"/>
  <c r="O427" i="4"/>
  <c r="N427" i="4"/>
  <c r="M427" i="4"/>
  <c r="L427" i="4"/>
  <c r="K427" i="4"/>
  <c r="R426" i="4"/>
  <c r="Q426" i="4"/>
  <c r="P426" i="4"/>
  <c r="O426" i="4"/>
  <c r="N426" i="4"/>
  <c r="M426" i="4"/>
  <c r="L426" i="4"/>
  <c r="K426" i="4"/>
  <c r="R425" i="4"/>
  <c r="Q425" i="4"/>
  <c r="P425" i="4"/>
  <c r="O425" i="4"/>
  <c r="N425" i="4"/>
  <c r="M425" i="4"/>
  <c r="L425" i="4"/>
  <c r="K425" i="4"/>
  <c r="R424" i="4"/>
  <c r="Q424" i="4"/>
  <c r="P424" i="4"/>
  <c r="O424" i="4"/>
  <c r="N424" i="4"/>
  <c r="M424" i="4"/>
  <c r="L424" i="4"/>
  <c r="K424" i="4"/>
  <c r="R423" i="4"/>
  <c r="Q423" i="4"/>
  <c r="P423" i="4"/>
  <c r="O423" i="4"/>
  <c r="N423" i="4"/>
  <c r="M423" i="4"/>
  <c r="L423" i="4"/>
  <c r="K423" i="4"/>
  <c r="R422" i="4"/>
  <c r="Q422" i="4"/>
  <c r="P422" i="4"/>
  <c r="O422" i="4"/>
  <c r="N422" i="4"/>
  <c r="M422" i="4"/>
  <c r="L422" i="4"/>
  <c r="K422" i="4"/>
  <c r="R421" i="4"/>
  <c r="Q421" i="4"/>
  <c r="P421" i="4"/>
  <c r="O421" i="4"/>
  <c r="N421" i="4"/>
  <c r="M421" i="4"/>
  <c r="L421" i="4"/>
  <c r="K421" i="4"/>
  <c r="R420" i="4"/>
  <c r="Q420" i="4"/>
  <c r="P420" i="4"/>
  <c r="O420" i="4"/>
  <c r="N420" i="4"/>
  <c r="M420" i="4"/>
  <c r="L420" i="4"/>
  <c r="K420" i="4"/>
  <c r="R419" i="4"/>
  <c r="Q419" i="4"/>
  <c r="P419" i="4"/>
  <c r="O419" i="4"/>
  <c r="N419" i="4"/>
  <c r="M419" i="4"/>
  <c r="L419" i="4"/>
  <c r="K419" i="4"/>
  <c r="R418" i="4"/>
  <c r="Q418" i="4"/>
  <c r="P418" i="4"/>
  <c r="O418" i="4"/>
  <c r="N418" i="4"/>
  <c r="M418" i="4"/>
  <c r="L418" i="4"/>
  <c r="K418" i="4"/>
  <c r="R417" i="4"/>
  <c r="Q417" i="4"/>
  <c r="P417" i="4"/>
  <c r="O417" i="4"/>
  <c r="N417" i="4"/>
  <c r="M417" i="4"/>
  <c r="L417" i="4"/>
  <c r="K417" i="4"/>
  <c r="R416" i="4"/>
  <c r="Q416" i="4"/>
  <c r="P416" i="4"/>
  <c r="O416" i="4"/>
  <c r="N416" i="4"/>
  <c r="M416" i="4"/>
  <c r="L416" i="4"/>
  <c r="K416" i="4"/>
  <c r="R415" i="4"/>
  <c r="Q415" i="4"/>
  <c r="P415" i="4"/>
  <c r="O415" i="4"/>
  <c r="N415" i="4"/>
  <c r="M415" i="4"/>
  <c r="L415" i="4"/>
  <c r="K415" i="4"/>
  <c r="R414" i="4"/>
  <c r="Q414" i="4"/>
  <c r="P414" i="4"/>
  <c r="O414" i="4"/>
  <c r="N414" i="4"/>
  <c r="M414" i="4"/>
  <c r="L414" i="4"/>
  <c r="K414" i="4"/>
  <c r="R413" i="4"/>
  <c r="Q413" i="4"/>
  <c r="P413" i="4"/>
  <c r="O413" i="4"/>
  <c r="N413" i="4"/>
  <c r="M413" i="4"/>
  <c r="L413" i="4"/>
  <c r="K413" i="4"/>
  <c r="R412" i="4"/>
  <c r="Q412" i="4"/>
  <c r="P412" i="4"/>
  <c r="O412" i="4"/>
  <c r="N412" i="4"/>
  <c r="M412" i="4"/>
  <c r="L412" i="4"/>
  <c r="K412" i="4"/>
  <c r="R411" i="4"/>
  <c r="Q411" i="4"/>
  <c r="P411" i="4"/>
  <c r="O411" i="4"/>
  <c r="N411" i="4"/>
  <c r="M411" i="4"/>
  <c r="L411" i="4"/>
  <c r="K411" i="4"/>
  <c r="R410" i="4"/>
  <c r="Q410" i="4"/>
  <c r="P410" i="4"/>
  <c r="O410" i="4"/>
  <c r="N410" i="4"/>
  <c r="M410" i="4"/>
  <c r="L410" i="4"/>
  <c r="K410" i="4"/>
  <c r="R409" i="4"/>
  <c r="Q409" i="4"/>
  <c r="P409" i="4"/>
  <c r="O409" i="4"/>
  <c r="N409" i="4"/>
  <c r="M409" i="4"/>
  <c r="L409" i="4"/>
  <c r="K409" i="4"/>
  <c r="R408" i="4"/>
  <c r="Q408" i="4"/>
  <c r="P408" i="4"/>
  <c r="O408" i="4"/>
  <c r="N408" i="4"/>
  <c r="M408" i="4"/>
  <c r="L408" i="4"/>
  <c r="K408" i="4"/>
  <c r="R407" i="4"/>
  <c r="Q407" i="4"/>
  <c r="P407" i="4"/>
  <c r="O407" i="4"/>
  <c r="N407" i="4"/>
  <c r="M407" i="4"/>
  <c r="L407" i="4"/>
  <c r="K407" i="4"/>
  <c r="R406" i="4"/>
  <c r="Q406" i="4"/>
  <c r="P406" i="4"/>
  <c r="O406" i="4"/>
  <c r="N406" i="4"/>
  <c r="M406" i="4"/>
  <c r="L406" i="4"/>
  <c r="K406" i="4"/>
  <c r="R405" i="4"/>
  <c r="Q405" i="4"/>
  <c r="P405" i="4"/>
  <c r="O405" i="4"/>
  <c r="N405" i="4"/>
  <c r="M405" i="4"/>
  <c r="L405" i="4"/>
  <c r="K405" i="4"/>
  <c r="R404" i="4"/>
  <c r="Q404" i="4"/>
  <c r="P404" i="4"/>
  <c r="O404" i="4"/>
  <c r="N404" i="4"/>
  <c r="M404" i="4"/>
  <c r="L404" i="4"/>
  <c r="K404" i="4"/>
  <c r="R403" i="4"/>
  <c r="Q403" i="4"/>
  <c r="P403" i="4"/>
  <c r="O403" i="4"/>
  <c r="N403" i="4"/>
  <c r="M403" i="4"/>
  <c r="L403" i="4"/>
  <c r="K403" i="4"/>
  <c r="R402" i="4"/>
  <c r="Q402" i="4"/>
  <c r="P402" i="4"/>
  <c r="O402" i="4"/>
  <c r="N402" i="4"/>
  <c r="M402" i="4"/>
  <c r="L402" i="4"/>
  <c r="K402" i="4"/>
  <c r="R401" i="4"/>
  <c r="Q401" i="4"/>
  <c r="P401" i="4"/>
  <c r="O401" i="4"/>
  <c r="N401" i="4"/>
  <c r="M401" i="4"/>
  <c r="L401" i="4"/>
  <c r="K401" i="4"/>
  <c r="R400" i="4"/>
  <c r="Q400" i="4"/>
  <c r="P400" i="4"/>
  <c r="O400" i="4"/>
  <c r="N400" i="4"/>
  <c r="M400" i="4"/>
  <c r="L400" i="4"/>
  <c r="K400" i="4"/>
  <c r="R399" i="4"/>
  <c r="Q399" i="4"/>
  <c r="P399" i="4"/>
  <c r="O399" i="4"/>
  <c r="N399" i="4"/>
  <c r="M399" i="4"/>
  <c r="L399" i="4"/>
  <c r="K399" i="4"/>
  <c r="R398" i="4"/>
  <c r="Q398" i="4"/>
  <c r="P398" i="4"/>
  <c r="O398" i="4"/>
  <c r="N398" i="4"/>
  <c r="M398" i="4"/>
  <c r="L398" i="4"/>
  <c r="K398" i="4"/>
  <c r="R397" i="4"/>
  <c r="Q397" i="4"/>
  <c r="P397" i="4"/>
  <c r="O397" i="4"/>
  <c r="N397" i="4"/>
  <c r="M397" i="4"/>
  <c r="L397" i="4"/>
  <c r="K397" i="4"/>
  <c r="R396" i="4"/>
  <c r="Q396" i="4"/>
  <c r="P396" i="4"/>
  <c r="O396" i="4"/>
  <c r="N396" i="4"/>
  <c r="M396" i="4"/>
  <c r="L396" i="4"/>
  <c r="K396" i="4"/>
  <c r="R395" i="4"/>
  <c r="Q395" i="4"/>
  <c r="P395" i="4"/>
  <c r="O395" i="4"/>
  <c r="N395" i="4"/>
  <c r="M395" i="4"/>
  <c r="L395" i="4"/>
  <c r="K395" i="4"/>
  <c r="R394" i="4"/>
  <c r="Q394" i="4"/>
  <c r="P394" i="4"/>
  <c r="O394" i="4"/>
  <c r="N394" i="4"/>
  <c r="M394" i="4"/>
  <c r="L394" i="4"/>
  <c r="K394" i="4"/>
  <c r="R393" i="4"/>
  <c r="Q393" i="4"/>
  <c r="P393" i="4"/>
  <c r="O393" i="4"/>
  <c r="N393" i="4"/>
  <c r="M393" i="4"/>
  <c r="L393" i="4"/>
  <c r="K393" i="4"/>
  <c r="R392" i="4"/>
  <c r="Q392" i="4"/>
  <c r="P392" i="4"/>
  <c r="O392" i="4"/>
  <c r="N392" i="4"/>
  <c r="M392" i="4"/>
  <c r="L392" i="4"/>
  <c r="K392" i="4"/>
  <c r="R391" i="4"/>
  <c r="Q391" i="4"/>
  <c r="P391" i="4"/>
  <c r="O391" i="4"/>
  <c r="N391" i="4"/>
  <c r="M391" i="4"/>
  <c r="L391" i="4"/>
  <c r="K391" i="4"/>
  <c r="R390" i="4"/>
  <c r="Q390" i="4"/>
  <c r="P390" i="4"/>
  <c r="O390" i="4"/>
  <c r="N390" i="4"/>
  <c r="M390" i="4"/>
  <c r="L390" i="4"/>
  <c r="K390" i="4"/>
  <c r="R389" i="4"/>
  <c r="Q389" i="4"/>
  <c r="P389" i="4"/>
  <c r="O389" i="4"/>
  <c r="N389" i="4"/>
  <c r="M389" i="4"/>
  <c r="L389" i="4"/>
  <c r="K389" i="4"/>
  <c r="R388" i="4"/>
  <c r="Q388" i="4"/>
  <c r="P388" i="4"/>
  <c r="O388" i="4"/>
  <c r="N388" i="4"/>
  <c r="M388" i="4"/>
  <c r="L388" i="4"/>
  <c r="K388" i="4"/>
  <c r="R387" i="4"/>
  <c r="Q387" i="4"/>
  <c r="P387" i="4"/>
  <c r="O387" i="4"/>
  <c r="N387" i="4"/>
  <c r="M387" i="4"/>
  <c r="L387" i="4"/>
  <c r="K387" i="4"/>
  <c r="R386" i="4"/>
  <c r="Q386" i="4"/>
  <c r="P386" i="4"/>
  <c r="O386" i="4"/>
  <c r="N386" i="4"/>
  <c r="M386" i="4"/>
  <c r="L386" i="4"/>
  <c r="K386" i="4"/>
  <c r="R385" i="4"/>
  <c r="Q385" i="4"/>
  <c r="P385" i="4"/>
  <c r="O385" i="4"/>
  <c r="N385" i="4"/>
  <c r="M385" i="4"/>
  <c r="L385" i="4"/>
  <c r="K385" i="4"/>
  <c r="R384" i="4"/>
  <c r="Q384" i="4"/>
  <c r="P384" i="4"/>
  <c r="O384" i="4"/>
  <c r="N384" i="4"/>
  <c r="M384" i="4"/>
  <c r="L384" i="4"/>
  <c r="K384" i="4"/>
  <c r="R383" i="4"/>
  <c r="Q383" i="4"/>
  <c r="P383" i="4"/>
  <c r="O383" i="4"/>
  <c r="N383" i="4"/>
  <c r="M383" i="4"/>
  <c r="L383" i="4"/>
  <c r="K383" i="4"/>
  <c r="R382" i="4"/>
  <c r="Q382" i="4"/>
  <c r="P382" i="4"/>
  <c r="O382" i="4"/>
  <c r="N382" i="4"/>
  <c r="M382" i="4"/>
  <c r="L382" i="4"/>
  <c r="K382" i="4"/>
  <c r="R381" i="4"/>
  <c r="Q381" i="4"/>
  <c r="P381" i="4"/>
  <c r="O381" i="4"/>
  <c r="N381" i="4"/>
  <c r="M381" i="4"/>
  <c r="L381" i="4"/>
  <c r="K381" i="4"/>
  <c r="R380" i="4"/>
  <c r="Q380" i="4"/>
  <c r="P380" i="4"/>
  <c r="O380" i="4"/>
  <c r="N380" i="4"/>
  <c r="M380" i="4"/>
  <c r="L380" i="4"/>
  <c r="K380" i="4"/>
  <c r="R379" i="4"/>
  <c r="Q379" i="4"/>
  <c r="P379" i="4"/>
  <c r="O379" i="4"/>
  <c r="N379" i="4"/>
  <c r="M379" i="4"/>
  <c r="L379" i="4"/>
  <c r="K379" i="4"/>
  <c r="R378" i="4"/>
  <c r="Q378" i="4"/>
  <c r="P378" i="4"/>
  <c r="O378" i="4"/>
  <c r="N378" i="4"/>
  <c r="M378" i="4"/>
  <c r="L378" i="4"/>
  <c r="K378" i="4"/>
  <c r="R377" i="4"/>
  <c r="Q377" i="4"/>
  <c r="P377" i="4"/>
  <c r="O377" i="4"/>
  <c r="N377" i="4"/>
  <c r="M377" i="4"/>
  <c r="L377" i="4"/>
  <c r="K377" i="4"/>
  <c r="R376" i="4"/>
  <c r="Q376" i="4"/>
  <c r="P376" i="4"/>
  <c r="O376" i="4"/>
  <c r="N376" i="4"/>
  <c r="M376" i="4"/>
  <c r="L376" i="4"/>
  <c r="K376" i="4"/>
  <c r="R375" i="4"/>
  <c r="Q375" i="4"/>
  <c r="P375" i="4"/>
  <c r="O375" i="4"/>
  <c r="N375" i="4"/>
  <c r="M375" i="4"/>
  <c r="L375" i="4"/>
  <c r="K375" i="4"/>
  <c r="R374" i="4"/>
  <c r="Q374" i="4"/>
  <c r="P374" i="4"/>
  <c r="O374" i="4"/>
  <c r="N374" i="4"/>
  <c r="M374" i="4"/>
  <c r="L374" i="4"/>
  <c r="K374" i="4"/>
  <c r="R373" i="4"/>
  <c r="Q373" i="4"/>
  <c r="P373" i="4"/>
  <c r="O373" i="4"/>
  <c r="N373" i="4"/>
  <c r="M373" i="4"/>
  <c r="L373" i="4"/>
  <c r="K373" i="4"/>
  <c r="R372" i="4"/>
  <c r="Q372" i="4"/>
  <c r="P372" i="4"/>
  <c r="O372" i="4"/>
  <c r="N372" i="4"/>
  <c r="M372" i="4"/>
  <c r="L372" i="4"/>
  <c r="K372" i="4"/>
  <c r="R371" i="4"/>
  <c r="Q371" i="4"/>
  <c r="P371" i="4"/>
  <c r="O371" i="4"/>
  <c r="N371" i="4"/>
  <c r="M371" i="4"/>
  <c r="L371" i="4"/>
  <c r="K371" i="4"/>
  <c r="R370" i="4"/>
  <c r="Q370" i="4"/>
  <c r="P370" i="4"/>
  <c r="O370" i="4"/>
  <c r="N370" i="4"/>
  <c r="M370" i="4"/>
  <c r="L370" i="4"/>
  <c r="K370" i="4"/>
  <c r="R369" i="4"/>
  <c r="Q369" i="4"/>
  <c r="P369" i="4"/>
  <c r="O369" i="4"/>
  <c r="N369" i="4"/>
  <c r="M369" i="4"/>
  <c r="L369" i="4"/>
  <c r="K369" i="4"/>
  <c r="R368" i="4"/>
  <c r="Q368" i="4"/>
  <c r="P368" i="4"/>
  <c r="O368" i="4"/>
  <c r="N368" i="4"/>
  <c r="M368" i="4"/>
  <c r="L368" i="4"/>
  <c r="K368" i="4"/>
  <c r="R367" i="4"/>
  <c r="Q367" i="4"/>
  <c r="P367" i="4"/>
  <c r="O367" i="4"/>
  <c r="N367" i="4"/>
  <c r="M367" i="4"/>
  <c r="L367" i="4"/>
  <c r="K367" i="4"/>
  <c r="R366" i="4"/>
  <c r="Q366" i="4"/>
  <c r="P366" i="4"/>
  <c r="O366" i="4"/>
  <c r="N366" i="4"/>
  <c r="M366" i="4"/>
  <c r="L366" i="4"/>
  <c r="K366" i="4"/>
  <c r="R365" i="4"/>
  <c r="Q365" i="4"/>
  <c r="P365" i="4"/>
  <c r="O365" i="4"/>
  <c r="N365" i="4"/>
  <c r="M365" i="4"/>
  <c r="L365" i="4"/>
  <c r="K365" i="4"/>
  <c r="R364" i="4"/>
  <c r="Q364" i="4"/>
  <c r="P364" i="4"/>
  <c r="O364" i="4"/>
  <c r="N364" i="4"/>
  <c r="M364" i="4"/>
  <c r="L364" i="4"/>
  <c r="K364" i="4"/>
  <c r="R363" i="4"/>
  <c r="Q363" i="4"/>
  <c r="P363" i="4"/>
  <c r="O363" i="4"/>
  <c r="N363" i="4"/>
  <c r="M363" i="4"/>
  <c r="L363" i="4"/>
  <c r="K363" i="4"/>
  <c r="R362" i="4"/>
  <c r="Q362" i="4"/>
  <c r="P362" i="4"/>
  <c r="O362" i="4"/>
  <c r="N362" i="4"/>
  <c r="M362" i="4"/>
  <c r="L362" i="4"/>
  <c r="K362" i="4"/>
  <c r="R361" i="4"/>
  <c r="Q361" i="4"/>
  <c r="P361" i="4"/>
  <c r="O361" i="4"/>
  <c r="N361" i="4"/>
  <c r="M361" i="4"/>
  <c r="L361" i="4"/>
  <c r="K361" i="4"/>
  <c r="R360" i="4"/>
  <c r="Q360" i="4"/>
  <c r="P360" i="4"/>
  <c r="O360" i="4"/>
  <c r="N360" i="4"/>
  <c r="M360" i="4"/>
  <c r="L360" i="4"/>
  <c r="K360" i="4"/>
  <c r="R359" i="4"/>
  <c r="Q359" i="4"/>
  <c r="P359" i="4"/>
  <c r="O359" i="4"/>
  <c r="N359" i="4"/>
  <c r="M359" i="4"/>
  <c r="L359" i="4"/>
  <c r="K359" i="4"/>
  <c r="R358" i="4"/>
  <c r="Q358" i="4"/>
  <c r="P358" i="4"/>
  <c r="O358" i="4"/>
  <c r="N358" i="4"/>
  <c r="M358" i="4"/>
  <c r="L358" i="4"/>
  <c r="K358" i="4"/>
  <c r="R357" i="4"/>
  <c r="Q357" i="4"/>
  <c r="P357" i="4"/>
  <c r="O357" i="4"/>
  <c r="N357" i="4"/>
  <c r="M357" i="4"/>
  <c r="L357" i="4"/>
  <c r="K357" i="4"/>
  <c r="R356" i="4"/>
  <c r="Q356" i="4"/>
  <c r="P356" i="4"/>
  <c r="O356" i="4"/>
  <c r="N356" i="4"/>
  <c r="M356" i="4"/>
  <c r="L356" i="4"/>
  <c r="K356" i="4"/>
  <c r="R355" i="4"/>
  <c r="Q355" i="4"/>
  <c r="P355" i="4"/>
  <c r="O355" i="4"/>
  <c r="N355" i="4"/>
  <c r="M355" i="4"/>
  <c r="L355" i="4"/>
  <c r="K355" i="4"/>
  <c r="R354" i="4"/>
  <c r="Q354" i="4"/>
  <c r="P354" i="4"/>
  <c r="O354" i="4"/>
  <c r="N354" i="4"/>
  <c r="M354" i="4"/>
  <c r="L354" i="4"/>
  <c r="K354" i="4"/>
  <c r="R353" i="4"/>
  <c r="Q353" i="4"/>
  <c r="P353" i="4"/>
  <c r="O353" i="4"/>
  <c r="N353" i="4"/>
  <c r="M353" i="4"/>
  <c r="L353" i="4"/>
  <c r="K353" i="4"/>
  <c r="R352" i="4"/>
  <c r="Q352" i="4"/>
  <c r="P352" i="4"/>
  <c r="O352" i="4"/>
  <c r="N352" i="4"/>
  <c r="M352" i="4"/>
  <c r="L352" i="4"/>
  <c r="K352" i="4"/>
  <c r="R351" i="4"/>
  <c r="Q351" i="4"/>
  <c r="P351" i="4"/>
  <c r="O351" i="4"/>
  <c r="N351" i="4"/>
  <c r="M351" i="4"/>
  <c r="L351" i="4"/>
  <c r="K351" i="4"/>
  <c r="R350" i="4"/>
  <c r="Q350" i="4"/>
  <c r="P350" i="4"/>
  <c r="O350" i="4"/>
  <c r="N350" i="4"/>
  <c r="M350" i="4"/>
  <c r="L350" i="4"/>
  <c r="K350" i="4"/>
  <c r="R349" i="4"/>
  <c r="Q349" i="4"/>
  <c r="P349" i="4"/>
  <c r="O349" i="4"/>
  <c r="N349" i="4"/>
  <c r="M349" i="4"/>
  <c r="L349" i="4"/>
  <c r="K349" i="4"/>
  <c r="R348" i="4"/>
  <c r="Q348" i="4"/>
  <c r="P348" i="4"/>
  <c r="O348" i="4"/>
  <c r="N348" i="4"/>
  <c r="M348" i="4"/>
  <c r="L348" i="4"/>
  <c r="K348" i="4"/>
  <c r="R347" i="4"/>
  <c r="Q347" i="4"/>
  <c r="P347" i="4"/>
  <c r="O347" i="4"/>
  <c r="N347" i="4"/>
  <c r="M347" i="4"/>
  <c r="L347" i="4"/>
  <c r="K347" i="4"/>
  <c r="R346" i="4"/>
  <c r="Q346" i="4"/>
  <c r="P346" i="4"/>
  <c r="O346" i="4"/>
  <c r="N346" i="4"/>
  <c r="M346" i="4"/>
  <c r="L346" i="4"/>
  <c r="K346" i="4"/>
  <c r="R345" i="4"/>
  <c r="Q345" i="4"/>
  <c r="P345" i="4"/>
  <c r="O345" i="4"/>
  <c r="N345" i="4"/>
  <c r="M345" i="4"/>
  <c r="L345" i="4"/>
  <c r="K345" i="4"/>
  <c r="R344" i="4"/>
  <c r="Q344" i="4"/>
  <c r="P344" i="4"/>
  <c r="O344" i="4"/>
  <c r="N344" i="4"/>
  <c r="M344" i="4"/>
  <c r="L344" i="4"/>
  <c r="K344" i="4"/>
  <c r="R343" i="4"/>
  <c r="Q343" i="4"/>
  <c r="P343" i="4"/>
  <c r="O343" i="4"/>
  <c r="N343" i="4"/>
  <c r="M343" i="4"/>
  <c r="L343" i="4"/>
  <c r="K343" i="4"/>
  <c r="R342" i="4"/>
  <c r="Q342" i="4"/>
  <c r="P342" i="4"/>
  <c r="O342" i="4"/>
  <c r="N342" i="4"/>
  <c r="M342" i="4"/>
  <c r="L342" i="4"/>
  <c r="K342" i="4"/>
  <c r="R341" i="4"/>
  <c r="Q341" i="4"/>
  <c r="P341" i="4"/>
  <c r="O341" i="4"/>
  <c r="N341" i="4"/>
  <c r="M341" i="4"/>
  <c r="L341" i="4"/>
  <c r="K341" i="4"/>
  <c r="R340" i="4"/>
  <c r="Q340" i="4"/>
  <c r="P340" i="4"/>
  <c r="O340" i="4"/>
  <c r="N340" i="4"/>
  <c r="M340" i="4"/>
  <c r="L340" i="4"/>
  <c r="K340" i="4"/>
  <c r="R339" i="4"/>
  <c r="Q339" i="4"/>
  <c r="P339" i="4"/>
  <c r="O339" i="4"/>
  <c r="N339" i="4"/>
  <c r="M339" i="4"/>
  <c r="L339" i="4"/>
  <c r="K339" i="4"/>
  <c r="R338" i="4"/>
  <c r="Q338" i="4"/>
  <c r="P338" i="4"/>
  <c r="O338" i="4"/>
  <c r="N338" i="4"/>
  <c r="M338" i="4"/>
  <c r="L338" i="4"/>
  <c r="K338" i="4"/>
  <c r="R337" i="4"/>
  <c r="Q337" i="4"/>
  <c r="P337" i="4"/>
  <c r="O337" i="4"/>
  <c r="N337" i="4"/>
  <c r="M337" i="4"/>
  <c r="L337" i="4"/>
  <c r="K337" i="4"/>
  <c r="R336" i="4"/>
  <c r="Q336" i="4"/>
  <c r="P336" i="4"/>
  <c r="O336" i="4"/>
  <c r="N336" i="4"/>
  <c r="M336" i="4"/>
  <c r="L336" i="4"/>
  <c r="K336" i="4"/>
  <c r="R335" i="4"/>
  <c r="Q335" i="4"/>
  <c r="P335" i="4"/>
  <c r="O335" i="4"/>
  <c r="N335" i="4"/>
  <c r="M335" i="4"/>
  <c r="L335" i="4"/>
  <c r="K335" i="4"/>
  <c r="R334" i="4"/>
  <c r="Q334" i="4"/>
  <c r="P334" i="4"/>
  <c r="O334" i="4"/>
  <c r="N334" i="4"/>
  <c r="M334" i="4"/>
  <c r="L334" i="4"/>
  <c r="K334" i="4"/>
  <c r="R333" i="4"/>
  <c r="Q333" i="4"/>
  <c r="P333" i="4"/>
  <c r="O333" i="4"/>
  <c r="N333" i="4"/>
  <c r="M333" i="4"/>
  <c r="L333" i="4"/>
  <c r="K333" i="4"/>
  <c r="R332" i="4"/>
  <c r="Q332" i="4"/>
  <c r="P332" i="4"/>
  <c r="O332" i="4"/>
  <c r="N332" i="4"/>
  <c r="M332" i="4"/>
  <c r="L332" i="4"/>
  <c r="K332" i="4"/>
  <c r="R331" i="4"/>
  <c r="Q331" i="4"/>
  <c r="P331" i="4"/>
  <c r="O331" i="4"/>
  <c r="N331" i="4"/>
  <c r="M331" i="4"/>
  <c r="L331" i="4"/>
  <c r="K331" i="4"/>
  <c r="R330" i="4"/>
  <c r="Q330" i="4"/>
  <c r="P330" i="4"/>
  <c r="O330" i="4"/>
  <c r="N330" i="4"/>
  <c r="M330" i="4"/>
  <c r="L330" i="4"/>
  <c r="K330" i="4"/>
  <c r="R329" i="4"/>
  <c r="Q329" i="4"/>
  <c r="P329" i="4"/>
  <c r="O329" i="4"/>
  <c r="N329" i="4"/>
  <c r="M329" i="4"/>
  <c r="L329" i="4"/>
  <c r="K329" i="4"/>
  <c r="R328" i="4"/>
  <c r="Q328" i="4"/>
  <c r="P328" i="4"/>
  <c r="O328" i="4"/>
  <c r="N328" i="4"/>
  <c r="M328" i="4"/>
  <c r="L328" i="4"/>
  <c r="K328" i="4"/>
  <c r="R327" i="4"/>
  <c r="Q327" i="4"/>
  <c r="P327" i="4"/>
  <c r="O327" i="4"/>
  <c r="N327" i="4"/>
  <c r="M327" i="4"/>
  <c r="L327" i="4"/>
  <c r="K327" i="4"/>
  <c r="R326" i="4"/>
  <c r="Q326" i="4"/>
  <c r="P326" i="4"/>
  <c r="O326" i="4"/>
  <c r="N326" i="4"/>
  <c r="M326" i="4"/>
  <c r="L326" i="4"/>
  <c r="K326" i="4"/>
  <c r="R325" i="4"/>
  <c r="Q325" i="4"/>
  <c r="P325" i="4"/>
  <c r="O325" i="4"/>
  <c r="N325" i="4"/>
  <c r="M325" i="4"/>
  <c r="L325" i="4"/>
  <c r="K325" i="4"/>
  <c r="R324" i="4"/>
  <c r="Q324" i="4"/>
  <c r="P324" i="4"/>
  <c r="O324" i="4"/>
  <c r="N324" i="4"/>
  <c r="M324" i="4"/>
  <c r="L324" i="4"/>
  <c r="K324" i="4"/>
  <c r="R323" i="4"/>
  <c r="Q323" i="4"/>
  <c r="P323" i="4"/>
  <c r="O323" i="4"/>
  <c r="N323" i="4"/>
  <c r="M323" i="4"/>
  <c r="L323" i="4"/>
  <c r="K323" i="4"/>
  <c r="R322" i="4"/>
  <c r="Q322" i="4"/>
  <c r="P322" i="4"/>
  <c r="O322" i="4"/>
  <c r="N322" i="4"/>
  <c r="M322" i="4"/>
  <c r="L322" i="4"/>
  <c r="K322" i="4"/>
  <c r="R321" i="4"/>
  <c r="Q321" i="4"/>
  <c r="P321" i="4"/>
  <c r="O321" i="4"/>
  <c r="N321" i="4"/>
  <c r="M321" i="4"/>
  <c r="L321" i="4"/>
  <c r="K321" i="4"/>
  <c r="R320" i="4"/>
  <c r="Q320" i="4"/>
  <c r="P320" i="4"/>
  <c r="O320" i="4"/>
  <c r="N320" i="4"/>
  <c r="M320" i="4"/>
  <c r="L320" i="4"/>
  <c r="K320" i="4"/>
  <c r="R319" i="4"/>
  <c r="Q319" i="4"/>
  <c r="P319" i="4"/>
  <c r="O319" i="4"/>
  <c r="N319" i="4"/>
  <c r="M319" i="4"/>
  <c r="L319" i="4"/>
  <c r="K319" i="4"/>
  <c r="R318" i="4"/>
  <c r="Q318" i="4"/>
  <c r="P318" i="4"/>
  <c r="O318" i="4"/>
  <c r="N318" i="4"/>
  <c r="M318" i="4"/>
  <c r="L318" i="4"/>
  <c r="K318" i="4"/>
  <c r="R317" i="4"/>
  <c r="Q317" i="4"/>
  <c r="P317" i="4"/>
  <c r="O317" i="4"/>
  <c r="N317" i="4"/>
  <c r="M317" i="4"/>
  <c r="L317" i="4"/>
  <c r="K317" i="4"/>
  <c r="R316" i="4"/>
  <c r="Q316" i="4"/>
  <c r="P316" i="4"/>
  <c r="O316" i="4"/>
  <c r="N316" i="4"/>
  <c r="M316" i="4"/>
  <c r="L316" i="4"/>
  <c r="K316" i="4"/>
  <c r="R315" i="4"/>
  <c r="Q315" i="4"/>
  <c r="P315" i="4"/>
  <c r="O315" i="4"/>
  <c r="N315" i="4"/>
  <c r="M315" i="4"/>
  <c r="L315" i="4"/>
  <c r="K315" i="4"/>
  <c r="R314" i="4"/>
  <c r="Q314" i="4"/>
  <c r="P314" i="4"/>
  <c r="O314" i="4"/>
  <c r="N314" i="4"/>
  <c r="M314" i="4"/>
  <c r="L314" i="4"/>
  <c r="K314" i="4"/>
  <c r="R313" i="4"/>
  <c r="Q313" i="4"/>
  <c r="P313" i="4"/>
  <c r="O313" i="4"/>
  <c r="N313" i="4"/>
  <c r="M313" i="4"/>
  <c r="L313" i="4"/>
  <c r="K313" i="4"/>
  <c r="R312" i="4"/>
  <c r="Q312" i="4"/>
  <c r="P312" i="4"/>
  <c r="O312" i="4"/>
  <c r="N312" i="4"/>
  <c r="M312" i="4"/>
  <c r="L312" i="4"/>
  <c r="K312" i="4"/>
  <c r="R311" i="4"/>
  <c r="Q311" i="4"/>
  <c r="P311" i="4"/>
  <c r="O311" i="4"/>
  <c r="N311" i="4"/>
  <c r="M311" i="4"/>
  <c r="L311" i="4"/>
  <c r="K311" i="4"/>
  <c r="R310" i="4"/>
  <c r="Q310" i="4"/>
  <c r="P310" i="4"/>
  <c r="O310" i="4"/>
  <c r="N310" i="4"/>
  <c r="M310" i="4"/>
  <c r="L310" i="4"/>
  <c r="K310" i="4"/>
  <c r="R309" i="4"/>
  <c r="Q309" i="4"/>
  <c r="P309" i="4"/>
  <c r="O309" i="4"/>
  <c r="N309" i="4"/>
  <c r="M309" i="4"/>
  <c r="L309" i="4"/>
  <c r="K309" i="4"/>
  <c r="R308" i="4"/>
  <c r="Q308" i="4"/>
  <c r="P308" i="4"/>
  <c r="O308" i="4"/>
  <c r="N308" i="4"/>
  <c r="M308" i="4"/>
  <c r="L308" i="4"/>
  <c r="K308" i="4"/>
  <c r="R307" i="4"/>
  <c r="Q307" i="4"/>
  <c r="P307" i="4"/>
  <c r="O307" i="4"/>
  <c r="N307" i="4"/>
  <c r="M307" i="4"/>
  <c r="L307" i="4"/>
  <c r="K307" i="4"/>
  <c r="R306" i="4"/>
  <c r="Q306" i="4"/>
  <c r="P306" i="4"/>
  <c r="O306" i="4"/>
  <c r="N306" i="4"/>
  <c r="M306" i="4"/>
  <c r="L306" i="4"/>
  <c r="K306" i="4"/>
  <c r="R305" i="4"/>
  <c r="Q305" i="4"/>
  <c r="P305" i="4"/>
  <c r="O305" i="4"/>
  <c r="N305" i="4"/>
  <c r="M305" i="4"/>
  <c r="L305" i="4"/>
  <c r="K305" i="4"/>
  <c r="R304" i="4"/>
  <c r="Q304" i="4"/>
  <c r="P304" i="4"/>
  <c r="O304" i="4"/>
  <c r="N304" i="4"/>
  <c r="M304" i="4"/>
  <c r="L304" i="4"/>
  <c r="K304" i="4"/>
  <c r="R303" i="4"/>
  <c r="Q303" i="4"/>
  <c r="P303" i="4"/>
  <c r="O303" i="4"/>
  <c r="N303" i="4"/>
  <c r="M303" i="4"/>
  <c r="L303" i="4"/>
  <c r="K303" i="4"/>
  <c r="R302" i="4"/>
  <c r="Q302" i="4"/>
  <c r="P302" i="4"/>
  <c r="O302" i="4"/>
  <c r="N302" i="4"/>
  <c r="M302" i="4"/>
  <c r="L302" i="4"/>
  <c r="K302" i="4"/>
  <c r="R301" i="4"/>
  <c r="Q301" i="4"/>
  <c r="P301" i="4"/>
  <c r="O301" i="4"/>
  <c r="N301" i="4"/>
  <c r="M301" i="4"/>
  <c r="L301" i="4"/>
  <c r="K301" i="4"/>
  <c r="R300" i="4"/>
  <c r="Q300" i="4"/>
  <c r="P300" i="4"/>
  <c r="O300" i="4"/>
  <c r="N300" i="4"/>
  <c r="M300" i="4"/>
  <c r="L300" i="4"/>
  <c r="K300" i="4"/>
  <c r="R299" i="4"/>
  <c r="Q299" i="4"/>
  <c r="P299" i="4"/>
  <c r="O299" i="4"/>
  <c r="N299" i="4"/>
  <c r="M299" i="4"/>
  <c r="L299" i="4"/>
  <c r="K299" i="4"/>
  <c r="R298" i="4"/>
  <c r="Q298" i="4"/>
  <c r="P298" i="4"/>
  <c r="O298" i="4"/>
  <c r="N298" i="4"/>
  <c r="M298" i="4"/>
  <c r="L298" i="4"/>
  <c r="K298" i="4"/>
  <c r="R297" i="4"/>
  <c r="Q297" i="4"/>
  <c r="P297" i="4"/>
  <c r="O297" i="4"/>
  <c r="N297" i="4"/>
  <c r="M297" i="4"/>
  <c r="L297" i="4"/>
  <c r="K297" i="4"/>
  <c r="R296" i="4"/>
  <c r="Q296" i="4"/>
  <c r="P296" i="4"/>
  <c r="O296" i="4"/>
  <c r="N296" i="4"/>
  <c r="M296" i="4"/>
  <c r="L296" i="4"/>
  <c r="K296" i="4"/>
  <c r="R295" i="4"/>
  <c r="Q295" i="4"/>
  <c r="P295" i="4"/>
  <c r="O295" i="4"/>
  <c r="N295" i="4"/>
  <c r="M295" i="4"/>
  <c r="L295" i="4"/>
  <c r="K295" i="4"/>
  <c r="R294" i="4"/>
  <c r="Q294" i="4"/>
  <c r="P294" i="4"/>
  <c r="O294" i="4"/>
  <c r="N294" i="4"/>
  <c r="M294" i="4"/>
  <c r="L294" i="4"/>
  <c r="K294" i="4"/>
  <c r="R293" i="4"/>
  <c r="Q293" i="4"/>
  <c r="P293" i="4"/>
  <c r="O293" i="4"/>
  <c r="N293" i="4"/>
  <c r="M293" i="4"/>
  <c r="L293" i="4"/>
  <c r="K293" i="4"/>
  <c r="R292" i="4"/>
  <c r="Q292" i="4"/>
  <c r="P292" i="4"/>
  <c r="O292" i="4"/>
  <c r="N292" i="4"/>
  <c r="M292" i="4"/>
  <c r="L292" i="4"/>
  <c r="K292" i="4"/>
  <c r="R291" i="4"/>
  <c r="Q291" i="4"/>
  <c r="P291" i="4"/>
  <c r="O291" i="4"/>
  <c r="N291" i="4"/>
  <c r="M291" i="4"/>
  <c r="L291" i="4"/>
  <c r="K291" i="4"/>
  <c r="R290" i="4"/>
  <c r="Q290" i="4"/>
  <c r="P290" i="4"/>
  <c r="O290" i="4"/>
  <c r="N290" i="4"/>
  <c r="M290" i="4"/>
  <c r="L290" i="4"/>
  <c r="K290" i="4"/>
  <c r="R289" i="4"/>
  <c r="Q289" i="4"/>
  <c r="P289" i="4"/>
  <c r="O289" i="4"/>
  <c r="N289" i="4"/>
  <c r="M289" i="4"/>
  <c r="L289" i="4"/>
  <c r="K289" i="4"/>
  <c r="R288" i="4"/>
  <c r="Q288" i="4"/>
  <c r="P288" i="4"/>
  <c r="O288" i="4"/>
  <c r="N288" i="4"/>
  <c r="M288" i="4"/>
  <c r="L288" i="4"/>
  <c r="K288" i="4"/>
  <c r="R287" i="4"/>
  <c r="Q287" i="4"/>
  <c r="P287" i="4"/>
  <c r="O287" i="4"/>
  <c r="N287" i="4"/>
  <c r="M287" i="4"/>
  <c r="L287" i="4"/>
  <c r="K287" i="4"/>
  <c r="R286" i="4"/>
  <c r="Q286" i="4"/>
  <c r="P286" i="4"/>
  <c r="O286" i="4"/>
  <c r="N286" i="4"/>
  <c r="M286" i="4"/>
  <c r="L286" i="4"/>
  <c r="K286" i="4"/>
  <c r="R285" i="4"/>
  <c r="Q285" i="4"/>
  <c r="P285" i="4"/>
  <c r="O285" i="4"/>
  <c r="N285" i="4"/>
  <c r="M285" i="4"/>
  <c r="L285" i="4"/>
  <c r="K285" i="4"/>
  <c r="R284" i="4"/>
  <c r="Q284" i="4"/>
  <c r="P284" i="4"/>
  <c r="O284" i="4"/>
  <c r="N284" i="4"/>
  <c r="M284" i="4"/>
  <c r="L284" i="4"/>
  <c r="K284" i="4"/>
  <c r="R283" i="4"/>
  <c r="Q283" i="4"/>
  <c r="P283" i="4"/>
  <c r="O283" i="4"/>
  <c r="N283" i="4"/>
  <c r="M283" i="4"/>
  <c r="L283" i="4"/>
  <c r="K283" i="4"/>
  <c r="R282" i="4"/>
  <c r="Q282" i="4"/>
  <c r="P282" i="4"/>
  <c r="O282" i="4"/>
  <c r="N282" i="4"/>
  <c r="M282" i="4"/>
  <c r="L282" i="4"/>
  <c r="K282" i="4"/>
  <c r="R281" i="4"/>
  <c r="Q281" i="4"/>
  <c r="P281" i="4"/>
  <c r="O281" i="4"/>
  <c r="N281" i="4"/>
  <c r="M281" i="4"/>
  <c r="L281" i="4"/>
  <c r="K281" i="4"/>
  <c r="R280" i="4"/>
  <c r="Q280" i="4"/>
  <c r="P280" i="4"/>
  <c r="O280" i="4"/>
  <c r="N280" i="4"/>
  <c r="M280" i="4"/>
  <c r="L280" i="4"/>
  <c r="K280" i="4"/>
  <c r="R279" i="4"/>
  <c r="Q279" i="4"/>
  <c r="P279" i="4"/>
  <c r="O279" i="4"/>
  <c r="N279" i="4"/>
  <c r="M279" i="4"/>
  <c r="L279" i="4"/>
  <c r="K279" i="4"/>
  <c r="R278" i="4"/>
  <c r="Q278" i="4"/>
  <c r="P278" i="4"/>
  <c r="O278" i="4"/>
  <c r="N278" i="4"/>
  <c r="M278" i="4"/>
  <c r="L278" i="4"/>
  <c r="K278" i="4"/>
  <c r="R277" i="4"/>
  <c r="Q277" i="4"/>
  <c r="P277" i="4"/>
  <c r="O277" i="4"/>
  <c r="N277" i="4"/>
  <c r="M277" i="4"/>
  <c r="L277" i="4"/>
  <c r="K277" i="4"/>
  <c r="R276" i="4"/>
  <c r="Q276" i="4"/>
  <c r="P276" i="4"/>
  <c r="O276" i="4"/>
  <c r="N276" i="4"/>
  <c r="M276" i="4"/>
  <c r="L276" i="4"/>
  <c r="K276" i="4"/>
  <c r="R275" i="4"/>
  <c r="Q275" i="4"/>
  <c r="P275" i="4"/>
  <c r="O275" i="4"/>
  <c r="N275" i="4"/>
  <c r="M275" i="4"/>
  <c r="L275" i="4"/>
  <c r="K275" i="4"/>
  <c r="R274" i="4"/>
  <c r="Q274" i="4"/>
  <c r="P274" i="4"/>
  <c r="O274" i="4"/>
  <c r="N274" i="4"/>
  <c r="M274" i="4"/>
  <c r="L274" i="4"/>
  <c r="K274" i="4"/>
  <c r="R273" i="4"/>
  <c r="Q273" i="4"/>
  <c r="P273" i="4"/>
  <c r="O273" i="4"/>
  <c r="N273" i="4"/>
  <c r="M273" i="4"/>
  <c r="L273" i="4"/>
  <c r="K273" i="4"/>
  <c r="R272" i="4"/>
  <c r="Q272" i="4"/>
  <c r="P272" i="4"/>
  <c r="O272" i="4"/>
  <c r="N272" i="4"/>
  <c r="M272" i="4"/>
  <c r="L272" i="4"/>
  <c r="K272" i="4"/>
  <c r="R271" i="4"/>
  <c r="Q271" i="4"/>
  <c r="P271" i="4"/>
  <c r="O271" i="4"/>
  <c r="N271" i="4"/>
  <c r="M271" i="4"/>
  <c r="L271" i="4"/>
  <c r="K271" i="4"/>
  <c r="R270" i="4"/>
  <c r="Q270" i="4"/>
  <c r="P270" i="4"/>
  <c r="O270" i="4"/>
  <c r="N270" i="4"/>
  <c r="M270" i="4"/>
  <c r="L270" i="4"/>
  <c r="K270" i="4"/>
  <c r="R269" i="4"/>
  <c r="Q269" i="4"/>
  <c r="P269" i="4"/>
  <c r="O269" i="4"/>
  <c r="N269" i="4"/>
  <c r="M269" i="4"/>
  <c r="L269" i="4"/>
  <c r="K269" i="4"/>
  <c r="R268" i="4"/>
  <c r="Q268" i="4"/>
  <c r="P268" i="4"/>
  <c r="O268" i="4"/>
  <c r="N268" i="4"/>
  <c r="M268" i="4"/>
  <c r="L268" i="4"/>
  <c r="K268" i="4"/>
  <c r="R267" i="4"/>
  <c r="Q267" i="4"/>
  <c r="P267" i="4"/>
  <c r="O267" i="4"/>
  <c r="N267" i="4"/>
  <c r="M267" i="4"/>
  <c r="L267" i="4"/>
  <c r="K267" i="4"/>
  <c r="R266" i="4"/>
  <c r="Q266" i="4"/>
  <c r="P266" i="4"/>
  <c r="O266" i="4"/>
  <c r="N266" i="4"/>
  <c r="M266" i="4"/>
  <c r="L266" i="4"/>
  <c r="K266" i="4"/>
  <c r="R265" i="4"/>
  <c r="Q265" i="4"/>
  <c r="P265" i="4"/>
  <c r="O265" i="4"/>
  <c r="N265" i="4"/>
  <c r="M265" i="4"/>
  <c r="L265" i="4"/>
  <c r="K265" i="4"/>
  <c r="R264" i="4"/>
  <c r="Q264" i="4"/>
  <c r="P264" i="4"/>
  <c r="O264" i="4"/>
  <c r="N264" i="4"/>
  <c r="M264" i="4"/>
  <c r="L264" i="4"/>
  <c r="K264" i="4"/>
  <c r="R263" i="4"/>
  <c r="Q263" i="4"/>
  <c r="P263" i="4"/>
  <c r="O263" i="4"/>
  <c r="N263" i="4"/>
  <c r="M263" i="4"/>
  <c r="L263" i="4"/>
  <c r="K263" i="4"/>
  <c r="R262" i="4"/>
  <c r="Q262" i="4"/>
  <c r="P262" i="4"/>
  <c r="O262" i="4"/>
  <c r="N262" i="4"/>
  <c r="M262" i="4"/>
  <c r="L262" i="4"/>
  <c r="K262" i="4"/>
  <c r="R261" i="4"/>
  <c r="Q261" i="4"/>
  <c r="P261" i="4"/>
  <c r="O261" i="4"/>
  <c r="N261" i="4"/>
  <c r="M261" i="4"/>
  <c r="L261" i="4"/>
  <c r="K261" i="4"/>
  <c r="R260" i="4"/>
  <c r="Q260" i="4"/>
  <c r="P260" i="4"/>
  <c r="O260" i="4"/>
  <c r="N260" i="4"/>
  <c r="M260" i="4"/>
  <c r="L260" i="4"/>
  <c r="K260" i="4"/>
  <c r="R259" i="4"/>
  <c r="Q259" i="4"/>
  <c r="P259" i="4"/>
  <c r="O259" i="4"/>
  <c r="N259" i="4"/>
  <c r="M259" i="4"/>
  <c r="L259" i="4"/>
  <c r="K259" i="4"/>
  <c r="R258" i="4"/>
  <c r="Q258" i="4"/>
  <c r="P258" i="4"/>
  <c r="O258" i="4"/>
  <c r="N258" i="4"/>
  <c r="M258" i="4"/>
  <c r="L258" i="4"/>
  <c r="K258" i="4"/>
  <c r="R257" i="4"/>
  <c r="Q257" i="4"/>
  <c r="P257" i="4"/>
  <c r="O257" i="4"/>
  <c r="N257" i="4"/>
  <c r="M257" i="4"/>
  <c r="L257" i="4"/>
  <c r="K257" i="4"/>
  <c r="R256" i="4"/>
  <c r="Q256" i="4"/>
  <c r="P256" i="4"/>
  <c r="O256" i="4"/>
  <c r="N256" i="4"/>
  <c r="M256" i="4"/>
  <c r="L256" i="4"/>
  <c r="K256" i="4"/>
  <c r="R255" i="4"/>
  <c r="Q255" i="4"/>
  <c r="P255" i="4"/>
  <c r="O255" i="4"/>
  <c r="N255" i="4"/>
  <c r="M255" i="4"/>
  <c r="L255" i="4"/>
  <c r="K255" i="4"/>
  <c r="R254" i="4"/>
  <c r="Q254" i="4"/>
  <c r="P254" i="4"/>
  <c r="O254" i="4"/>
  <c r="N254" i="4"/>
  <c r="M254" i="4"/>
  <c r="L254" i="4"/>
  <c r="K254" i="4"/>
  <c r="R253" i="4"/>
  <c r="Q253" i="4"/>
  <c r="P253" i="4"/>
  <c r="O253" i="4"/>
  <c r="N253" i="4"/>
  <c r="M253" i="4"/>
  <c r="L253" i="4"/>
  <c r="K253" i="4"/>
  <c r="R252" i="4"/>
  <c r="Q252" i="4"/>
  <c r="P252" i="4"/>
  <c r="O252" i="4"/>
  <c r="N252" i="4"/>
  <c r="M252" i="4"/>
  <c r="L252" i="4"/>
  <c r="K252" i="4"/>
  <c r="R251" i="4"/>
  <c r="Q251" i="4"/>
  <c r="P251" i="4"/>
  <c r="O251" i="4"/>
  <c r="N251" i="4"/>
  <c r="M251" i="4"/>
  <c r="L251" i="4"/>
  <c r="K251" i="4"/>
  <c r="R250" i="4"/>
  <c r="Q250" i="4"/>
  <c r="P250" i="4"/>
  <c r="O250" i="4"/>
  <c r="N250" i="4"/>
  <c r="M250" i="4"/>
  <c r="L250" i="4"/>
  <c r="K250" i="4"/>
  <c r="R249" i="4"/>
  <c r="Q249" i="4"/>
  <c r="P249" i="4"/>
  <c r="O249" i="4"/>
  <c r="N249" i="4"/>
  <c r="M249" i="4"/>
  <c r="L249" i="4"/>
  <c r="K249" i="4"/>
  <c r="R248" i="4"/>
  <c r="Q248" i="4"/>
  <c r="P248" i="4"/>
  <c r="O248" i="4"/>
  <c r="N248" i="4"/>
  <c r="M248" i="4"/>
  <c r="L248" i="4"/>
  <c r="K248" i="4"/>
  <c r="R247" i="4"/>
  <c r="Q247" i="4"/>
  <c r="P247" i="4"/>
  <c r="O247" i="4"/>
  <c r="N247" i="4"/>
  <c r="M247" i="4"/>
  <c r="L247" i="4"/>
  <c r="K247" i="4"/>
  <c r="R246" i="4"/>
  <c r="Q246" i="4"/>
  <c r="P246" i="4"/>
  <c r="O246" i="4"/>
  <c r="N246" i="4"/>
  <c r="M246" i="4"/>
  <c r="L246" i="4"/>
  <c r="K246" i="4"/>
  <c r="R245" i="4"/>
  <c r="Q245" i="4"/>
  <c r="P245" i="4"/>
  <c r="O245" i="4"/>
  <c r="N245" i="4"/>
  <c r="M245" i="4"/>
  <c r="L245" i="4"/>
  <c r="K245" i="4"/>
  <c r="R244" i="4"/>
  <c r="Q244" i="4"/>
  <c r="P244" i="4"/>
  <c r="O244" i="4"/>
  <c r="N244" i="4"/>
  <c r="M244" i="4"/>
  <c r="L244" i="4"/>
  <c r="K244" i="4"/>
  <c r="R243" i="4"/>
  <c r="Q243" i="4"/>
  <c r="P243" i="4"/>
  <c r="O243" i="4"/>
  <c r="N243" i="4"/>
  <c r="M243" i="4"/>
  <c r="L243" i="4"/>
  <c r="K243" i="4"/>
  <c r="R242" i="4"/>
  <c r="Q242" i="4"/>
  <c r="P242" i="4"/>
  <c r="O242" i="4"/>
  <c r="N242" i="4"/>
  <c r="M242" i="4"/>
  <c r="L242" i="4"/>
  <c r="K242" i="4"/>
  <c r="R241" i="4"/>
  <c r="Q241" i="4"/>
  <c r="P241" i="4"/>
  <c r="O241" i="4"/>
  <c r="N241" i="4"/>
  <c r="M241" i="4"/>
  <c r="L241" i="4"/>
  <c r="K241" i="4"/>
  <c r="R240" i="4"/>
  <c r="Q240" i="4"/>
  <c r="P240" i="4"/>
  <c r="O240" i="4"/>
  <c r="N240" i="4"/>
  <c r="M240" i="4"/>
  <c r="L240" i="4"/>
  <c r="K240" i="4"/>
  <c r="R239" i="4"/>
  <c r="Q239" i="4"/>
  <c r="P239" i="4"/>
  <c r="O239" i="4"/>
  <c r="N239" i="4"/>
  <c r="M239" i="4"/>
  <c r="L239" i="4"/>
  <c r="K239" i="4"/>
  <c r="R238" i="4"/>
  <c r="Q238" i="4"/>
  <c r="P238" i="4"/>
  <c r="O238" i="4"/>
  <c r="N238" i="4"/>
  <c r="M238" i="4"/>
  <c r="L238" i="4"/>
  <c r="K238" i="4"/>
  <c r="R237" i="4"/>
  <c r="Q237" i="4"/>
  <c r="P237" i="4"/>
  <c r="O237" i="4"/>
  <c r="N237" i="4"/>
  <c r="M237" i="4"/>
  <c r="L237" i="4"/>
  <c r="K237" i="4"/>
  <c r="R236" i="4"/>
  <c r="Q236" i="4"/>
  <c r="P236" i="4"/>
  <c r="O236" i="4"/>
  <c r="N236" i="4"/>
  <c r="M236" i="4"/>
  <c r="L236" i="4"/>
  <c r="K236" i="4"/>
  <c r="R235" i="4"/>
  <c r="Q235" i="4"/>
  <c r="P235" i="4"/>
  <c r="O235" i="4"/>
  <c r="N235" i="4"/>
  <c r="M235" i="4"/>
  <c r="L235" i="4"/>
  <c r="K235" i="4"/>
  <c r="R234" i="4"/>
  <c r="Q234" i="4"/>
  <c r="P234" i="4"/>
  <c r="O234" i="4"/>
  <c r="N234" i="4"/>
  <c r="M234" i="4"/>
  <c r="L234" i="4"/>
  <c r="K234" i="4"/>
  <c r="R233" i="4"/>
  <c r="Q233" i="4"/>
  <c r="P233" i="4"/>
  <c r="O233" i="4"/>
  <c r="N233" i="4"/>
  <c r="M233" i="4"/>
  <c r="L233" i="4"/>
  <c r="K233" i="4"/>
  <c r="R232" i="4"/>
  <c r="Q232" i="4"/>
  <c r="P232" i="4"/>
  <c r="O232" i="4"/>
  <c r="N232" i="4"/>
  <c r="M232" i="4"/>
  <c r="L232" i="4"/>
  <c r="K232" i="4"/>
  <c r="R231" i="4"/>
  <c r="Q231" i="4"/>
  <c r="P231" i="4"/>
  <c r="O231" i="4"/>
  <c r="N231" i="4"/>
  <c r="M231" i="4"/>
  <c r="L231" i="4"/>
  <c r="K231" i="4"/>
  <c r="R230" i="4"/>
  <c r="Q230" i="4"/>
  <c r="P230" i="4"/>
  <c r="O230" i="4"/>
  <c r="N230" i="4"/>
  <c r="M230" i="4"/>
  <c r="L230" i="4"/>
  <c r="K230" i="4"/>
  <c r="R229" i="4"/>
  <c r="Q229" i="4"/>
  <c r="P229" i="4"/>
  <c r="O229" i="4"/>
  <c r="N229" i="4"/>
  <c r="M229" i="4"/>
  <c r="L229" i="4"/>
  <c r="K229" i="4"/>
  <c r="R228" i="4"/>
  <c r="Q228" i="4"/>
  <c r="P228" i="4"/>
  <c r="O228" i="4"/>
  <c r="N228" i="4"/>
  <c r="M228" i="4"/>
  <c r="L228" i="4"/>
  <c r="K228" i="4"/>
  <c r="R227" i="4"/>
  <c r="Q227" i="4"/>
  <c r="P227" i="4"/>
  <c r="O227" i="4"/>
  <c r="N227" i="4"/>
  <c r="M227" i="4"/>
  <c r="L227" i="4"/>
  <c r="K227" i="4"/>
  <c r="R226" i="4"/>
  <c r="Q226" i="4"/>
  <c r="P226" i="4"/>
  <c r="O226" i="4"/>
  <c r="N226" i="4"/>
  <c r="M226" i="4"/>
  <c r="L226" i="4"/>
  <c r="K226" i="4"/>
  <c r="R225" i="4"/>
  <c r="Q225" i="4"/>
  <c r="P225" i="4"/>
  <c r="O225" i="4"/>
  <c r="N225" i="4"/>
  <c r="M225" i="4"/>
  <c r="L225" i="4"/>
  <c r="K225" i="4"/>
  <c r="R224" i="4"/>
  <c r="Q224" i="4"/>
  <c r="P224" i="4"/>
  <c r="O224" i="4"/>
  <c r="N224" i="4"/>
  <c r="M224" i="4"/>
  <c r="L224" i="4"/>
  <c r="K224" i="4"/>
  <c r="R223" i="4"/>
  <c r="Q223" i="4"/>
  <c r="P223" i="4"/>
  <c r="O223" i="4"/>
  <c r="N223" i="4"/>
  <c r="M223" i="4"/>
  <c r="L223" i="4"/>
  <c r="K223" i="4"/>
  <c r="R222" i="4"/>
  <c r="Q222" i="4"/>
  <c r="P222" i="4"/>
  <c r="O222" i="4"/>
  <c r="N222" i="4"/>
  <c r="M222" i="4"/>
  <c r="L222" i="4"/>
  <c r="K222" i="4"/>
  <c r="R221" i="4"/>
  <c r="Q221" i="4"/>
  <c r="P221" i="4"/>
  <c r="O221" i="4"/>
  <c r="N221" i="4"/>
  <c r="M221" i="4"/>
  <c r="L221" i="4"/>
  <c r="K221" i="4"/>
  <c r="R220" i="4"/>
  <c r="Q220" i="4"/>
  <c r="P220" i="4"/>
  <c r="O220" i="4"/>
  <c r="N220" i="4"/>
  <c r="M220" i="4"/>
  <c r="L220" i="4"/>
  <c r="K220" i="4"/>
  <c r="R219" i="4"/>
  <c r="Q219" i="4"/>
  <c r="P219" i="4"/>
  <c r="O219" i="4"/>
  <c r="N219" i="4"/>
  <c r="M219" i="4"/>
  <c r="L219" i="4"/>
  <c r="K219" i="4"/>
  <c r="R218" i="4"/>
  <c r="Q218" i="4"/>
  <c r="P218" i="4"/>
  <c r="O218" i="4"/>
  <c r="N218" i="4"/>
  <c r="M218" i="4"/>
  <c r="L218" i="4"/>
  <c r="K218" i="4"/>
  <c r="R217" i="4"/>
  <c r="Q217" i="4"/>
  <c r="P217" i="4"/>
  <c r="O217" i="4"/>
  <c r="N217" i="4"/>
  <c r="M217" i="4"/>
  <c r="L217" i="4"/>
  <c r="K217" i="4"/>
  <c r="R216" i="4"/>
  <c r="Q216" i="4"/>
  <c r="P216" i="4"/>
  <c r="O216" i="4"/>
  <c r="N216" i="4"/>
  <c r="M216" i="4"/>
  <c r="L216" i="4"/>
  <c r="K216" i="4"/>
  <c r="R215" i="4"/>
  <c r="Q215" i="4"/>
  <c r="P215" i="4"/>
  <c r="O215" i="4"/>
  <c r="N215" i="4"/>
  <c r="M215" i="4"/>
  <c r="L215" i="4"/>
  <c r="K215" i="4"/>
  <c r="R214" i="4"/>
  <c r="Q214" i="4"/>
  <c r="P214" i="4"/>
  <c r="O214" i="4"/>
  <c r="N214" i="4"/>
  <c r="M214" i="4"/>
  <c r="L214" i="4"/>
  <c r="K214" i="4"/>
  <c r="R213" i="4"/>
  <c r="Q213" i="4"/>
  <c r="P213" i="4"/>
  <c r="O213" i="4"/>
  <c r="N213" i="4"/>
  <c r="M213" i="4"/>
  <c r="L213" i="4"/>
  <c r="K213" i="4"/>
  <c r="R212" i="4"/>
  <c r="Q212" i="4"/>
  <c r="P212" i="4"/>
  <c r="O212" i="4"/>
  <c r="N212" i="4"/>
  <c r="M212" i="4"/>
  <c r="L212" i="4"/>
  <c r="K212" i="4"/>
  <c r="R211" i="4"/>
  <c r="Q211" i="4"/>
  <c r="P211" i="4"/>
  <c r="O211" i="4"/>
  <c r="N211" i="4"/>
  <c r="M211" i="4"/>
  <c r="L211" i="4"/>
  <c r="K211" i="4"/>
  <c r="R210" i="4"/>
  <c r="Q210" i="4"/>
  <c r="P210" i="4"/>
  <c r="O210" i="4"/>
  <c r="N210" i="4"/>
  <c r="M210" i="4"/>
  <c r="L210" i="4"/>
  <c r="K210" i="4"/>
  <c r="R209" i="4"/>
  <c r="Q209" i="4"/>
  <c r="P209" i="4"/>
  <c r="O209" i="4"/>
  <c r="N209" i="4"/>
  <c r="M209" i="4"/>
  <c r="L209" i="4"/>
  <c r="K209" i="4"/>
  <c r="R208" i="4"/>
  <c r="Q208" i="4"/>
  <c r="P208" i="4"/>
  <c r="O208" i="4"/>
  <c r="N208" i="4"/>
  <c r="M208" i="4"/>
  <c r="L208" i="4"/>
  <c r="K208" i="4"/>
  <c r="R207" i="4"/>
  <c r="Q207" i="4"/>
  <c r="P207" i="4"/>
  <c r="O207" i="4"/>
  <c r="N207" i="4"/>
  <c r="M207" i="4"/>
  <c r="L207" i="4"/>
  <c r="K207" i="4"/>
  <c r="R206" i="4"/>
  <c r="Q206" i="4"/>
  <c r="P206" i="4"/>
  <c r="O206" i="4"/>
  <c r="N206" i="4"/>
  <c r="M206" i="4"/>
  <c r="L206" i="4"/>
  <c r="K206" i="4"/>
  <c r="R205" i="4"/>
  <c r="Q205" i="4"/>
  <c r="P205" i="4"/>
  <c r="O205" i="4"/>
  <c r="N205" i="4"/>
  <c r="M205" i="4"/>
  <c r="L205" i="4"/>
  <c r="K205" i="4"/>
  <c r="R204" i="4"/>
  <c r="Q204" i="4"/>
  <c r="P204" i="4"/>
  <c r="O204" i="4"/>
  <c r="N204" i="4"/>
  <c r="M204" i="4"/>
  <c r="L204" i="4"/>
  <c r="K204" i="4"/>
  <c r="R203" i="4"/>
  <c r="Q203" i="4"/>
  <c r="P203" i="4"/>
  <c r="O203" i="4"/>
  <c r="N203" i="4"/>
  <c r="M203" i="4"/>
  <c r="L203" i="4"/>
  <c r="K203" i="4"/>
  <c r="R202" i="4"/>
  <c r="Q202" i="4"/>
  <c r="P202" i="4"/>
  <c r="O202" i="4"/>
  <c r="N202" i="4"/>
  <c r="M202" i="4"/>
  <c r="L202" i="4"/>
  <c r="K202" i="4"/>
  <c r="R201" i="4"/>
  <c r="Q201" i="4"/>
  <c r="P201" i="4"/>
  <c r="O201" i="4"/>
  <c r="N201" i="4"/>
  <c r="M201" i="4"/>
  <c r="L201" i="4"/>
  <c r="K201" i="4"/>
  <c r="R200" i="4"/>
  <c r="Q200" i="4"/>
  <c r="P200" i="4"/>
  <c r="O200" i="4"/>
  <c r="N200" i="4"/>
  <c r="M200" i="4"/>
  <c r="L200" i="4"/>
  <c r="K200" i="4"/>
  <c r="R199" i="4"/>
  <c r="Q199" i="4"/>
  <c r="P199" i="4"/>
  <c r="O199" i="4"/>
  <c r="N199" i="4"/>
  <c r="M199" i="4"/>
  <c r="L199" i="4"/>
  <c r="K199" i="4"/>
  <c r="R198" i="4"/>
  <c r="Q198" i="4"/>
  <c r="P198" i="4"/>
  <c r="O198" i="4"/>
  <c r="N198" i="4"/>
  <c r="M198" i="4"/>
  <c r="L198" i="4"/>
  <c r="K198" i="4"/>
  <c r="R197" i="4"/>
  <c r="Q197" i="4"/>
  <c r="P197" i="4"/>
  <c r="O197" i="4"/>
  <c r="N197" i="4"/>
  <c r="M197" i="4"/>
  <c r="L197" i="4"/>
  <c r="K197" i="4"/>
  <c r="R196" i="4"/>
  <c r="Q196" i="4"/>
  <c r="P196" i="4"/>
  <c r="O196" i="4"/>
  <c r="N196" i="4"/>
  <c r="M196" i="4"/>
  <c r="L196" i="4"/>
  <c r="K196" i="4"/>
  <c r="R195" i="4"/>
  <c r="Q195" i="4"/>
  <c r="P195" i="4"/>
  <c r="O195" i="4"/>
  <c r="N195" i="4"/>
  <c r="M195" i="4"/>
  <c r="L195" i="4"/>
  <c r="K195" i="4"/>
  <c r="R194" i="4"/>
  <c r="Q194" i="4"/>
  <c r="P194" i="4"/>
  <c r="O194" i="4"/>
  <c r="N194" i="4"/>
  <c r="M194" i="4"/>
  <c r="L194" i="4"/>
  <c r="K194" i="4"/>
  <c r="R193" i="4"/>
  <c r="Q193" i="4"/>
  <c r="P193" i="4"/>
  <c r="O193" i="4"/>
  <c r="N193" i="4"/>
  <c r="M193" i="4"/>
  <c r="L193" i="4"/>
  <c r="K193" i="4"/>
  <c r="R192" i="4"/>
  <c r="Q192" i="4"/>
  <c r="P192" i="4"/>
  <c r="O192" i="4"/>
  <c r="N192" i="4"/>
  <c r="M192" i="4"/>
  <c r="L192" i="4"/>
  <c r="K192" i="4"/>
  <c r="R191" i="4"/>
  <c r="Q191" i="4"/>
  <c r="P191" i="4"/>
  <c r="O191" i="4"/>
  <c r="N191" i="4"/>
  <c r="M191" i="4"/>
  <c r="L191" i="4"/>
  <c r="K191" i="4"/>
  <c r="R190" i="4"/>
  <c r="Q190" i="4"/>
  <c r="P190" i="4"/>
  <c r="O190" i="4"/>
  <c r="N190" i="4"/>
  <c r="M190" i="4"/>
  <c r="L190" i="4"/>
  <c r="K190" i="4"/>
  <c r="R189" i="4"/>
  <c r="Q189" i="4"/>
  <c r="P189" i="4"/>
  <c r="O189" i="4"/>
  <c r="N189" i="4"/>
  <c r="M189" i="4"/>
  <c r="L189" i="4"/>
  <c r="K189" i="4"/>
  <c r="R188" i="4"/>
  <c r="Q188" i="4"/>
  <c r="P188" i="4"/>
  <c r="O188" i="4"/>
  <c r="N188" i="4"/>
  <c r="M188" i="4"/>
  <c r="L188" i="4"/>
  <c r="K188" i="4"/>
  <c r="R187" i="4"/>
  <c r="Q187" i="4"/>
  <c r="P187" i="4"/>
  <c r="O187" i="4"/>
  <c r="N187" i="4"/>
  <c r="M187" i="4"/>
  <c r="L187" i="4"/>
  <c r="K187" i="4"/>
  <c r="R186" i="4"/>
  <c r="Q186" i="4"/>
  <c r="P186" i="4"/>
  <c r="O186" i="4"/>
  <c r="N186" i="4"/>
  <c r="M186" i="4"/>
  <c r="L186" i="4"/>
  <c r="K186" i="4"/>
  <c r="R185" i="4"/>
  <c r="Q185" i="4"/>
  <c r="P185" i="4"/>
  <c r="O185" i="4"/>
  <c r="N185" i="4"/>
  <c r="M185" i="4"/>
  <c r="L185" i="4"/>
  <c r="K185" i="4"/>
  <c r="R184" i="4"/>
  <c r="Q184" i="4"/>
  <c r="P184" i="4"/>
  <c r="O184" i="4"/>
  <c r="N184" i="4"/>
  <c r="M184" i="4"/>
  <c r="L184" i="4"/>
  <c r="K184" i="4"/>
  <c r="R183" i="4"/>
  <c r="Q183" i="4"/>
  <c r="P183" i="4"/>
  <c r="O183" i="4"/>
  <c r="N183" i="4"/>
  <c r="M183" i="4"/>
  <c r="L183" i="4"/>
  <c r="K183" i="4"/>
  <c r="R182" i="4"/>
  <c r="Q182" i="4"/>
  <c r="P182" i="4"/>
  <c r="O182" i="4"/>
  <c r="N182" i="4"/>
  <c r="M182" i="4"/>
  <c r="L182" i="4"/>
  <c r="K182" i="4"/>
  <c r="R181" i="4"/>
  <c r="Q181" i="4"/>
  <c r="P181" i="4"/>
  <c r="O181" i="4"/>
  <c r="N181" i="4"/>
  <c r="M181" i="4"/>
  <c r="L181" i="4"/>
  <c r="K181" i="4"/>
  <c r="R180" i="4"/>
  <c r="Q180" i="4"/>
  <c r="P180" i="4"/>
  <c r="O180" i="4"/>
  <c r="N180" i="4"/>
  <c r="M180" i="4"/>
  <c r="L180" i="4"/>
  <c r="K180" i="4"/>
  <c r="R179" i="4"/>
  <c r="Q179" i="4"/>
  <c r="P179" i="4"/>
  <c r="O179" i="4"/>
  <c r="N179" i="4"/>
  <c r="M179" i="4"/>
  <c r="L179" i="4"/>
  <c r="K179" i="4"/>
  <c r="R178" i="4"/>
  <c r="Q178" i="4"/>
  <c r="P178" i="4"/>
  <c r="O178" i="4"/>
  <c r="N178" i="4"/>
  <c r="M178" i="4"/>
  <c r="L178" i="4"/>
  <c r="K178" i="4"/>
  <c r="R177" i="4"/>
  <c r="Q177" i="4"/>
  <c r="P177" i="4"/>
  <c r="O177" i="4"/>
  <c r="N177" i="4"/>
  <c r="M177" i="4"/>
  <c r="L177" i="4"/>
  <c r="K177" i="4"/>
  <c r="R176" i="4"/>
  <c r="Q176" i="4"/>
  <c r="P176" i="4"/>
  <c r="O176" i="4"/>
  <c r="N176" i="4"/>
  <c r="M176" i="4"/>
  <c r="L176" i="4"/>
  <c r="K176" i="4"/>
  <c r="R175" i="4"/>
  <c r="Q175" i="4"/>
  <c r="P175" i="4"/>
  <c r="O175" i="4"/>
  <c r="N175" i="4"/>
  <c r="M175" i="4"/>
  <c r="L175" i="4"/>
  <c r="K175" i="4"/>
  <c r="R174" i="4"/>
  <c r="Q174" i="4"/>
  <c r="P174" i="4"/>
  <c r="O174" i="4"/>
  <c r="N174" i="4"/>
  <c r="M174" i="4"/>
  <c r="L174" i="4"/>
  <c r="K174" i="4"/>
  <c r="R173" i="4"/>
  <c r="Q173" i="4"/>
  <c r="P173" i="4"/>
  <c r="O173" i="4"/>
  <c r="N173" i="4"/>
  <c r="M173" i="4"/>
  <c r="L173" i="4"/>
  <c r="K173" i="4"/>
  <c r="R172" i="4"/>
  <c r="Q172" i="4"/>
  <c r="P172" i="4"/>
  <c r="O172" i="4"/>
  <c r="N172" i="4"/>
  <c r="M172" i="4"/>
  <c r="L172" i="4"/>
  <c r="K172" i="4"/>
  <c r="R171" i="4"/>
  <c r="Q171" i="4"/>
  <c r="P171" i="4"/>
  <c r="O171" i="4"/>
  <c r="N171" i="4"/>
  <c r="M171" i="4"/>
  <c r="L171" i="4"/>
  <c r="K171" i="4"/>
  <c r="R170" i="4"/>
  <c r="Q170" i="4"/>
  <c r="P170" i="4"/>
  <c r="O170" i="4"/>
  <c r="N170" i="4"/>
  <c r="M170" i="4"/>
  <c r="L170" i="4"/>
  <c r="K170" i="4"/>
  <c r="R169" i="4"/>
  <c r="Q169" i="4"/>
  <c r="P169" i="4"/>
  <c r="O169" i="4"/>
  <c r="N169" i="4"/>
  <c r="M169" i="4"/>
  <c r="L169" i="4"/>
  <c r="K169" i="4"/>
  <c r="R168" i="4"/>
  <c r="Q168" i="4"/>
  <c r="P168" i="4"/>
  <c r="O168" i="4"/>
  <c r="N168" i="4"/>
  <c r="M168" i="4"/>
  <c r="L168" i="4"/>
  <c r="K168" i="4"/>
  <c r="R167" i="4"/>
  <c r="Q167" i="4"/>
  <c r="P167" i="4"/>
  <c r="O167" i="4"/>
  <c r="N167" i="4"/>
  <c r="M167" i="4"/>
  <c r="L167" i="4"/>
  <c r="K167" i="4"/>
  <c r="R166" i="4"/>
  <c r="Q166" i="4"/>
  <c r="P166" i="4"/>
  <c r="O166" i="4"/>
  <c r="N166" i="4"/>
  <c r="M166" i="4"/>
  <c r="L166" i="4"/>
  <c r="K166" i="4"/>
  <c r="R165" i="4"/>
  <c r="Q165" i="4"/>
  <c r="P165" i="4"/>
  <c r="O165" i="4"/>
  <c r="N165" i="4"/>
  <c r="M165" i="4"/>
  <c r="L165" i="4"/>
  <c r="K165" i="4"/>
  <c r="R164" i="4"/>
  <c r="Q164" i="4"/>
  <c r="P164" i="4"/>
  <c r="O164" i="4"/>
  <c r="N164" i="4"/>
  <c r="M164" i="4"/>
  <c r="L164" i="4"/>
  <c r="K164" i="4"/>
  <c r="R163" i="4"/>
  <c r="Q163" i="4"/>
  <c r="P163" i="4"/>
  <c r="O163" i="4"/>
  <c r="N163" i="4"/>
  <c r="M163" i="4"/>
  <c r="L163" i="4"/>
  <c r="K163" i="4"/>
  <c r="R162" i="4"/>
  <c r="Q162" i="4"/>
  <c r="P162" i="4"/>
  <c r="O162" i="4"/>
  <c r="N162" i="4"/>
  <c r="M162" i="4"/>
  <c r="L162" i="4"/>
  <c r="K162" i="4"/>
  <c r="R161" i="4"/>
  <c r="Q161" i="4"/>
  <c r="P161" i="4"/>
  <c r="O161" i="4"/>
  <c r="N161" i="4"/>
  <c r="M161" i="4"/>
  <c r="L161" i="4"/>
  <c r="K161" i="4"/>
  <c r="R160" i="4"/>
  <c r="Q160" i="4"/>
  <c r="P160" i="4"/>
  <c r="O160" i="4"/>
  <c r="N160" i="4"/>
  <c r="M160" i="4"/>
  <c r="L160" i="4"/>
  <c r="K160" i="4"/>
  <c r="R159" i="4"/>
  <c r="Q159" i="4"/>
  <c r="P159" i="4"/>
  <c r="O159" i="4"/>
  <c r="N159" i="4"/>
  <c r="M159" i="4"/>
  <c r="L159" i="4"/>
  <c r="K159" i="4"/>
  <c r="R158" i="4"/>
  <c r="Q158" i="4"/>
  <c r="P158" i="4"/>
  <c r="O158" i="4"/>
  <c r="N158" i="4"/>
  <c r="M158" i="4"/>
  <c r="L158" i="4"/>
  <c r="K158" i="4"/>
  <c r="R157" i="4"/>
  <c r="Q157" i="4"/>
  <c r="P157" i="4"/>
  <c r="O157" i="4"/>
  <c r="N157" i="4"/>
  <c r="M157" i="4"/>
  <c r="L157" i="4"/>
  <c r="K157" i="4"/>
  <c r="R156" i="4"/>
  <c r="Q156" i="4"/>
  <c r="P156" i="4"/>
  <c r="O156" i="4"/>
  <c r="N156" i="4"/>
  <c r="M156" i="4"/>
  <c r="L156" i="4"/>
  <c r="K156" i="4"/>
  <c r="R155" i="4"/>
  <c r="Q155" i="4"/>
  <c r="P155" i="4"/>
  <c r="O155" i="4"/>
  <c r="N155" i="4"/>
  <c r="M155" i="4"/>
  <c r="L155" i="4"/>
  <c r="K155" i="4"/>
  <c r="R154" i="4"/>
  <c r="Q154" i="4"/>
  <c r="P154" i="4"/>
  <c r="O154" i="4"/>
  <c r="N154" i="4"/>
  <c r="M154" i="4"/>
  <c r="L154" i="4"/>
  <c r="K154" i="4"/>
  <c r="R153" i="4"/>
  <c r="Q153" i="4"/>
  <c r="P153" i="4"/>
  <c r="O153" i="4"/>
  <c r="N153" i="4"/>
  <c r="M153" i="4"/>
  <c r="L153" i="4"/>
  <c r="K153" i="4"/>
  <c r="R152" i="4"/>
  <c r="Q152" i="4"/>
  <c r="P152" i="4"/>
  <c r="O152" i="4"/>
  <c r="N152" i="4"/>
  <c r="M152" i="4"/>
  <c r="L152" i="4"/>
  <c r="K152" i="4"/>
  <c r="R151" i="4"/>
  <c r="Q151" i="4"/>
  <c r="P151" i="4"/>
  <c r="O151" i="4"/>
  <c r="N151" i="4"/>
  <c r="M151" i="4"/>
  <c r="L151" i="4"/>
  <c r="K151" i="4"/>
  <c r="R150" i="4"/>
  <c r="Q150" i="4"/>
  <c r="P150" i="4"/>
  <c r="O150" i="4"/>
  <c r="N150" i="4"/>
  <c r="M150" i="4"/>
  <c r="L150" i="4"/>
  <c r="K150" i="4"/>
  <c r="R149" i="4"/>
  <c r="Q149" i="4"/>
  <c r="P149" i="4"/>
  <c r="O149" i="4"/>
  <c r="N149" i="4"/>
  <c r="M149" i="4"/>
  <c r="L149" i="4"/>
  <c r="K149" i="4"/>
  <c r="R148" i="4"/>
  <c r="Q148" i="4"/>
  <c r="P148" i="4"/>
  <c r="O148" i="4"/>
  <c r="N148" i="4"/>
  <c r="M148" i="4"/>
  <c r="L148" i="4"/>
  <c r="K148" i="4"/>
  <c r="R147" i="4"/>
  <c r="Q147" i="4"/>
  <c r="P147" i="4"/>
  <c r="O147" i="4"/>
  <c r="N147" i="4"/>
  <c r="M147" i="4"/>
  <c r="L147" i="4"/>
  <c r="K147" i="4"/>
  <c r="R146" i="4"/>
  <c r="Q146" i="4"/>
  <c r="P146" i="4"/>
  <c r="O146" i="4"/>
  <c r="N146" i="4"/>
  <c r="M146" i="4"/>
  <c r="L146" i="4"/>
  <c r="K146" i="4"/>
  <c r="R145" i="4"/>
  <c r="Q145" i="4"/>
  <c r="P145" i="4"/>
  <c r="O145" i="4"/>
  <c r="N145" i="4"/>
  <c r="M145" i="4"/>
  <c r="L145" i="4"/>
  <c r="K145" i="4"/>
  <c r="R144" i="4"/>
  <c r="Q144" i="4"/>
  <c r="P144" i="4"/>
  <c r="O144" i="4"/>
  <c r="N144" i="4"/>
  <c r="M144" i="4"/>
  <c r="L144" i="4"/>
  <c r="K144" i="4"/>
  <c r="R143" i="4"/>
  <c r="Q143" i="4"/>
  <c r="P143" i="4"/>
  <c r="O143" i="4"/>
  <c r="N143" i="4"/>
  <c r="M143" i="4"/>
  <c r="L143" i="4"/>
  <c r="K143" i="4"/>
  <c r="R142" i="4"/>
  <c r="Q142" i="4"/>
  <c r="P142" i="4"/>
  <c r="O142" i="4"/>
  <c r="N142" i="4"/>
  <c r="M142" i="4"/>
  <c r="L142" i="4"/>
  <c r="K142" i="4"/>
  <c r="R141" i="4"/>
  <c r="Q141" i="4"/>
  <c r="P141" i="4"/>
  <c r="O141" i="4"/>
  <c r="N141" i="4"/>
  <c r="M141" i="4"/>
  <c r="L141" i="4"/>
  <c r="K141" i="4"/>
  <c r="R140" i="4"/>
  <c r="Q140" i="4"/>
  <c r="P140" i="4"/>
  <c r="O140" i="4"/>
  <c r="N140" i="4"/>
  <c r="M140" i="4"/>
  <c r="L140" i="4"/>
  <c r="K140" i="4"/>
  <c r="R139" i="4"/>
  <c r="Q139" i="4"/>
  <c r="P139" i="4"/>
  <c r="O139" i="4"/>
  <c r="N139" i="4"/>
  <c r="M139" i="4"/>
  <c r="L139" i="4"/>
  <c r="K139" i="4"/>
  <c r="R138" i="4"/>
  <c r="Q138" i="4"/>
  <c r="P138" i="4"/>
  <c r="O138" i="4"/>
  <c r="N138" i="4"/>
  <c r="M138" i="4"/>
  <c r="L138" i="4"/>
  <c r="K138" i="4"/>
  <c r="R137" i="4"/>
  <c r="Q137" i="4"/>
  <c r="P137" i="4"/>
  <c r="O137" i="4"/>
  <c r="N137" i="4"/>
  <c r="M137" i="4"/>
  <c r="L137" i="4"/>
  <c r="K137" i="4"/>
  <c r="R136" i="4"/>
  <c r="Q136" i="4"/>
  <c r="P136" i="4"/>
  <c r="O136" i="4"/>
  <c r="N136" i="4"/>
  <c r="M136" i="4"/>
  <c r="L136" i="4"/>
  <c r="K136" i="4"/>
  <c r="R135" i="4"/>
  <c r="Q135" i="4"/>
  <c r="P135" i="4"/>
  <c r="O135" i="4"/>
  <c r="N135" i="4"/>
  <c r="M135" i="4"/>
  <c r="L135" i="4"/>
  <c r="K135" i="4"/>
  <c r="R134" i="4"/>
  <c r="Q134" i="4"/>
  <c r="P134" i="4"/>
  <c r="O134" i="4"/>
  <c r="N134" i="4"/>
  <c r="M134" i="4"/>
  <c r="L134" i="4"/>
  <c r="K134" i="4"/>
  <c r="R133" i="4"/>
  <c r="Q133" i="4"/>
  <c r="P133" i="4"/>
  <c r="O133" i="4"/>
  <c r="N133" i="4"/>
  <c r="M133" i="4"/>
  <c r="L133" i="4"/>
  <c r="K133" i="4"/>
  <c r="R132" i="4"/>
  <c r="Q132" i="4"/>
  <c r="P132" i="4"/>
  <c r="O132" i="4"/>
  <c r="N132" i="4"/>
  <c r="M132" i="4"/>
  <c r="L132" i="4"/>
  <c r="K132" i="4"/>
  <c r="R131" i="4"/>
  <c r="Q131" i="4"/>
  <c r="P131" i="4"/>
  <c r="O131" i="4"/>
  <c r="N131" i="4"/>
  <c r="M131" i="4"/>
  <c r="L131" i="4"/>
  <c r="K131" i="4"/>
  <c r="R130" i="4"/>
  <c r="Q130" i="4"/>
  <c r="P130" i="4"/>
  <c r="O130" i="4"/>
  <c r="N130" i="4"/>
  <c r="M130" i="4"/>
  <c r="L130" i="4"/>
  <c r="K130" i="4"/>
  <c r="R129" i="4"/>
  <c r="Q129" i="4"/>
  <c r="P129" i="4"/>
  <c r="O129" i="4"/>
  <c r="N129" i="4"/>
  <c r="M129" i="4"/>
  <c r="L129" i="4"/>
  <c r="K129" i="4"/>
  <c r="R128" i="4"/>
  <c r="Q128" i="4"/>
  <c r="P128" i="4"/>
  <c r="O128" i="4"/>
  <c r="N128" i="4"/>
  <c r="M128" i="4"/>
  <c r="L128" i="4"/>
  <c r="K128" i="4"/>
  <c r="R127" i="4"/>
  <c r="Q127" i="4"/>
  <c r="P127" i="4"/>
  <c r="O127" i="4"/>
  <c r="N127" i="4"/>
  <c r="M127" i="4"/>
  <c r="L127" i="4"/>
  <c r="K127" i="4"/>
  <c r="R126" i="4"/>
  <c r="Q126" i="4"/>
  <c r="P126" i="4"/>
  <c r="O126" i="4"/>
  <c r="N126" i="4"/>
  <c r="M126" i="4"/>
  <c r="L126" i="4"/>
  <c r="K126" i="4"/>
  <c r="R125" i="4"/>
  <c r="Q125" i="4"/>
  <c r="P125" i="4"/>
  <c r="O125" i="4"/>
  <c r="N125" i="4"/>
  <c r="M125" i="4"/>
  <c r="L125" i="4"/>
  <c r="K125" i="4"/>
  <c r="R124" i="4"/>
  <c r="Q124" i="4"/>
  <c r="P124" i="4"/>
  <c r="O124" i="4"/>
  <c r="N124" i="4"/>
  <c r="M124" i="4"/>
  <c r="L124" i="4"/>
  <c r="K124" i="4"/>
  <c r="R123" i="4"/>
  <c r="Q123" i="4"/>
  <c r="P123" i="4"/>
  <c r="O123" i="4"/>
  <c r="N123" i="4"/>
  <c r="M123" i="4"/>
  <c r="L123" i="4"/>
  <c r="K123" i="4"/>
  <c r="R122" i="4"/>
  <c r="Q122" i="4"/>
  <c r="P122" i="4"/>
  <c r="O122" i="4"/>
  <c r="N122" i="4"/>
  <c r="M122" i="4"/>
  <c r="L122" i="4"/>
  <c r="K122" i="4"/>
  <c r="R121" i="4"/>
  <c r="Q121" i="4"/>
  <c r="P121" i="4"/>
  <c r="O121" i="4"/>
  <c r="N121" i="4"/>
  <c r="M121" i="4"/>
  <c r="L121" i="4"/>
  <c r="K121" i="4"/>
  <c r="R120" i="4"/>
  <c r="Q120" i="4"/>
  <c r="P120" i="4"/>
  <c r="O120" i="4"/>
  <c r="N120" i="4"/>
  <c r="M120" i="4"/>
  <c r="L120" i="4"/>
  <c r="K120" i="4"/>
  <c r="R119" i="4"/>
  <c r="Q119" i="4"/>
  <c r="P119" i="4"/>
  <c r="O119" i="4"/>
  <c r="N119" i="4"/>
  <c r="M119" i="4"/>
  <c r="L119" i="4"/>
  <c r="K119" i="4"/>
  <c r="R118" i="4"/>
  <c r="Q118" i="4"/>
  <c r="P118" i="4"/>
  <c r="O118" i="4"/>
  <c r="N118" i="4"/>
  <c r="M118" i="4"/>
  <c r="L118" i="4"/>
  <c r="K118" i="4"/>
  <c r="R117" i="4"/>
  <c r="Q117" i="4"/>
  <c r="P117" i="4"/>
  <c r="O117" i="4"/>
  <c r="N117" i="4"/>
  <c r="M117" i="4"/>
  <c r="L117" i="4"/>
  <c r="K117" i="4"/>
  <c r="R116" i="4"/>
  <c r="Q116" i="4"/>
  <c r="P116" i="4"/>
  <c r="O116" i="4"/>
  <c r="N116" i="4"/>
  <c r="M116" i="4"/>
  <c r="L116" i="4"/>
  <c r="K116" i="4"/>
  <c r="R115" i="4"/>
  <c r="Q115" i="4"/>
  <c r="P115" i="4"/>
  <c r="O115" i="4"/>
  <c r="N115" i="4"/>
  <c r="M115" i="4"/>
  <c r="L115" i="4"/>
  <c r="K115" i="4"/>
  <c r="R114" i="4"/>
  <c r="Q114" i="4"/>
  <c r="P114" i="4"/>
  <c r="O114" i="4"/>
  <c r="N114" i="4"/>
  <c r="M114" i="4"/>
  <c r="L114" i="4"/>
  <c r="K114" i="4"/>
  <c r="R113" i="4"/>
  <c r="Q113" i="4"/>
  <c r="P113" i="4"/>
  <c r="O113" i="4"/>
  <c r="N113" i="4"/>
  <c r="M113" i="4"/>
  <c r="L113" i="4"/>
  <c r="K113" i="4"/>
  <c r="R112" i="4"/>
  <c r="Q112" i="4"/>
  <c r="P112" i="4"/>
  <c r="O112" i="4"/>
  <c r="N112" i="4"/>
  <c r="M112" i="4"/>
  <c r="L112" i="4"/>
  <c r="K112" i="4"/>
  <c r="R111" i="4"/>
  <c r="Q111" i="4"/>
  <c r="P111" i="4"/>
  <c r="O111" i="4"/>
  <c r="N111" i="4"/>
  <c r="M111" i="4"/>
  <c r="L111" i="4"/>
  <c r="K111" i="4"/>
  <c r="R110" i="4"/>
  <c r="Q110" i="4"/>
  <c r="P110" i="4"/>
  <c r="O110" i="4"/>
  <c r="N110" i="4"/>
  <c r="M110" i="4"/>
  <c r="L110" i="4"/>
  <c r="K110" i="4"/>
  <c r="R109" i="4"/>
  <c r="Q109" i="4"/>
  <c r="P109" i="4"/>
  <c r="O109" i="4"/>
  <c r="N109" i="4"/>
  <c r="M109" i="4"/>
  <c r="L109" i="4"/>
  <c r="K109" i="4"/>
  <c r="R108" i="4"/>
  <c r="Q108" i="4"/>
  <c r="P108" i="4"/>
  <c r="O108" i="4"/>
  <c r="N108" i="4"/>
  <c r="M108" i="4"/>
  <c r="L108" i="4"/>
  <c r="K108" i="4"/>
  <c r="R107" i="4"/>
  <c r="Q107" i="4"/>
  <c r="P107" i="4"/>
  <c r="O107" i="4"/>
  <c r="N107" i="4"/>
  <c r="M107" i="4"/>
  <c r="L107" i="4"/>
  <c r="K107" i="4"/>
  <c r="R106" i="4"/>
  <c r="Q106" i="4"/>
  <c r="P106" i="4"/>
  <c r="O106" i="4"/>
  <c r="N106" i="4"/>
  <c r="M106" i="4"/>
  <c r="L106" i="4"/>
  <c r="K106" i="4"/>
  <c r="R105" i="4"/>
  <c r="Q105" i="4"/>
  <c r="P105" i="4"/>
  <c r="O105" i="4"/>
  <c r="N105" i="4"/>
  <c r="M105" i="4"/>
  <c r="L105" i="4"/>
  <c r="K105" i="4"/>
  <c r="R104" i="4"/>
  <c r="Q104" i="4"/>
  <c r="P104" i="4"/>
  <c r="O104" i="4"/>
  <c r="N104" i="4"/>
  <c r="M104" i="4"/>
  <c r="L104" i="4"/>
  <c r="K104" i="4"/>
  <c r="R103" i="4"/>
  <c r="Q103" i="4"/>
  <c r="P103" i="4"/>
  <c r="O103" i="4"/>
  <c r="N103" i="4"/>
  <c r="M103" i="4"/>
  <c r="L103" i="4"/>
  <c r="K103" i="4"/>
  <c r="R102" i="4"/>
  <c r="Q102" i="4"/>
  <c r="P102" i="4"/>
  <c r="O102" i="4"/>
  <c r="N102" i="4"/>
  <c r="M102" i="4"/>
  <c r="L102" i="4"/>
  <c r="K102" i="4"/>
  <c r="R101" i="4"/>
  <c r="Q101" i="4"/>
  <c r="P101" i="4"/>
  <c r="O101" i="4"/>
  <c r="N101" i="4"/>
  <c r="M101" i="4"/>
  <c r="L101" i="4"/>
  <c r="K101" i="4"/>
  <c r="R100" i="4"/>
  <c r="Q100" i="4"/>
  <c r="P100" i="4"/>
  <c r="O100" i="4"/>
  <c r="N100" i="4"/>
  <c r="M100" i="4"/>
  <c r="L100" i="4"/>
  <c r="K100" i="4"/>
  <c r="R99" i="4"/>
  <c r="Q99" i="4"/>
  <c r="P99" i="4"/>
  <c r="O99" i="4"/>
  <c r="N99" i="4"/>
  <c r="M99" i="4"/>
  <c r="L99" i="4"/>
  <c r="K99" i="4"/>
  <c r="R98" i="4"/>
  <c r="Q98" i="4"/>
  <c r="P98" i="4"/>
  <c r="O98" i="4"/>
  <c r="N98" i="4"/>
  <c r="M98" i="4"/>
  <c r="L98" i="4"/>
  <c r="K98" i="4"/>
  <c r="R97" i="4"/>
  <c r="Q97" i="4"/>
  <c r="P97" i="4"/>
  <c r="O97" i="4"/>
  <c r="N97" i="4"/>
  <c r="M97" i="4"/>
  <c r="L97" i="4"/>
  <c r="K97" i="4"/>
  <c r="R96" i="4"/>
  <c r="Q96" i="4"/>
  <c r="P96" i="4"/>
  <c r="O96" i="4"/>
  <c r="N96" i="4"/>
  <c r="M96" i="4"/>
  <c r="L96" i="4"/>
  <c r="K96" i="4"/>
  <c r="R95" i="4"/>
  <c r="Q95" i="4"/>
  <c r="P95" i="4"/>
  <c r="O95" i="4"/>
  <c r="N95" i="4"/>
  <c r="M95" i="4"/>
  <c r="L95" i="4"/>
  <c r="K95" i="4"/>
  <c r="R94" i="4"/>
  <c r="Q94" i="4"/>
  <c r="P94" i="4"/>
  <c r="O94" i="4"/>
  <c r="N94" i="4"/>
  <c r="M94" i="4"/>
  <c r="L94" i="4"/>
  <c r="K94" i="4"/>
  <c r="R93" i="4"/>
  <c r="Q93" i="4"/>
  <c r="P93" i="4"/>
  <c r="O93" i="4"/>
  <c r="N93" i="4"/>
  <c r="M93" i="4"/>
  <c r="L93" i="4"/>
  <c r="K93" i="4"/>
  <c r="R92" i="4"/>
  <c r="Q92" i="4"/>
  <c r="P92" i="4"/>
  <c r="O92" i="4"/>
  <c r="N92" i="4"/>
  <c r="M92" i="4"/>
  <c r="L92" i="4"/>
  <c r="K92" i="4"/>
  <c r="R91" i="4"/>
  <c r="Q91" i="4"/>
  <c r="P91" i="4"/>
  <c r="O91" i="4"/>
  <c r="N91" i="4"/>
  <c r="M91" i="4"/>
  <c r="L91" i="4"/>
  <c r="K91" i="4"/>
  <c r="R90" i="4"/>
  <c r="Q90" i="4"/>
  <c r="P90" i="4"/>
  <c r="O90" i="4"/>
  <c r="N90" i="4"/>
  <c r="M90" i="4"/>
  <c r="L90" i="4"/>
  <c r="K90" i="4"/>
  <c r="R89" i="4"/>
  <c r="Q89" i="4"/>
  <c r="P89" i="4"/>
  <c r="O89" i="4"/>
  <c r="N89" i="4"/>
  <c r="M89" i="4"/>
  <c r="L89" i="4"/>
  <c r="K89" i="4"/>
  <c r="R88" i="4"/>
  <c r="Q88" i="4"/>
  <c r="P88" i="4"/>
  <c r="O88" i="4"/>
  <c r="N88" i="4"/>
  <c r="M88" i="4"/>
  <c r="L88" i="4"/>
  <c r="K88" i="4"/>
  <c r="R87" i="4"/>
  <c r="Q87" i="4"/>
  <c r="P87" i="4"/>
  <c r="O87" i="4"/>
  <c r="N87" i="4"/>
  <c r="M87" i="4"/>
  <c r="L87" i="4"/>
  <c r="K87" i="4"/>
  <c r="R86" i="4"/>
  <c r="Q86" i="4"/>
  <c r="P86" i="4"/>
  <c r="O86" i="4"/>
  <c r="N86" i="4"/>
  <c r="M86" i="4"/>
  <c r="L86" i="4"/>
  <c r="K86" i="4"/>
  <c r="R85" i="4"/>
  <c r="Q85" i="4"/>
  <c r="P85" i="4"/>
  <c r="O85" i="4"/>
  <c r="N85" i="4"/>
  <c r="M85" i="4"/>
  <c r="L85" i="4"/>
  <c r="K85" i="4"/>
  <c r="R84" i="4"/>
  <c r="Q84" i="4"/>
  <c r="P84" i="4"/>
  <c r="O84" i="4"/>
  <c r="N84" i="4"/>
  <c r="M84" i="4"/>
  <c r="L84" i="4"/>
  <c r="K84" i="4"/>
  <c r="R83" i="4"/>
  <c r="Q83" i="4"/>
  <c r="P83" i="4"/>
  <c r="O83" i="4"/>
  <c r="N83" i="4"/>
  <c r="M83" i="4"/>
  <c r="L83" i="4"/>
  <c r="K83" i="4"/>
  <c r="R82" i="4"/>
  <c r="Q82" i="4"/>
  <c r="P82" i="4"/>
  <c r="O82" i="4"/>
  <c r="N82" i="4"/>
  <c r="M82" i="4"/>
  <c r="L82" i="4"/>
  <c r="K82" i="4"/>
  <c r="R81" i="4"/>
  <c r="Q81" i="4"/>
  <c r="P81" i="4"/>
  <c r="O81" i="4"/>
  <c r="N81" i="4"/>
  <c r="M81" i="4"/>
  <c r="L81" i="4"/>
  <c r="K81" i="4"/>
  <c r="R80" i="4"/>
  <c r="Q80" i="4"/>
  <c r="P80" i="4"/>
  <c r="O80" i="4"/>
  <c r="N80" i="4"/>
  <c r="M80" i="4"/>
  <c r="L80" i="4"/>
  <c r="K80" i="4"/>
  <c r="R79" i="4"/>
  <c r="Q79" i="4"/>
  <c r="P79" i="4"/>
  <c r="O79" i="4"/>
  <c r="N79" i="4"/>
  <c r="M79" i="4"/>
  <c r="L79" i="4"/>
  <c r="K79" i="4"/>
  <c r="R78" i="4"/>
  <c r="Q78" i="4"/>
  <c r="P78" i="4"/>
  <c r="O78" i="4"/>
  <c r="N78" i="4"/>
  <c r="M78" i="4"/>
  <c r="L78" i="4"/>
  <c r="K78" i="4"/>
  <c r="R77" i="4"/>
  <c r="Q77" i="4"/>
  <c r="P77" i="4"/>
  <c r="O77" i="4"/>
  <c r="N77" i="4"/>
  <c r="M77" i="4"/>
  <c r="L77" i="4"/>
  <c r="K77" i="4"/>
  <c r="R76" i="4"/>
  <c r="Q76" i="4"/>
  <c r="P76" i="4"/>
  <c r="O76" i="4"/>
  <c r="N76" i="4"/>
  <c r="M76" i="4"/>
  <c r="L76" i="4"/>
  <c r="K76" i="4"/>
  <c r="R75" i="4"/>
  <c r="Q75" i="4"/>
  <c r="P75" i="4"/>
  <c r="O75" i="4"/>
  <c r="N75" i="4"/>
  <c r="M75" i="4"/>
  <c r="L75" i="4"/>
  <c r="K75" i="4"/>
  <c r="R74" i="4"/>
  <c r="Q74" i="4"/>
  <c r="P74" i="4"/>
  <c r="O74" i="4"/>
  <c r="N74" i="4"/>
  <c r="M74" i="4"/>
  <c r="L74" i="4"/>
  <c r="K74" i="4"/>
  <c r="R73" i="4"/>
  <c r="Q73" i="4"/>
  <c r="P73" i="4"/>
  <c r="O73" i="4"/>
  <c r="N73" i="4"/>
  <c r="M73" i="4"/>
  <c r="L73" i="4"/>
  <c r="K73" i="4"/>
  <c r="R72" i="4"/>
  <c r="Q72" i="4"/>
  <c r="P72" i="4"/>
  <c r="O72" i="4"/>
  <c r="N72" i="4"/>
  <c r="M72" i="4"/>
  <c r="L72" i="4"/>
  <c r="K72" i="4"/>
  <c r="R71" i="4"/>
  <c r="Q71" i="4"/>
  <c r="P71" i="4"/>
  <c r="O71" i="4"/>
  <c r="N71" i="4"/>
  <c r="M71" i="4"/>
  <c r="L71" i="4"/>
  <c r="K71" i="4"/>
  <c r="R70" i="4"/>
  <c r="Q70" i="4"/>
  <c r="P70" i="4"/>
  <c r="O70" i="4"/>
  <c r="N70" i="4"/>
  <c r="M70" i="4"/>
  <c r="L70" i="4"/>
  <c r="K70" i="4"/>
  <c r="R69" i="4"/>
  <c r="Q69" i="4"/>
  <c r="P69" i="4"/>
  <c r="O69" i="4"/>
  <c r="N69" i="4"/>
  <c r="M69" i="4"/>
  <c r="L69" i="4"/>
  <c r="K69" i="4"/>
  <c r="R68" i="4"/>
  <c r="Q68" i="4"/>
  <c r="P68" i="4"/>
  <c r="O68" i="4"/>
  <c r="N68" i="4"/>
  <c r="M68" i="4"/>
  <c r="L68" i="4"/>
  <c r="K68" i="4"/>
  <c r="R67" i="4"/>
  <c r="Q67" i="4"/>
  <c r="P67" i="4"/>
  <c r="O67" i="4"/>
  <c r="N67" i="4"/>
  <c r="M67" i="4"/>
  <c r="L67" i="4"/>
  <c r="K67" i="4"/>
  <c r="R66" i="4"/>
  <c r="Q66" i="4"/>
  <c r="P66" i="4"/>
  <c r="O66" i="4"/>
  <c r="N66" i="4"/>
  <c r="M66" i="4"/>
  <c r="L66" i="4"/>
  <c r="K66" i="4"/>
  <c r="R65" i="4"/>
  <c r="Q65" i="4"/>
  <c r="P65" i="4"/>
  <c r="O65" i="4"/>
  <c r="N65" i="4"/>
  <c r="M65" i="4"/>
  <c r="L65" i="4"/>
  <c r="K65" i="4"/>
  <c r="R64" i="4"/>
  <c r="Q64" i="4"/>
  <c r="P64" i="4"/>
  <c r="O64" i="4"/>
  <c r="N64" i="4"/>
  <c r="M64" i="4"/>
  <c r="L64" i="4"/>
  <c r="K64" i="4"/>
  <c r="R63" i="4"/>
  <c r="Q63" i="4"/>
  <c r="P63" i="4"/>
  <c r="O63" i="4"/>
  <c r="N63" i="4"/>
  <c r="M63" i="4"/>
  <c r="L63" i="4"/>
  <c r="K63" i="4"/>
  <c r="R62" i="4"/>
  <c r="Q62" i="4"/>
  <c r="P62" i="4"/>
  <c r="O62" i="4"/>
  <c r="N62" i="4"/>
  <c r="M62" i="4"/>
  <c r="L62" i="4"/>
  <c r="K62" i="4"/>
  <c r="R61" i="4"/>
  <c r="Q61" i="4"/>
  <c r="P61" i="4"/>
  <c r="O61" i="4"/>
  <c r="N61" i="4"/>
  <c r="M61" i="4"/>
  <c r="L61" i="4"/>
  <c r="K61" i="4"/>
  <c r="R60" i="4"/>
  <c r="Q60" i="4"/>
  <c r="P60" i="4"/>
  <c r="O60" i="4"/>
  <c r="N60" i="4"/>
  <c r="M60" i="4"/>
  <c r="L60" i="4"/>
  <c r="K60" i="4"/>
  <c r="R59" i="4"/>
  <c r="Q59" i="4"/>
  <c r="P59" i="4"/>
  <c r="O59" i="4"/>
  <c r="N59" i="4"/>
  <c r="M59" i="4"/>
  <c r="L59" i="4"/>
  <c r="K59" i="4"/>
  <c r="R58" i="4"/>
  <c r="Q58" i="4"/>
  <c r="P58" i="4"/>
  <c r="O58" i="4"/>
  <c r="N58" i="4"/>
  <c r="M58" i="4"/>
  <c r="L58" i="4"/>
  <c r="K58" i="4"/>
  <c r="R57" i="4"/>
  <c r="Q57" i="4"/>
  <c r="P57" i="4"/>
  <c r="O57" i="4"/>
  <c r="N57" i="4"/>
  <c r="M57" i="4"/>
  <c r="L57" i="4"/>
  <c r="K57" i="4"/>
  <c r="R56" i="4"/>
  <c r="Q56" i="4"/>
  <c r="P56" i="4"/>
  <c r="O56" i="4"/>
  <c r="N56" i="4"/>
  <c r="M56" i="4"/>
  <c r="L56" i="4"/>
  <c r="K56" i="4"/>
  <c r="R55" i="4"/>
  <c r="Q55" i="4"/>
  <c r="P55" i="4"/>
  <c r="O55" i="4"/>
  <c r="N55" i="4"/>
  <c r="M55" i="4"/>
  <c r="L55" i="4"/>
  <c r="K55" i="4"/>
  <c r="R54" i="4"/>
  <c r="Q54" i="4"/>
  <c r="P54" i="4"/>
  <c r="O54" i="4"/>
  <c r="N54" i="4"/>
  <c r="M54" i="4"/>
  <c r="L54" i="4"/>
  <c r="K54" i="4"/>
  <c r="R53" i="4"/>
  <c r="Q53" i="4"/>
  <c r="P53" i="4"/>
  <c r="O53" i="4"/>
  <c r="N53" i="4"/>
  <c r="M53" i="4"/>
  <c r="L53" i="4"/>
  <c r="K53" i="4"/>
  <c r="R52" i="4"/>
  <c r="Q52" i="4"/>
  <c r="P52" i="4"/>
  <c r="O52" i="4"/>
  <c r="N52" i="4"/>
  <c r="M52" i="4"/>
  <c r="L52" i="4"/>
  <c r="K52" i="4"/>
  <c r="R51" i="4"/>
  <c r="Q51" i="4"/>
  <c r="P51" i="4"/>
  <c r="O51" i="4"/>
  <c r="N51" i="4"/>
  <c r="M51" i="4"/>
  <c r="L51" i="4"/>
  <c r="K51" i="4"/>
  <c r="R50" i="4"/>
  <c r="Q50" i="4"/>
  <c r="P50" i="4"/>
  <c r="O50" i="4"/>
  <c r="N50" i="4"/>
  <c r="M50" i="4"/>
  <c r="L50" i="4"/>
  <c r="K50" i="4"/>
  <c r="R49" i="4"/>
  <c r="Q49" i="4"/>
  <c r="P49" i="4"/>
  <c r="O49" i="4"/>
  <c r="N49" i="4"/>
  <c r="M49" i="4"/>
  <c r="L49" i="4"/>
  <c r="K49" i="4"/>
  <c r="R48" i="4"/>
  <c r="Q48" i="4"/>
  <c r="P48" i="4"/>
  <c r="O48" i="4"/>
  <c r="N48" i="4"/>
  <c r="M48" i="4"/>
  <c r="L48" i="4"/>
  <c r="K48" i="4"/>
  <c r="R47" i="4"/>
  <c r="Q47" i="4"/>
  <c r="P47" i="4"/>
  <c r="O47" i="4"/>
  <c r="N47" i="4"/>
  <c r="M47" i="4"/>
  <c r="L47" i="4"/>
  <c r="K47" i="4"/>
  <c r="R46" i="4"/>
  <c r="Q46" i="4"/>
  <c r="P46" i="4"/>
  <c r="O46" i="4"/>
  <c r="N46" i="4"/>
  <c r="M46" i="4"/>
  <c r="L46" i="4"/>
  <c r="K46" i="4"/>
  <c r="R45" i="4"/>
  <c r="Q45" i="4"/>
  <c r="P45" i="4"/>
  <c r="O45" i="4"/>
  <c r="N45" i="4"/>
  <c r="M45" i="4"/>
  <c r="L45" i="4"/>
  <c r="K45" i="4"/>
  <c r="R44" i="4"/>
  <c r="Q44" i="4"/>
  <c r="P44" i="4"/>
  <c r="O44" i="4"/>
  <c r="N44" i="4"/>
  <c r="M44" i="4"/>
  <c r="L44" i="4"/>
  <c r="K44" i="4"/>
  <c r="R43" i="4"/>
  <c r="Q43" i="4"/>
  <c r="P43" i="4"/>
  <c r="O43" i="4"/>
  <c r="N43" i="4"/>
  <c r="M43" i="4"/>
  <c r="L43" i="4"/>
  <c r="K43" i="4"/>
  <c r="R42" i="4"/>
  <c r="Q42" i="4"/>
  <c r="P42" i="4"/>
  <c r="O42" i="4"/>
  <c r="N42" i="4"/>
  <c r="M42" i="4"/>
  <c r="L42" i="4"/>
  <c r="K42" i="4"/>
  <c r="R41" i="4"/>
  <c r="Q41" i="4"/>
  <c r="P41" i="4"/>
  <c r="O41" i="4"/>
  <c r="N41" i="4"/>
  <c r="M41" i="4"/>
  <c r="L41" i="4"/>
  <c r="K41" i="4"/>
  <c r="R40" i="4"/>
  <c r="Q40" i="4"/>
  <c r="P40" i="4"/>
  <c r="O40" i="4"/>
  <c r="N40" i="4"/>
  <c r="M40" i="4"/>
  <c r="L40" i="4"/>
  <c r="K40" i="4"/>
  <c r="R39" i="4"/>
  <c r="Q39" i="4"/>
  <c r="P39" i="4"/>
  <c r="O39" i="4"/>
  <c r="N39" i="4"/>
  <c r="M39" i="4"/>
  <c r="L39" i="4"/>
  <c r="K39" i="4"/>
  <c r="R38" i="4"/>
  <c r="Q38" i="4"/>
  <c r="P38" i="4"/>
  <c r="O38" i="4"/>
  <c r="N38" i="4"/>
  <c r="M38" i="4"/>
  <c r="L38" i="4"/>
  <c r="K38" i="4"/>
  <c r="R37" i="4"/>
  <c r="Q37" i="4"/>
  <c r="P37" i="4"/>
  <c r="O37" i="4"/>
  <c r="N37" i="4"/>
  <c r="M37" i="4"/>
  <c r="L37" i="4"/>
  <c r="K37" i="4"/>
  <c r="R36" i="4"/>
  <c r="Q36" i="4"/>
  <c r="P36" i="4"/>
  <c r="O36" i="4"/>
  <c r="N36" i="4"/>
  <c r="M36" i="4"/>
  <c r="L36" i="4"/>
  <c r="K36" i="4"/>
  <c r="R35" i="4"/>
  <c r="Q35" i="4"/>
  <c r="P35" i="4"/>
  <c r="O35" i="4"/>
  <c r="N35" i="4"/>
  <c r="M35" i="4"/>
  <c r="L35" i="4"/>
  <c r="K35" i="4"/>
  <c r="R34" i="4"/>
  <c r="Q34" i="4"/>
  <c r="P34" i="4"/>
  <c r="O34" i="4"/>
  <c r="N34" i="4"/>
  <c r="M34" i="4"/>
  <c r="L34" i="4"/>
  <c r="K34" i="4"/>
  <c r="R33" i="4"/>
  <c r="Q33" i="4"/>
  <c r="P33" i="4"/>
  <c r="O33" i="4"/>
  <c r="N33" i="4"/>
  <c r="M33" i="4"/>
  <c r="L33" i="4"/>
  <c r="K33" i="4"/>
  <c r="R32" i="4"/>
  <c r="Q32" i="4"/>
  <c r="P32" i="4"/>
  <c r="O32" i="4"/>
  <c r="N32" i="4"/>
  <c r="M32" i="4"/>
  <c r="L32" i="4"/>
  <c r="K32" i="4"/>
  <c r="R31" i="4"/>
  <c r="Q31" i="4"/>
  <c r="P31" i="4"/>
  <c r="O31" i="4"/>
  <c r="N31" i="4"/>
  <c r="M31" i="4"/>
  <c r="L31" i="4"/>
  <c r="K31" i="4"/>
  <c r="R30" i="4"/>
  <c r="Q30" i="4"/>
  <c r="P30" i="4"/>
  <c r="O30" i="4"/>
  <c r="N30" i="4"/>
  <c r="M30" i="4"/>
  <c r="L30" i="4"/>
  <c r="K30" i="4"/>
  <c r="R29" i="4"/>
  <c r="Q29" i="4"/>
  <c r="P29" i="4"/>
  <c r="O29" i="4"/>
  <c r="N29" i="4"/>
  <c r="M29" i="4"/>
  <c r="L29" i="4"/>
  <c r="K29" i="4"/>
  <c r="R28" i="4"/>
  <c r="Q28" i="4"/>
  <c r="P28" i="4"/>
  <c r="O28" i="4"/>
  <c r="N28" i="4"/>
  <c r="M28" i="4"/>
  <c r="L28" i="4"/>
  <c r="K28" i="4"/>
  <c r="R27" i="4"/>
  <c r="Q27" i="4"/>
  <c r="P27" i="4"/>
  <c r="O27" i="4"/>
  <c r="N27" i="4"/>
  <c r="M27" i="4"/>
  <c r="L27" i="4"/>
  <c r="K27" i="4"/>
  <c r="R26" i="4"/>
  <c r="Q26" i="4"/>
  <c r="P26" i="4"/>
  <c r="O26" i="4"/>
  <c r="N26" i="4"/>
  <c r="M26" i="4"/>
  <c r="L26" i="4"/>
  <c r="K26" i="4"/>
  <c r="R25" i="4"/>
  <c r="Q25" i="4"/>
  <c r="P25" i="4"/>
  <c r="O25" i="4"/>
  <c r="N25" i="4"/>
  <c r="M25" i="4"/>
  <c r="L25" i="4"/>
  <c r="K25" i="4"/>
  <c r="R24" i="4"/>
  <c r="Q24" i="4"/>
  <c r="P24" i="4"/>
  <c r="O24" i="4"/>
  <c r="N24" i="4"/>
  <c r="M24" i="4"/>
  <c r="L24" i="4"/>
  <c r="K24" i="4"/>
  <c r="R23" i="4"/>
  <c r="Q23" i="4"/>
  <c r="P23" i="4"/>
  <c r="O23" i="4"/>
  <c r="N23" i="4"/>
  <c r="M23" i="4"/>
  <c r="L23" i="4"/>
  <c r="K23" i="4"/>
  <c r="R22" i="4"/>
  <c r="Q22" i="4"/>
  <c r="P22" i="4"/>
  <c r="O22" i="4"/>
  <c r="N22" i="4"/>
  <c r="M22" i="4"/>
  <c r="L22" i="4"/>
  <c r="K22" i="4"/>
  <c r="R21" i="4"/>
  <c r="Q21" i="4"/>
  <c r="P21" i="4"/>
  <c r="O21" i="4"/>
  <c r="N21" i="4"/>
  <c r="M21" i="4"/>
  <c r="L21" i="4"/>
  <c r="K21" i="4"/>
  <c r="R20" i="4"/>
  <c r="Q20" i="4"/>
  <c r="P20" i="4"/>
  <c r="O20" i="4"/>
  <c r="N20" i="4"/>
  <c r="M20" i="4"/>
  <c r="L20" i="4"/>
  <c r="K20" i="4"/>
  <c r="R19" i="4"/>
  <c r="Q19" i="4"/>
  <c r="P19" i="4"/>
  <c r="O19" i="4"/>
  <c r="N19" i="4"/>
  <c r="M19" i="4"/>
  <c r="L19" i="4"/>
  <c r="K19" i="4"/>
  <c r="R18" i="4"/>
  <c r="Q18" i="4"/>
  <c r="P18" i="4"/>
  <c r="O18" i="4"/>
  <c r="N18" i="4"/>
  <c r="M18" i="4"/>
  <c r="L18" i="4"/>
  <c r="K18" i="4"/>
  <c r="R17" i="4"/>
  <c r="Q17" i="4"/>
  <c r="P17" i="4"/>
  <c r="O17" i="4"/>
  <c r="N17" i="4"/>
  <c r="M17" i="4"/>
  <c r="L17" i="4"/>
  <c r="K17" i="4"/>
  <c r="R16" i="4"/>
  <c r="Q16" i="4"/>
  <c r="P16" i="4"/>
  <c r="O16" i="4"/>
  <c r="N16" i="4"/>
  <c r="M16" i="4"/>
  <c r="L16" i="4"/>
  <c r="K16" i="4"/>
  <c r="R15" i="4"/>
  <c r="Q15" i="4"/>
  <c r="P15" i="4"/>
  <c r="O15" i="4"/>
  <c r="N15" i="4"/>
  <c r="M15" i="4"/>
  <c r="L15" i="4"/>
  <c r="K15" i="4"/>
  <c r="R14" i="4"/>
  <c r="Q14" i="4"/>
  <c r="P14" i="4"/>
  <c r="O14" i="4"/>
  <c r="N14" i="4"/>
  <c r="M14" i="4"/>
  <c r="L14" i="4"/>
  <c r="K14" i="4"/>
  <c r="R13" i="4"/>
  <c r="Q13" i="4"/>
  <c r="P13" i="4"/>
  <c r="O13" i="4"/>
  <c r="N13" i="4"/>
  <c r="M13" i="4"/>
  <c r="L13" i="4"/>
  <c r="K13" i="4"/>
  <c r="R12" i="4"/>
  <c r="Q12" i="4"/>
  <c r="P12" i="4"/>
  <c r="O12" i="4"/>
  <c r="N12" i="4"/>
  <c r="M12" i="4"/>
  <c r="L12" i="4"/>
  <c r="K12" i="4"/>
  <c r="R11" i="4"/>
  <c r="Q11" i="4"/>
  <c r="P11" i="4"/>
  <c r="O11" i="4"/>
  <c r="N11" i="4"/>
  <c r="M11" i="4"/>
  <c r="L11" i="4"/>
  <c r="K11" i="4"/>
  <c r="R10" i="4"/>
  <c r="Q10" i="4"/>
  <c r="P10" i="4"/>
  <c r="O10" i="4"/>
  <c r="N10" i="4"/>
  <c r="M10" i="4"/>
  <c r="L10" i="4"/>
  <c r="K10" i="4"/>
  <c r="R9" i="4"/>
  <c r="Q9" i="4"/>
  <c r="P9" i="4"/>
  <c r="O9" i="4"/>
  <c r="N9" i="4"/>
  <c r="M9" i="4"/>
  <c r="L9" i="4"/>
  <c r="K9" i="4"/>
  <c r="R8" i="4"/>
  <c r="Q8" i="4"/>
  <c r="P8" i="4"/>
  <c r="O8" i="4"/>
  <c r="N8" i="4"/>
  <c r="M8" i="4"/>
  <c r="L8" i="4"/>
  <c r="K8" i="4"/>
  <c r="R7" i="4"/>
  <c r="Q7" i="4"/>
  <c r="P7" i="4"/>
  <c r="O7" i="4"/>
  <c r="N7" i="4"/>
  <c r="M7" i="4"/>
  <c r="L7" i="4"/>
  <c r="K7" i="4"/>
  <c r="R6" i="4"/>
  <c r="Q6" i="4"/>
  <c r="P6" i="4"/>
  <c r="O6" i="4"/>
  <c r="N6" i="4"/>
  <c r="M6" i="4"/>
  <c r="L6" i="4"/>
  <c r="K6" i="4"/>
  <c r="R5" i="4"/>
  <c r="Q5" i="4"/>
  <c r="P5" i="4"/>
  <c r="O5" i="4"/>
  <c r="N5" i="4"/>
  <c r="M5" i="4"/>
  <c r="L5" i="4"/>
  <c r="K5" i="4"/>
  <c r="R4" i="4"/>
  <c r="Q4" i="4"/>
  <c r="P4" i="4"/>
  <c r="O4" i="4"/>
  <c r="N4" i="4"/>
  <c r="M4" i="4"/>
  <c r="L4" i="4"/>
  <c r="K4" i="4"/>
  <c r="R3" i="4"/>
  <c r="Q3" i="4"/>
  <c r="P3" i="4"/>
  <c r="O3" i="4"/>
  <c r="N3" i="4"/>
  <c r="M3" i="4"/>
  <c r="L3" i="4"/>
  <c r="K3" i="4"/>
  <c r="R2" i="4"/>
  <c r="Q2" i="4"/>
  <c r="P2" i="4"/>
  <c r="O2" i="4"/>
  <c r="N2" i="4"/>
  <c r="M2" i="4"/>
  <c r="L2" i="4"/>
  <c r="B106" i="6"/>
  <c r="I101" i="6"/>
  <c r="H101" i="6"/>
  <c r="I100" i="6"/>
  <c r="H100" i="6"/>
  <c r="I99" i="6"/>
  <c r="H99" i="6"/>
  <c r="I98" i="6"/>
  <c r="H98" i="6"/>
  <c r="I97" i="6"/>
  <c r="H97" i="6"/>
  <c r="I96" i="6"/>
  <c r="H96" i="6"/>
  <c r="I95" i="6"/>
  <c r="H95" i="6"/>
  <c r="I94" i="6"/>
  <c r="H94" i="6"/>
  <c r="I93" i="6"/>
  <c r="H93" i="6"/>
  <c r="I92" i="6"/>
  <c r="H92" i="6"/>
  <c r="I91" i="6"/>
  <c r="H91" i="6"/>
  <c r="I90" i="6"/>
  <c r="H90" i="6"/>
  <c r="I89" i="6"/>
  <c r="H89" i="6"/>
  <c r="I88" i="6"/>
  <c r="H88" i="6"/>
  <c r="I87" i="6"/>
  <c r="H87" i="6"/>
  <c r="I86" i="6"/>
  <c r="H86" i="6"/>
  <c r="I85" i="6"/>
  <c r="H85" i="6"/>
  <c r="I84" i="6"/>
  <c r="H84" i="6"/>
  <c r="I83" i="6"/>
  <c r="H83" i="6"/>
  <c r="I82" i="6"/>
  <c r="H82" i="6"/>
  <c r="I81" i="6"/>
  <c r="H81" i="6"/>
  <c r="I80" i="6"/>
  <c r="H80" i="6"/>
  <c r="I79" i="6"/>
  <c r="H79" i="6"/>
  <c r="I78" i="6"/>
  <c r="H78" i="6"/>
  <c r="I77" i="6"/>
  <c r="H77" i="6"/>
  <c r="I76" i="6"/>
  <c r="H76" i="6"/>
  <c r="I75" i="6"/>
  <c r="H75" i="6"/>
  <c r="I74" i="6"/>
  <c r="H74" i="6"/>
  <c r="I73" i="6"/>
  <c r="H73" i="6"/>
  <c r="I72" i="6"/>
  <c r="H72" i="6"/>
  <c r="I71" i="6"/>
  <c r="H71" i="6"/>
  <c r="I70" i="6"/>
  <c r="H70" i="6"/>
  <c r="I69" i="6"/>
  <c r="H69" i="6"/>
  <c r="I68" i="6"/>
  <c r="H68" i="6"/>
  <c r="I67" i="6"/>
  <c r="H67" i="6"/>
  <c r="I66" i="6"/>
  <c r="H66" i="6"/>
  <c r="I65" i="6"/>
  <c r="H65" i="6"/>
  <c r="I64" i="6"/>
  <c r="H64" i="6"/>
  <c r="I63" i="6"/>
  <c r="H63" i="6"/>
  <c r="I62" i="6"/>
  <c r="H62" i="6"/>
  <c r="I61" i="6"/>
  <c r="H61" i="6"/>
  <c r="I60" i="6"/>
  <c r="H60" i="6"/>
  <c r="I59" i="6"/>
  <c r="H59" i="6"/>
  <c r="I58" i="6"/>
  <c r="H58" i="6"/>
  <c r="I57" i="6"/>
  <c r="H57" i="6"/>
  <c r="I56" i="6"/>
  <c r="H56" i="6"/>
  <c r="I55" i="6"/>
  <c r="H55" i="6"/>
  <c r="I54" i="6"/>
  <c r="H54" i="6"/>
  <c r="I53" i="6"/>
  <c r="H53" i="6"/>
  <c r="I52" i="6"/>
  <c r="H52" i="6"/>
  <c r="I51" i="6"/>
  <c r="H51" i="6"/>
  <c r="I50" i="6"/>
  <c r="H50" i="6"/>
  <c r="I49" i="6"/>
  <c r="H49" i="6"/>
  <c r="I48" i="6"/>
  <c r="H48" i="6"/>
  <c r="I47" i="6"/>
  <c r="H47" i="6"/>
  <c r="I46" i="6"/>
  <c r="H46" i="6"/>
  <c r="I45" i="6"/>
  <c r="H45" i="6"/>
  <c r="I44" i="6"/>
  <c r="H44" i="6"/>
  <c r="I43" i="6"/>
  <c r="H43" i="6"/>
  <c r="I42" i="6"/>
  <c r="H42" i="6"/>
  <c r="I41" i="6"/>
  <c r="H41" i="6"/>
  <c r="I40" i="6"/>
  <c r="H40" i="6"/>
  <c r="I39" i="6"/>
  <c r="H39" i="6"/>
  <c r="I38" i="6"/>
  <c r="H38" i="6"/>
  <c r="I37" i="6"/>
  <c r="H37" i="6"/>
  <c r="I36" i="6"/>
  <c r="H36" i="6"/>
  <c r="I35" i="6"/>
  <c r="H35" i="6"/>
  <c r="I34" i="6"/>
  <c r="H34" i="6"/>
  <c r="I33" i="6"/>
  <c r="H33" i="6"/>
  <c r="I3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I24" i="6"/>
  <c r="H24" i="6"/>
  <c r="I23" i="6"/>
  <c r="H23" i="6"/>
  <c r="I22" i="6"/>
  <c r="H22" i="6"/>
  <c r="I21" i="6"/>
  <c r="H21" i="6"/>
  <c r="I20" i="6"/>
  <c r="H20" i="6"/>
  <c r="I19" i="6"/>
  <c r="H19" i="6"/>
  <c r="I18" i="6"/>
  <c r="H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I3" i="6"/>
  <c r="H3" i="6"/>
  <c r="I2" i="6"/>
  <c r="H2" i="6"/>
</calcChain>
</file>

<file path=xl/sharedStrings.xml><?xml version="1.0" encoding="utf-8"?>
<sst xmlns="http://schemas.openxmlformats.org/spreadsheetml/2006/main" count="14308" uniqueCount="3816">
  <si>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</si>
  <si>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</si>
  <si>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</si>
  <si>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</si>
  <si>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</si>
  <si>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</si>
  <si>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</si>
  <si>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</si>
  <si>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</si>
  <si>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</si>
  <si>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</si>
  <si>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</si>
  <si>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</si>
  <si>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</si>
  <si>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</si>
  <si>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</si>
  <si>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</si>
  <si>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</si>
  <si>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</si>
  <si>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</si>
  <si>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</si>
  <si>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</si>
  <si>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</si>
  <si>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</si>
  <si>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</si>
  <si>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</si>
  <si>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</si>
  <si>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</si>
  <si>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</si>
  <si>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</si>
  <si>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</si>
  <si>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</si>
  <si>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</si>
  <si>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</si>
  <si>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</si>
  <si>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</si>
  <si>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</si>
  <si>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</si>
  <si>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</si>
  <si>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</si>
  <si>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</si>
  <si>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</si>
  <si>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</si>
  <si>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</si>
  <si>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</si>
  <si>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</si>
  <si>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</si>
  <si>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</si>
  <si>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</si>
  <si>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</si>
  <si>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</si>
  <si>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</si>
  <si>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</si>
  <si>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</si>
  <si>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</si>
  <si>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</si>
  <si>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</si>
  <si>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</si>
  <si>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</si>
  <si>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</si>
  <si>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</si>
  <si>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</si>
  <si>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</si>
  <si>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</si>
  <si>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</si>
  <si>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</si>
  <si>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</si>
  <si>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</si>
  <si>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</si>
  <si>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</si>
  <si>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</si>
  <si>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</si>
  <si>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</si>
  <si>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</si>
  <si>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</si>
  <si>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</si>
  <si>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</si>
  <si>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</si>
  <si>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</si>
  <si>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</si>
  <si>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</si>
  <si>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</si>
  <si>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</si>
  <si>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</si>
  <si>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</si>
  <si>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</si>
  <si>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</si>
  <si>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</si>
  <si>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</si>
  <si>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</si>
  <si>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</si>
  <si>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</si>
  <si>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</si>
  <si>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</si>
  <si>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</si>
  <si>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</si>
  <si>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</si>
  <si>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</si>
  <si>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</si>
  <si>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</si>
  <si>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</si>
  <si>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</si>
  <si>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</si>
  <si>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</si>
  <si>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</si>
  <si>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</si>
  <si>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</si>
  <si>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</si>
  <si>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</si>
  <si>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</si>
  <si>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</si>
  <si>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</si>
  <si>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</si>
  <si>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</si>
  <si>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</si>
  <si>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</si>
  <si>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</si>
  <si>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</si>
  <si>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</si>
  <si>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</si>
  <si>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</si>
  <si>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</si>
  <si>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</si>
  <si>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</si>
  <si>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</si>
  <si>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</si>
  <si>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</si>
  <si>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</si>
  <si>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</si>
  <si>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</si>
  <si>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</si>
  <si>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</si>
  <si>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</si>
  <si>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</si>
  <si>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</si>
  <si>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</si>
  <si>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</si>
  <si>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</si>
  <si>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</si>
  <si>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</si>
  <si>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</si>
  <si>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</si>
  <si>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</si>
  <si>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</si>
  <si>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</si>
  <si>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</si>
  <si>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</si>
  <si>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</si>
  <si>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</si>
  <si>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</si>
  <si>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</si>
  <si>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</si>
  <si>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</si>
  <si>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</si>
  <si>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</si>
  <si>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</si>
  <si>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</si>
  <si>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</si>
  <si>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</si>
  <si>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</si>
  <si>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</si>
  <si>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</si>
  <si>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</si>
  <si>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</si>
  <si>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</si>
  <si>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</si>
  <si>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</si>
  <si>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</si>
  <si>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</si>
  <si>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</si>
  <si>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</si>
  <si>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</si>
  <si>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</si>
  <si>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</si>
  <si>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</si>
  <si>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</si>
  <si>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</si>
  <si>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</si>
  <si>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</si>
  <si>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</si>
  <si>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</si>
  <si>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</si>
  <si>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</si>
  <si>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</si>
  <si>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</si>
  <si>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</si>
  <si>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</si>
  <si>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</si>
  <si>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</si>
  <si>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</si>
  <si>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</si>
  <si>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</si>
  <si>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</si>
  <si>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</si>
  <si>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</si>
  <si>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</si>
  <si>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</si>
  <si>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</si>
  <si>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</si>
  <si>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</si>
  <si>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</si>
  <si>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</si>
  <si>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</si>
  <si>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</si>
  <si>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</si>
  <si>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</si>
  <si>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</si>
  <si>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</si>
  <si>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</si>
  <si>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</si>
  <si>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</si>
  <si>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</si>
  <si>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</si>
  <si>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</si>
  <si>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</si>
  <si>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</si>
  <si>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</si>
  <si>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</si>
  <si>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</si>
  <si>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</si>
  <si>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</si>
  <si>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</si>
  <si>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</si>
  <si>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</si>
  <si>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</si>
  <si>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</si>
  <si>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</si>
  <si>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</si>
  <si>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</si>
  <si>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</si>
  <si>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</si>
  <si>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</si>
  <si>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</si>
  <si>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</si>
  <si>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</si>
  <si>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</si>
  <si>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</si>
  <si>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</si>
  <si>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</si>
  <si>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</si>
  <si>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</si>
  <si>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</si>
  <si>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</si>
  <si>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</si>
  <si>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</si>
  <si>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</si>
  <si>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</si>
  <si>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</si>
  <si>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</si>
  <si>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</si>
  <si>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</si>
  <si>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</si>
  <si>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</si>
  <si>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</si>
  <si>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</si>
  <si>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</si>
  <si>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</si>
  <si>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</si>
  <si>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</si>
  <si>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</si>
  <si>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</si>
  <si>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</si>
  <si>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</si>
  <si>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</si>
  <si>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</si>
  <si>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</si>
  <si>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</si>
  <si>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</si>
  <si>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</si>
  <si>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</si>
  <si>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</si>
  <si>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</si>
  <si>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</si>
  <si>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</si>
  <si>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</si>
  <si>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</si>
  <si>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</si>
  <si>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</si>
  <si>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</si>
  <si>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</si>
  <si>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</si>
  <si>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</si>
  <si>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</si>
  <si>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</si>
  <si>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</si>
  <si>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</si>
  <si>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</si>
  <si>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</si>
  <si>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</si>
  <si>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</si>
  <si>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</si>
  <si>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</si>
  <si>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</si>
  <si>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</si>
  <si>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</si>
  <si>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</si>
  <si>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</si>
  <si>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</si>
  <si>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</si>
  <si>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</si>
  <si>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</si>
  <si>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</si>
  <si>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</si>
  <si>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</si>
  <si>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</si>
  <si>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</si>
  <si>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</si>
  <si>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</si>
  <si>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</si>
  <si>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</si>
  <si>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</si>
  <si>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</si>
  <si>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</si>
  <si>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</si>
  <si>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</si>
  <si>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</si>
  <si>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</si>
  <si>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</si>
  <si>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</si>
  <si>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</si>
  <si>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</si>
  <si>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</si>
  <si>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</si>
  <si>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</si>
  <si>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</si>
  <si>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</si>
  <si>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</si>
  <si>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</si>
  <si>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</si>
  <si>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</si>
  <si>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</si>
  <si>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</si>
  <si>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</si>
  <si>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</si>
  <si>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</si>
  <si>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</si>
  <si>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</si>
  <si>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</si>
  <si>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</si>
  <si>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</si>
  <si>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</si>
  <si>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</si>
  <si>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</si>
  <si>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</si>
  <si>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</si>
  <si>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</si>
  <si>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</si>
  <si>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</si>
  <si>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</si>
  <si>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</si>
  <si>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</si>
  <si>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</si>
  <si>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</si>
  <si>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</si>
  <si>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</si>
  <si>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</si>
  <si>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</si>
  <si>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</si>
  <si>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</si>
  <si>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</si>
  <si>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</si>
  <si>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</si>
  <si>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</si>
  <si>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</si>
  <si>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</si>
  <si>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</si>
  <si>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</si>
  <si>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</si>
  <si>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</si>
  <si>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</si>
  <si>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</si>
  <si>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</si>
  <si>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</si>
  <si>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</si>
  <si>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</si>
  <si>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</si>
  <si>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</si>
  <si>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</si>
  <si>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</si>
  <si>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</si>
  <si>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</si>
  <si>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</si>
  <si>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</si>
  <si>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</si>
  <si>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</si>
  <si>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</si>
  <si>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</si>
  <si>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</si>
  <si>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</si>
  <si>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</si>
  <si>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</si>
  <si>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</si>
  <si>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</si>
  <si>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</si>
  <si>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</si>
  <si>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</si>
  <si>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</si>
  <si>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</si>
  <si>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</si>
  <si>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</si>
  <si>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</si>
  <si>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</si>
  <si>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</si>
  <si>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</si>
  <si>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</si>
  <si>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</si>
  <si>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</si>
  <si>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</si>
  <si>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</si>
  <si>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</si>
  <si>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</si>
  <si>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</si>
  <si>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</si>
  <si>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</si>
  <si>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</si>
  <si>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</si>
  <si>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</si>
  <si>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</si>
  <si>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</si>
  <si>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</si>
  <si>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</si>
  <si>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</si>
  <si>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</si>
  <si>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</si>
  <si>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</si>
  <si>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</si>
  <si>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</si>
  <si>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</si>
  <si>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</si>
  <si>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</si>
  <si>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</si>
  <si>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</si>
  <si>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</si>
  <si>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</si>
  <si>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</si>
  <si>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</si>
  <si>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</si>
  <si>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</si>
  <si>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</si>
  <si>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</si>
  <si>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</si>
  <si>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</si>
  <si>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</si>
  <si>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</si>
  <si>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</si>
  <si>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</si>
  <si>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</si>
  <si>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</si>
  <si>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</si>
  <si>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</si>
  <si>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</si>
  <si>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</si>
  <si>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</si>
  <si>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</si>
  <si>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</si>
  <si>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</si>
  <si>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</si>
  <si>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</si>
  <si>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</si>
  <si>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</si>
  <si>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</si>
  <si>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</si>
  <si>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</si>
  <si>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</si>
  <si>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</si>
  <si>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</si>
  <si>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</si>
  <si>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</si>
  <si>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</si>
  <si>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</si>
  <si>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</si>
  <si>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</si>
  <si>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</si>
  <si>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</si>
  <si>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</si>
  <si>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</si>
  <si>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</si>
  <si>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</si>
  <si>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</si>
  <si>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</si>
  <si>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</si>
  <si>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</si>
  <si>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</si>
  <si>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</si>
  <si>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</si>
  <si>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</si>
  <si>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</si>
  <si>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</si>
  <si>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</si>
  <si>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</si>
  <si>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</si>
  <si>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</si>
  <si>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</si>
  <si>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</si>
  <si>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</si>
  <si>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</si>
  <si>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</si>
  <si>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</si>
  <si>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</si>
  <si>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</si>
  <si>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</si>
  <si>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</si>
  <si>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</si>
  <si>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</si>
  <si>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</si>
  <si>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</si>
  <si>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</si>
  <si>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</si>
  <si>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</si>
  <si>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</si>
  <si>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</si>
  <si>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</si>
  <si>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</si>
  <si>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</si>
  <si>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</si>
  <si>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</si>
  <si>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</si>
  <si>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</si>
  <si>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</si>
  <si>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</si>
  <si>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</si>
  <si>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</si>
  <si>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</si>
  <si>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</si>
  <si>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</si>
  <si>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</si>
  <si>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</si>
  <si>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</si>
  <si>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</si>
  <si>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</si>
  <si>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</si>
  <si>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</si>
  <si>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</si>
  <si>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</si>
  <si>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</si>
  <si>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</si>
  <si>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</si>
  <si>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</si>
  <si>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</si>
  <si>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</si>
  <si>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</si>
  <si>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</si>
  <si>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</si>
  <si>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</si>
  <si>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</si>
  <si>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</si>
  <si>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</si>
  <si>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</si>
  <si>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</si>
  <si>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</si>
  <si>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</si>
  <si>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</si>
  <si>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</si>
  <si>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</si>
  <si>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</si>
  <si>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</si>
  <si>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</si>
  <si>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</si>
  <si>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</si>
  <si>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</si>
  <si>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</si>
  <si>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</si>
  <si>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</si>
  <si>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</si>
  <si>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</si>
  <si>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</si>
  <si>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</si>
  <si>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</si>
  <si>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</si>
  <si>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</si>
  <si>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</si>
  <si>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</si>
  <si>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</si>
  <si>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</si>
  <si>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</si>
  <si>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</si>
  <si>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</si>
  <si>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</si>
  <si>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</si>
  <si>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</si>
  <si>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</si>
  <si>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</si>
  <si>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</si>
  <si>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</si>
  <si>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</si>
  <si>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</si>
  <si>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</si>
  <si>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</si>
  <si>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</si>
  <si>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</si>
  <si>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</si>
  <si>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</si>
  <si>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</si>
  <si>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</si>
  <si>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</si>
  <si>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</si>
  <si>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</si>
  <si>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</si>
  <si>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</si>
  <si>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</si>
  <si>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</si>
  <si>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</si>
  <si>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</si>
  <si>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</si>
  <si>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</si>
  <si>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</si>
  <si>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</si>
  <si>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</si>
  <si>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</si>
  <si>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</si>
  <si>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</si>
  <si>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</si>
  <si>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</si>
  <si>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</si>
  <si>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</si>
  <si>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</si>
  <si>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</si>
  <si>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</si>
  <si>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</si>
  <si>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</si>
  <si>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</si>
  <si>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</si>
  <si>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</si>
  <si>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</si>
  <si>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</si>
  <si>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</si>
  <si>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</si>
  <si>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</si>
  <si>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</si>
  <si>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</si>
  <si>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</si>
  <si>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</si>
  <si>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</si>
  <si>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</si>
  <si>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</si>
  <si>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</si>
  <si>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</si>
  <si>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</si>
  <si>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</si>
  <si>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</si>
  <si>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</si>
  <si>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</si>
  <si>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</si>
  <si>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</si>
  <si>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</si>
  <si>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</si>
  <si>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</si>
  <si>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</si>
  <si>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</si>
  <si>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</si>
  <si>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</si>
  <si>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</si>
  <si>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</si>
  <si>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</si>
  <si>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</si>
  <si>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</si>
  <si>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</si>
  <si>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</si>
  <si>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</si>
  <si>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</si>
  <si>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</si>
  <si>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</si>
  <si>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</si>
  <si>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</si>
  <si>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</si>
  <si>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</si>
  <si>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</si>
  <si>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</si>
  <si>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</si>
  <si>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</si>
  <si>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</si>
  <si>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</si>
  <si>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</si>
  <si>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</si>
  <si>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</si>
  <si>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</si>
  <si>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</si>
  <si>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</si>
  <si>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</si>
  <si>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</si>
  <si>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</si>
  <si>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</si>
  <si>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</si>
  <si>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</si>
  <si>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</si>
  <si>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</si>
  <si>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</si>
  <si>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</si>
  <si>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</si>
  <si>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</si>
  <si>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</si>
  <si>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</si>
  <si>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</si>
  <si>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</si>
  <si>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</si>
  <si>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</si>
  <si>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</si>
  <si>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</si>
  <si>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</si>
  <si>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</si>
  <si>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</si>
  <si>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</si>
  <si>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</si>
  <si>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</si>
  <si>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</si>
  <si>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</si>
  <si>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</si>
  <si>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</si>
  <si>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</si>
  <si>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</si>
  <si>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</si>
  <si>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</si>
  <si>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</si>
  <si>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</si>
  <si>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</si>
  <si>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</si>
  <si>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</si>
  <si>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</si>
  <si>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</si>
  <si>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</si>
  <si>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</si>
  <si>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</si>
  <si>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</si>
  <si>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</si>
  <si>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</si>
  <si>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</si>
  <si>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</si>
  <si>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</si>
  <si>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</si>
  <si>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</si>
  <si>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</si>
  <si>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</si>
  <si>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</si>
  <si>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</si>
  <si>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</si>
  <si>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</si>
  <si>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</si>
  <si>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</si>
  <si>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</si>
  <si>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</si>
  <si>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</si>
  <si>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</si>
  <si>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</si>
  <si>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</si>
  <si>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</si>
  <si>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</si>
  <si>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</si>
  <si>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</si>
  <si>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</si>
  <si>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</si>
  <si>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</si>
  <si>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</si>
  <si>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</si>
  <si>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</si>
  <si>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</si>
  <si>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</si>
  <si>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</si>
  <si>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</si>
  <si>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</si>
  <si>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</si>
  <si>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</si>
  <si>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</si>
  <si>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</si>
  <si>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</si>
  <si>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</si>
  <si>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</si>
  <si>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</si>
  <si>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</si>
  <si>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</si>
  <si>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</si>
  <si>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</si>
  <si>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</si>
  <si>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</si>
  <si>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</si>
  <si>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</si>
  <si>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</si>
  <si>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</si>
  <si>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</si>
  <si>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</si>
  <si>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</si>
  <si>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</si>
  <si>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</si>
  <si>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</si>
  <si>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</si>
  <si>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</si>
  <si>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</si>
  <si>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</si>
  <si>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</si>
  <si>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</si>
  <si>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</si>
  <si>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</si>
  <si>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</si>
  <si>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</si>
  <si>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</si>
  <si>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</si>
  <si>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</si>
  <si>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</si>
  <si>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</si>
  <si>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</si>
  <si>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</si>
  <si>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</si>
  <si>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</si>
  <si>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</si>
  <si>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</si>
  <si>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</si>
  <si>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</si>
  <si>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</si>
  <si>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</si>
  <si>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</si>
  <si>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</si>
  <si>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</si>
  <si>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</si>
  <si>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</si>
  <si>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</si>
  <si>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</si>
  <si>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</si>
  <si>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</si>
  <si>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</si>
  <si>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</si>
  <si>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</si>
  <si>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</si>
  <si>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</si>
  <si>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</si>
  <si>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</si>
  <si>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</si>
  <si>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</si>
  <si>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</si>
  <si>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</si>
  <si>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</si>
  <si>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</si>
  <si>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</si>
  <si>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</si>
  <si>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</si>
  <si>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</si>
  <si>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</si>
  <si>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</si>
  <si>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</si>
  <si>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</si>
  <si>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</si>
  <si>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</si>
  <si>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</si>
  <si>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</si>
  <si>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</si>
  <si>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</si>
  <si>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</si>
  <si>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</si>
  <si>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</si>
  <si>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</si>
  <si>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</si>
  <si>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</si>
  <si>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</si>
  <si>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</si>
  <si>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</si>
  <si>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</si>
  <si>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</si>
  <si>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</si>
  <si>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</si>
  <si>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</si>
  <si>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</si>
  <si>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</si>
  <si>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</si>
  <si>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</si>
  <si>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</si>
  <si>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</si>
  <si>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</si>
  <si>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</si>
  <si>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</si>
  <si>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</si>
  <si>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</si>
  <si>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</si>
  <si>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</si>
  <si>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</si>
  <si>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</si>
  <si>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</si>
  <si>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</si>
  <si>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</si>
  <si>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</si>
  <si>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</si>
  <si>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</si>
  <si>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</si>
  <si>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</si>
  <si>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</si>
  <si>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</si>
  <si>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</si>
  <si>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</si>
  <si>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</si>
  <si>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</si>
  <si>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</si>
  <si>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</si>
  <si>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</si>
  <si>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</si>
  <si>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</si>
  <si>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</si>
  <si>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</si>
  <si>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</si>
  <si>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</si>
  <si>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</si>
  <si>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</si>
  <si>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</si>
  <si>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</si>
  <si>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</si>
  <si>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</si>
  <si>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</si>
  <si>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</si>
  <si>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</si>
  <si>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</si>
  <si>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</si>
  <si>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</si>
  <si>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</si>
  <si>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</si>
  <si>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</si>
  <si>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</si>
  <si>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</si>
  <si>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</si>
  <si>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</si>
  <si>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</si>
  <si>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</si>
  <si>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</si>
  <si>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</si>
  <si>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</si>
  <si>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</si>
  <si>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</si>
  <si>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</si>
  <si>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</si>
  <si>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</si>
  <si>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</si>
  <si>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</si>
  <si>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</si>
  <si>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</si>
  <si>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</si>
  <si>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</si>
  <si>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</si>
  <si>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</si>
  <si>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</si>
  <si>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</si>
  <si>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</si>
  <si>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</si>
  <si>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</si>
  <si>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</si>
  <si>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</si>
  <si>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</si>
  <si>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</si>
  <si>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</si>
  <si>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</si>
  <si>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</si>
  <si>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</si>
  <si>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</si>
  <si>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</si>
  <si>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</si>
  <si>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</si>
  <si>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</si>
  <si>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</si>
  <si>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</si>
  <si>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</si>
  <si>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</si>
  <si>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</si>
  <si>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</si>
  <si>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</si>
  <si>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</si>
  <si>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</si>
  <si>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</si>
  <si>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</si>
  <si>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</si>
  <si>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</si>
  <si>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</si>
  <si>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</si>
  <si>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</si>
  <si>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</si>
  <si>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</si>
  <si>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</si>
  <si>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</si>
  <si>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</si>
  <si>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</si>
  <si>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</si>
  <si>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</si>
  <si>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</si>
  <si>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</si>
  <si>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</si>
  <si>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</si>
  <si>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</si>
  <si>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</si>
  <si>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</si>
  <si>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</si>
  <si>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</si>
  <si>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</si>
  <si>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</si>
  <si>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</si>
  <si>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</si>
  <si>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</si>
  <si>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</si>
  <si>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</si>
  <si>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</si>
  <si>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</si>
  <si>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</si>
  <si>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</si>
  <si>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</si>
  <si>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</si>
  <si>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</si>
  <si>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</si>
  <si>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</si>
  <si>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</si>
  <si>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</si>
  <si>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</si>
  <si>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</si>
  <si>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</si>
  <si>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</si>
  <si>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</si>
  <si>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</si>
  <si>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</si>
  <si>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</si>
  <si>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</si>
  <si>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</si>
  <si>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</si>
  <si>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</si>
  <si>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</si>
  <si>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</si>
  <si>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</si>
  <si>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</si>
  <si>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</si>
  <si>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</si>
  <si>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</si>
  <si>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</si>
  <si>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</si>
  <si>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</si>
  <si>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</si>
  <si>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</si>
  <si>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</si>
  <si>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</si>
  <si>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</si>
  <si>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</si>
  <si>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</si>
  <si>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</si>
  <si>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</si>
  <si>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</si>
  <si>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</si>
  <si>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</si>
  <si>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</si>
  <si>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</si>
  <si>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</si>
  <si>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</si>
  <si>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</si>
  <si>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</si>
  <si>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</si>
  <si>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</si>
  <si>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</si>
  <si>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</si>
  <si>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</si>
  <si>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</si>
  <si>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</si>
  <si>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</si>
  <si>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</si>
  <si>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</si>
  <si>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</si>
  <si>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</si>
  <si>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</si>
  <si>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</si>
  <si>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</si>
  <si>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</si>
  <si>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</si>
  <si>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</si>
  <si>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</si>
  <si>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</si>
  <si>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</si>
  <si>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</si>
  <si>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</si>
  <si>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</si>
  <si>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</si>
  <si>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</si>
  <si>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</si>
  <si>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</si>
  <si>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</si>
  <si>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</si>
  <si>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</si>
  <si>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</si>
  <si>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</si>
  <si>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</si>
  <si>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</si>
  <si>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</si>
  <si>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</si>
  <si>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</si>
  <si>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</si>
  <si>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</si>
  <si>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</si>
  <si>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</si>
  <si>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</si>
  <si>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</si>
  <si>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</si>
  <si>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</si>
  <si>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</si>
  <si>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</si>
  <si>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</si>
  <si>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</si>
  <si>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</si>
  <si>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</si>
  <si>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</si>
  <si>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</si>
  <si>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</si>
  <si>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</si>
  <si>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</si>
  <si>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</si>
  <si>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</si>
  <si>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</si>
  <si>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</si>
  <si>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</si>
  <si>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</si>
  <si>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</si>
  <si>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</si>
  <si>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</si>
  <si>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</si>
  <si>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</si>
  <si>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</si>
  <si>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</si>
  <si>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</si>
  <si>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</si>
  <si>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</si>
  <si>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</si>
  <si>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</si>
  <si>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</si>
  <si>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</si>
  <si>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</si>
  <si>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</si>
  <si>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</si>
  <si>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</si>
  <si>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</si>
  <si>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</si>
  <si>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</si>
  <si>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</si>
  <si>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</si>
  <si>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</si>
  <si>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</si>
  <si>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</si>
  <si>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</si>
  <si>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</si>
  <si>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</si>
  <si>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</si>
  <si>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</si>
  <si>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</si>
  <si>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</si>
  <si>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</si>
  <si>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</si>
  <si>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</si>
  <si>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</si>
  <si>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</si>
  <si>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</si>
  <si>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</si>
  <si>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</si>
  <si>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</si>
  <si>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</si>
  <si>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</si>
  <si>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</si>
  <si>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</si>
  <si>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</si>
  <si>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</si>
  <si>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</si>
  <si>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</si>
  <si>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</si>
  <si>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</si>
  <si>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</si>
  <si>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</si>
  <si>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</si>
  <si>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</si>
  <si>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</si>
  <si>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</si>
  <si>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</si>
  <si>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</si>
  <si>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</si>
  <si>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</si>
  <si>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</si>
  <si>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</si>
  <si>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</si>
  <si>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</si>
  <si>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</si>
  <si>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</si>
  <si>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</si>
  <si>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</si>
  <si>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</si>
  <si>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</si>
  <si>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</si>
  <si>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</si>
  <si>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</si>
  <si>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</si>
  <si>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</si>
  <si>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</si>
  <si>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</si>
  <si>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</si>
  <si>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</si>
  <si>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</si>
  <si>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</si>
  <si>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</si>
  <si>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</si>
  <si>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</si>
  <si>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</si>
  <si>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</si>
  <si>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</si>
  <si>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</si>
  <si>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</si>
  <si>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</si>
  <si>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</si>
  <si>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</si>
  <si>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</si>
  <si>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</si>
  <si>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</si>
  <si>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</si>
  <si>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</si>
  <si>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</si>
  <si>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</si>
  <si>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</si>
  <si>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</si>
  <si>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</si>
  <si>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</si>
  <si>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</si>
  <si>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</si>
  <si>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</si>
  <si>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</si>
  <si>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</si>
  <si>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</si>
  <si>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</si>
  <si>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</si>
  <si>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</si>
  <si>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</si>
  <si>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</si>
  <si>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</si>
  <si>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</si>
  <si>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</si>
  <si>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</si>
  <si>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</si>
  <si>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</si>
  <si>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</si>
  <si>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</si>
  <si>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</si>
  <si>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</si>
  <si>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</si>
  <si>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</si>
  <si>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</si>
  <si>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</si>
  <si>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</si>
  <si>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</si>
  <si>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</si>
  <si>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</si>
  <si>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</si>
  <si>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</si>
  <si>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</si>
  <si>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</si>
  <si>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</si>
  <si>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</si>
  <si>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</si>
  <si>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</si>
  <si>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</si>
  <si>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</si>
  <si>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</si>
  <si>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</si>
  <si>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</si>
  <si>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</si>
  <si>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</si>
  <si>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</si>
  <si>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</si>
  <si>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</si>
  <si>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</si>
  <si>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</si>
  <si>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</si>
  <si>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</si>
  <si>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</si>
  <si>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</si>
  <si>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</si>
  <si>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</si>
  <si>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</si>
  <si>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</si>
  <si>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</si>
  <si>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</si>
  <si>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</si>
  <si>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</si>
  <si>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</si>
  <si>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</si>
  <si>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</si>
  <si>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</si>
  <si>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</si>
  <si>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</si>
  <si>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</si>
  <si>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</si>
  <si>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</si>
  <si>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</si>
  <si>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</si>
  <si>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</si>
  <si>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</si>
  <si>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</si>
  <si>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</si>
  <si>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</si>
  <si>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</si>
  <si>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</si>
  <si>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</si>
  <si>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</si>
  <si>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</si>
  <si>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</si>
  <si>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</si>
  <si>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</si>
  <si>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</si>
  <si>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</si>
  <si>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</si>
  <si>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</si>
  <si>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</si>
  <si>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</si>
  <si>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</si>
  <si>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</si>
  <si>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</si>
  <si>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</si>
  <si>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</si>
  <si>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</si>
  <si>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</si>
  <si>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</si>
  <si>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</si>
  <si>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</si>
  <si>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</si>
  <si>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</si>
  <si>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</si>
  <si>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</si>
  <si>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</si>
  <si>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</si>
  <si>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</si>
  <si>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</si>
  <si>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</si>
  <si>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</si>
  <si>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</si>
  <si>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</si>
  <si>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</si>
  <si>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</si>
  <si>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</si>
  <si>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</si>
  <si>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</si>
  <si>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</si>
  <si>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</si>
  <si>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</si>
  <si>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</si>
  <si>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</si>
  <si>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</si>
  <si>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</si>
  <si>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</si>
  <si>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</si>
  <si>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</si>
  <si>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</si>
  <si>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</si>
  <si>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</si>
  <si>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</si>
  <si>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</si>
  <si>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</si>
  <si>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</si>
  <si>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</si>
  <si>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</si>
  <si>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</si>
  <si>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</si>
  <si>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</si>
  <si>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</si>
  <si>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</si>
  <si>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</si>
  <si>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</si>
  <si>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</si>
  <si>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</si>
  <si>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</si>
  <si>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</si>
  <si>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</si>
  <si>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</si>
  <si>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</si>
  <si>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</si>
  <si>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</si>
  <si>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</si>
  <si>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</si>
  <si>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</si>
  <si>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</si>
  <si>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</si>
  <si>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</si>
  <si>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</si>
  <si>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</si>
  <si>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</si>
  <si>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</si>
  <si>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</si>
  <si>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</si>
  <si>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</si>
  <si>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</si>
  <si>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</si>
  <si>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</si>
  <si>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</si>
  <si>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</si>
  <si>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</si>
  <si>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</si>
  <si>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</si>
  <si>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</si>
  <si>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</si>
  <si>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</si>
  <si>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</si>
  <si>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</si>
  <si>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</si>
  <si>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</si>
  <si>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</si>
  <si>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</si>
  <si>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</si>
  <si>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</si>
  <si>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</si>
  <si>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</si>
  <si>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</si>
  <si>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</si>
  <si>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</si>
  <si>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</si>
  <si>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</si>
  <si>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</si>
  <si>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</si>
  <si>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</si>
  <si>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</si>
  <si>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</si>
  <si>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</si>
  <si>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</si>
  <si>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</si>
  <si>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</si>
  <si>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</si>
  <si>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</si>
  <si>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</si>
  <si>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</si>
  <si>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</si>
  <si>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</si>
  <si>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</si>
  <si>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</si>
  <si>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</si>
  <si>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</si>
  <si>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</si>
  <si>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</si>
  <si>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</si>
  <si>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</si>
  <si>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</si>
  <si>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</si>
  <si>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</si>
  <si>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</si>
  <si>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</si>
  <si>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</si>
  <si>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</si>
  <si>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</si>
  <si>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</si>
  <si>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</si>
  <si>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</si>
  <si>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</si>
  <si>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</si>
  <si>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</si>
  <si>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</si>
  <si>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</si>
  <si>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</si>
  <si>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</si>
  <si>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</si>
  <si>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</si>
  <si>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</si>
  <si>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</si>
  <si>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</si>
  <si>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</si>
  <si>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</si>
  <si>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</si>
  <si>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</si>
  <si>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</si>
  <si>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</si>
  <si>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</si>
  <si>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</si>
  <si>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</si>
  <si>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</si>
  <si>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</si>
  <si>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</si>
  <si>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</si>
  <si>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</si>
  <si>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</si>
  <si>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</si>
  <si>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</si>
  <si>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</si>
  <si>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</si>
  <si>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</si>
  <si>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</si>
  <si>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</si>
  <si>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</si>
  <si>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</si>
  <si>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</si>
  <si>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</si>
  <si>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</si>
  <si>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</si>
  <si>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</si>
  <si>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</si>
  <si>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</si>
  <si>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</si>
  <si>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</si>
  <si>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</si>
  <si>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</si>
  <si>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</si>
  <si>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</si>
  <si>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</si>
  <si>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</si>
  <si>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</si>
  <si>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</si>
  <si>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</si>
  <si>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</si>
  <si>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</si>
  <si>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</si>
  <si>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</si>
  <si>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</si>
  <si>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</si>
  <si>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</si>
  <si>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</si>
  <si>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</si>
  <si>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</si>
  <si>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</si>
  <si>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</si>
  <si>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</si>
  <si>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</si>
  <si>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</si>
  <si>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</si>
  <si>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</si>
  <si>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</si>
  <si>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</si>
  <si>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</si>
  <si>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</si>
  <si>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</si>
  <si>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</si>
  <si>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</si>
  <si>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</si>
  <si>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</si>
  <si>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</si>
  <si>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</si>
  <si>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</si>
  <si>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</si>
  <si>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</si>
  <si>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</si>
  <si>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</si>
  <si>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</si>
  <si>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</si>
  <si>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</si>
  <si>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</si>
  <si>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</si>
  <si>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</si>
  <si>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</si>
  <si>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</si>
  <si>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</si>
  <si>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</si>
  <si>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</si>
  <si>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</si>
  <si>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</si>
  <si>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</si>
  <si>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</si>
  <si>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</si>
  <si>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</si>
  <si>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</si>
  <si>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</si>
  <si>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</si>
  <si>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</si>
  <si>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</si>
  <si>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</si>
  <si>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</si>
  <si>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</si>
  <si>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</si>
  <si>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</si>
  <si>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</si>
  <si>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</si>
  <si>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</si>
  <si>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</si>
  <si>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</si>
  <si>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</si>
  <si>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</si>
  <si>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</si>
  <si>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</si>
  <si>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</si>
  <si>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</si>
  <si>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</si>
  <si>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</si>
  <si>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</si>
  <si>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</si>
  <si>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</si>
  <si>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</si>
  <si>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</si>
  <si>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</si>
  <si>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</si>
  <si>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</si>
  <si>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</si>
  <si>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</si>
  <si>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</si>
  <si>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</si>
  <si>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</si>
  <si>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</si>
  <si>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</si>
  <si>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</si>
  <si>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</si>
  <si>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</si>
  <si>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</si>
  <si>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</si>
  <si>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</si>
  <si>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</si>
  <si>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</si>
  <si>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</si>
  <si>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</si>
  <si>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</si>
  <si>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</si>
  <si>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</si>
  <si>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</si>
  <si>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</si>
  <si>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</si>
  <si>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</si>
  <si>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</si>
  <si>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</si>
  <si>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</si>
  <si>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</si>
  <si>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</si>
  <si>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</si>
  <si>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</si>
  <si>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</si>
  <si>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</si>
  <si>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</si>
  <si>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</si>
  <si>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</si>
  <si>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</si>
  <si>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</si>
  <si>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</si>
  <si>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</si>
  <si>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</si>
  <si>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</si>
  <si>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</si>
  <si>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</si>
  <si>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</si>
  <si>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</si>
  <si>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</si>
  <si>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</si>
  <si>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</si>
  <si>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</si>
  <si>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</si>
  <si>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</si>
  <si>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</si>
  <si>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</si>
  <si>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</si>
  <si>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</si>
  <si>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</si>
  <si>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</si>
  <si>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</si>
  <si>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</si>
  <si>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</si>
  <si>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</si>
  <si>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</si>
  <si>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</si>
  <si>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</si>
  <si>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</si>
  <si>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</si>
  <si>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</si>
  <si>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</si>
  <si>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</si>
  <si>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</si>
  <si>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</si>
  <si>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</si>
  <si>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</si>
  <si>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</si>
  <si>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</si>
  <si>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</si>
  <si>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</si>
  <si>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</si>
  <si>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</si>
  <si>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</si>
  <si>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</si>
  <si>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</si>
  <si>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</si>
  <si>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</si>
  <si>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</si>
  <si>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</si>
  <si>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</si>
  <si>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</si>
  <si>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</si>
  <si>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</si>
  <si>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</si>
  <si>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</si>
  <si>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</si>
  <si>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</si>
  <si>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</si>
  <si>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</si>
  <si>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</si>
  <si>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</si>
  <si>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</si>
  <si>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</si>
  <si>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</si>
  <si>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</si>
  <si>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</si>
  <si>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</si>
  <si>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</si>
  <si>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</si>
  <si>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</si>
  <si>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</si>
  <si>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</si>
  <si>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</si>
  <si>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</si>
  <si>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</si>
  <si>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</si>
  <si>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</si>
  <si>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</si>
  <si>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</si>
  <si>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</si>
  <si>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</si>
  <si>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</si>
  <si>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</si>
  <si>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</si>
  <si>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</si>
  <si>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</si>
  <si>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</si>
  <si>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</si>
  <si>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</si>
  <si>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</si>
  <si>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</si>
  <si>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</si>
  <si>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</si>
  <si>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</si>
  <si>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</si>
  <si>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</si>
  <si>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</si>
  <si>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</si>
  <si>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</si>
  <si>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</si>
  <si>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</si>
  <si>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</si>
  <si>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</si>
  <si>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</si>
  <si>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</si>
  <si>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</si>
  <si>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</si>
  <si>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</si>
  <si>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</si>
  <si>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</si>
  <si>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</si>
  <si>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</si>
  <si>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</si>
  <si>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</si>
  <si>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</si>
  <si>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</si>
  <si>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</si>
  <si>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</si>
  <si>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</si>
  <si>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</si>
  <si>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</si>
  <si>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</si>
  <si>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</si>
  <si>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</si>
  <si>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</si>
  <si>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</si>
  <si>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</si>
  <si>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</si>
  <si>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</si>
  <si>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</si>
  <si>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</si>
  <si>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</si>
  <si>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</si>
  <si>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</si>
  <si>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</si>
  <si>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</si>
  <si>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</si>
  <si>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</si>
  <si>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</si>
  <si>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</si>
  <si>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</si>
  <si>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</si>
  <si>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</si>
  <si>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</si>
  <si>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</si>
  <si>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</si>
  <si>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</si>
  <si>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</si>
  <si>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</si>
  <si>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</si>
  <si>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</si>
  <si>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</si>
  <si>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</si>
  <si>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</si>
  <si>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</si>
  <si>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</si>
  <si>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</si>
  <si>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</si>
  <si>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</si>
  <si>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</si>
  <si>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</si>
  <si>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</si>
  <si>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</si>
  <si>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</si>
  <si>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</si>
  <si>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</si>
  <si>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</si>
  <si>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</si>
  <si>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</si>
  <si>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</si>
  <si>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</si>
  <si>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</si>
  <si>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</si>
  <si>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</si>
  <si>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</si>
  <si>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</si>
  <si>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</si>
  <si>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</si>
  <si>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</si>
  <si>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</si>
  <si>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</si>
  <si>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</si>
  <si>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</si>
  <si>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</si>
  <si>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</si>
  <si>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</si>
  <si>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</si>
  <si>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</si>
  <si>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</si>
  <si>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</si>
  <si>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</si>
  <si>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</si>
  <si>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</si>
  <si>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</si>
  <si>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</si>
  <si>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</si>
  <si>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</si>
  <si>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</si>
  <si>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</si>
  <si>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</si>
  <si>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</si>
  <si>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</si>
  <si>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</si>
  <si>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</si>
  <si>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</si>
  <si>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</si>
  <si>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</si>
  <si>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</si>
  <si>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</si>
  <si>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</si>
  <si>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</si>
  <si>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</si>
  <si>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</si>
  <si>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</si>
  <si>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</si>
  <si>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</si>
  <si>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</si>
  <si>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</si>
  <si>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</si>
  <si>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</si>
  <si>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</si>
  <si>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</si>
  <si>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</si>
  <si>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</si>
  <si>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</si>
  <si>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</si>
  <si>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</si>
  <si>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</si>
  <si>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</si>
  <si>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</si>
  <si>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</si>
  <si>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</si>
  <si>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</si>
  <si>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</si>
  <si>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</si>
  <si>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</si>
  <si>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</si>
  <si>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</si>
  <si>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</si>
  <si>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</si>
  <si>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</si>
  <si>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</si>
  <si>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</si>
  <si>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</si>
  <si>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</si>
  <si>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</si>
  <si>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</si>
  <si>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</si>
  <si>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</si>
  <si>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</si>
  <si>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</si>
  <si>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</si>
  <si>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</si>
  <si>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</si>
  <si>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</si>
  <si>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</si>
  <si>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</si>
  <si>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</si>
  <si>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</si>
  <si>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</si>
  <si>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</si>
  <si>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</si>
  <si>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</si>
  <si>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</si>
  <si>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</si>
  <si>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</si>
  <si>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</si>
  <si>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</si>
  <si>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</si>
  <si>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</si>
  <si>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</si>
  <si>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</si>
  <si>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</si>
  <si>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</si>
  <si>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</si>
  <si>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</si>
  <si>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</si>
  <si>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</si>
  <si>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</si>
  <si>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</si>
  <si>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</si>
  <si>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</si>
  <si>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</si>
  <si>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</si>
  <si>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</si>
  <si>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</si>
  <si>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</si>
  <si>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</si>
  <si>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</si>
  <si>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</si>
  <si>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</si>
  <si>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</si>
  <si>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</si>
  <si>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</si>
  <si>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</si>
  <si>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</si>
  <si>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</si>
  <si>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</si>
  <si>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</si>
  <si>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</si>
  <si>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</si>
  <si>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</si>
  <si>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</si>
  <si>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</si>
  <si>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</si>
  <si>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</si>
  <si>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</si>
  <si>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</si>
  <si>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</si>
  <si>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</si>
  <si>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</si>
  <si>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</si>
  <si>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</si>
  <si>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</si>
  <si>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</si>
  <si>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</si>
  <si>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</si>
  <si>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</si>
  <si>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</si>
  <si>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</si>
  <si>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</si>
  <si>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</si>
  <si>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</si>
  <si>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</si>
  <si>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</si>
  <si>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</si>
  <si>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</si>
  <si>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</si>
  <si>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</si>
  <si>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</si>
  <si>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</si>
  <si>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</si>
  <si>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</si>
  <si>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</si>
  <si>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</si>
  <si>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</si>
  <si>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</si>
  <si>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</si>
  <si>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</si>
  <si>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</si>
  <si>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</si>
  <si>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</si>
  <si>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</si>
  <si>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</si>
  <si>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</si>
  <si>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</si>
  <si>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</si>
  <si>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</si>
  <si>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</si>
  <si>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</si>
  <si>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</si>
  <si>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</si>
  <si>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</si>
  <si>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</si>
  <si>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</si>
  <si>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</si>
  <si>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</si>
  <si>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</si>
  <si>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</si>
  <si>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</si>
  <si>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</si>
  <si>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</si>
  <si>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</si>
  <si>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</si>
  <si>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</si>
  <si>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</si>
  <si>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</si>
  <si>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</si>
  <si>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</si>
  <si>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</si>
  <si>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</si>
  <si>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</si>
  <si>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</si>
  <si>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</si>
  <si>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</si>
  <si>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</si>
  <si>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</si>
  <si>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</si>
  <si>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</si>
  <si>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</si>
  <si>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</si>
  <si>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</si>
  <si>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</si>
  <si>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</si>
  <si>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</si>
  <si>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</si>
  <si>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</si>
  <si>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</si>
  <si>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</si>
  <si>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</si>
  <si>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</si>
  <si>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</si>
  <si>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</si>
  <si>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</si>
  <si>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</si>
  <si>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</si>
  <si>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</si>
  <si>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</si>
  <si>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</si>
  <si>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</si>
  <si>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</si>
  <si>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</si>
  <si>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</si>
  <si>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</si>
  <si>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</si>
  <si>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</si>
  <si>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</si>
  <si>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</si>
  <si>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</si>
  <si>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</si>
  <si>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</si>
  <si>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</si>
  <si>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</si>
  <si>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</si>
  <si>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</si>
  <si>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</si>
  <si>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</si>
  <si>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</si>
  <si>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</si>
  <si>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</si>
  <si>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</si>
  <si>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</si>
  <si>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</si>
  <si>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</si>
  <si>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</si>
  <si>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</si>
  <si>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</si>
  <si>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</si>
  <si>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</si>
  <si>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</si>
  <si>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</si>
  <si>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</si>
  <si>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</si>
  <si>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</si>
  <si>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</si>
  <si>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</si>
  <si>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</si>
  <si>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</si>
  <si>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</si>
  <si>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</si>
  <si>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</si>
  <si>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</si>
  <si>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</si>
  <si>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</si>
  <si>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</si>
  <si>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</si>
  <si>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</si>
  <si>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</si>
  <si>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</si>
  <si>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</si>
  <si>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</si>
  <si>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</si>
  <si>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</si>
  <si>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</si>
  <si>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</si>
  <si>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</si>
  <si>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</si>
  <si>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</si>
  <si>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</si>
  <si>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</si>
  <si>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</si>
  <si>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</si>
  <si>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</si>
  <si>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</si>
  <si>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</si>
  <si>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</si>
  <si>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</si>
  <si>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</si>
  <si>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</si>
  <si>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</si>
  <si>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</si>
  <si>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</si>
  <si>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</si>
  <si>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</si>
  <si>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</si>
  <si>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</si>
  <si>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</si>
  <si>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</si>
  <si>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</si>
  <si>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</si>
  <si>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</si>
  <si>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</si>
  <si>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</si>
  <si>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</si>
  <si>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</si>
  <si>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</si>
  <si>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</si>
  <si>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</si>
  <si>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</si>
  <si>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</si>
  <si>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</si>
  <si>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</si>
  <si>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</si>
  <si>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</si>
  <si>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</si>
  <si>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</si>
  <si>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</si>
  <si>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</si>
  <si>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</si>
  <si>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</si>
  <si>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</si>
  <si>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</si>
  <si>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</si>
  <si>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</si>
  <si>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</si>
  <si>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</si>
  <si>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</si>
  <si>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</si>
  <si>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</si>
  <si>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</si>
  <si>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</si>
  <si>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</si>
  <si>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</si>
  <si>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</si>
  <si>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</si>
  <si>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</si>
  <si>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</si>
  <si>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</si>
  <si>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</si>
  <si>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</si>
  <si>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</si>
  <si>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</si>
  <si>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</si>
  <si>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</si>
  <si>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</si>
  <si>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</si>
  <si>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</si>
  <si>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</si>
  <si>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</si>
  <si>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</si>
  <si>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</si>
  <si>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</si>
  <si>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</si>
  <si>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</si>
  <si>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</si>
  <si>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</si>
  <si>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</si>
  <si>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</si>
  <si>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</si>
  <si>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</si>
  <si>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</si>
  <si>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</si>
  <si>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</si>
  <si>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</si>
  <si>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</si>
  <si>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</si>
  <si>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</si>
  <si>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</si>
  <si>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</si>
  <si>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</si>
  <si>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</si>
  <si>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</si>
  <si>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</si>
  <si>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</si>
  <si>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</si>
  <si>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</si>
  <si>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</si>
  <si>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</si>
  <si>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</si>
  <si>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</si>
  <si>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</si>
  <si>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</si>
  <si>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</si>
  <si>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</si>
  <si>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</si>
  <si>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</si>
  <si>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</si>
  <si>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</si>
  <si>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</si>
  <si>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</si>
  <si>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</si>
  <si>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</si>
  <si>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</si>
  <si>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</si>
  <si>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</si>
  <si>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</si>
  <si>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</si>
  <si>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</si>
  <si>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</si>
  <si>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</si>
  <si>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</si>
  <si>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</si>
  <si>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</si>
  <si>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</si>
  <si>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</si>
  <si>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</si>
  <si>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</si>
  <si>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</si>
  <si>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</si>
  <si>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</si>
  <si>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</si>
  <si>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</si>
  <si>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</si>
  <si>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</si>
  <si>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</si>
  <si>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</si>
  <si>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</si>
  <si>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</si>
  <si>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</si>
  <si>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</si>
  <si>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</si>
  <si>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</si>
  <si>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</si>
  <si>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</si>
  <si>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</si>
  <si>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</si>
  <si>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</si>
  <si>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</si>
  <si>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</si>
  <si>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</si>
  <si>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</si>
  <si>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</si>
  <si>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</si>
  <si>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</si>
  <si>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</si>
  <si>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</si>
  <si>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</si>
  <si>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</si>
  <si>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</si>
  <si>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</si>
  <si>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</si>
  <si>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</si>
  <si>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</si>
  <si>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</si>
  <si>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</si>
  <si>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</si>
  <si>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</si>
  <si>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</si>
  <si>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</si>
  <si>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</si>
  <si>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</si>
  <si>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</si>
  <si>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</si>
  <si>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</si>
  <si>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</si>
  <si>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</si>
  <si>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</si>
  <si>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</si>
  <si>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</si>
  <si>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</si>
  <si>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</si>
  <si>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</si>
  <si>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</si>
  <si>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</si>
  <si>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</si>
  <si>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</si>
  <si>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</si>
  <si>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</si>
  <si>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</si>
  <si>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</si>
  <si>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</si>
  <si>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</si>
  <si>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</si>
  <si>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</si>
  <si>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</si>
  <si>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</si>
  <si>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</si>
  <si>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</si>
  <si>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</si>
  <si>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</si>
  <si>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</si>
  <si>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</si>
  <si>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</si>
  <si>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</si>
  <si>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</si>
  <si>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</si>
  <si>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</si>
  <si>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</si>
  <si>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</si>
  <si>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</si>
  <si>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</si>
  <si>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</si>
  <si>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</si>
  <si>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</si>
  <si>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</si>
  <si>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</si>
  <si>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</si>
  <si>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</si>
  <si>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</si>
  <si>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</si>
  <si>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</si>
  <si>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</si>
  <si>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</si>
  <si>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</si>
  <si>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</si>
  <si>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</si>
  <si>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</si>
  <si>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</si>
  <si>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</si>
  <si>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</si>
  <si>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</si>
  <si>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</si>
  <si>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</si>
  <si>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</si>
  <si>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</si>
  <si>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</si>
  <si>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</si>
  <si>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</si>
  <si>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</si>
  <si>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</si>
  <si>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</si>
  <si>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</si>
  <si>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</si>
  <si>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</si>
  <si>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</si>
  <si>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</si>
  <si>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</si>
  <si>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</si>
  <si>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</si>
  <si>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</si>
  <si>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</si>
  <si>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</si>
  <si>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</si>
  <si>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</si>
  <si>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</si>
  <si>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</si>
  <si>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</si>
  <si>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</si>
  <si>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</si>
  <si>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</si>
  <si>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</si>
  <si>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</si>
  <si>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</si>
  <si>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</si>
  <si>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</si>
  <si>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</si>
  <si>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</si>
  <si>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</si>
  <si>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</si>
  <si>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</si>
  <si>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</si>
  <si>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</si>
  <si>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</si>
  <si>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</si>
  <si>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</si>
  <si>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</si>
  <si>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</si>
  <si>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</si>
  <si>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</si>
  <si>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</si>
  <si>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</si>
  <si>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</si>
  <si>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</si>
  <si>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</si>
  <si>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</si>
  <si>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</si>
  <si>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</si>
  <si>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</si>
  <si>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</si>
  <si>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</si>
  <si>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</si>
  <si>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</si>
  <si>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</si>
  <si>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</si>
  <si>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</si>
  <si>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</si>
  <si>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</si>
  <si>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</si>
  <si>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</si>
  <si>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</si>
  <si>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</si>
  <si>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</si>
  <si>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</si>
  <si>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</si>
  <si>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</si>
  <si>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</si>
  <si>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</si>
  <si>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</si>
  <si>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</si>
  <si>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</si>
  <si>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</si>
  <si>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</si>
  <si>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</si>
  <si>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</si>
  <si>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</si>
  <si>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</si>
  <si>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</si>
  <si>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</si>
  <si>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</si>
  <si>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</si>
  <si>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</si>
  <si>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</si>
  <si>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</si>
  <si>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</si>
  <si>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</si>
  <si>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</si>
  <si>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</si>
  <si>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</si>
  <si>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</si>
  <si>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</si>
  <si>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</si>
  <si>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</si>
  <si>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</si>
  <si>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</si>
  <si>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</si>
  <si>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</si>
  <si>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</si>
  <si>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</si>
  <si>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</si>
  <si>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</si>
  <si>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</si>
  <si>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</si>
  <si>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</si>
  <si>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</si>
  <si>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</si>
  <si>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</si>
  <si>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</si>
  <si>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</si>
  <si>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</si>
  <si>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</si>
  <si>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</si>
  <si>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</si>
  <si>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</si>
  <si>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</si>
  <si>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</si>
  <si>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</si>
  <si>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</si>
  <si>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</si>
  <si>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</si>
  <si>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</si>
  <si>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</si>
  <si>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</si>
  <si>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</si>
  <si>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</si>
  <si>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</si>
  <si>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</si>
  <si>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</si>
  <si>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</si>
  <si>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</si>
  <si>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</si>
  <si>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</si>
  <si>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</si>
  <si>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</si>
  <si>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</si>
  <si>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</si>
  <si>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</si>
  <si>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</si>
  <si>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</si>
  <si>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</si>
  <si>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</si>
  <si>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</si>
  <si>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</si>
  <si>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</si>
  <si>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</si>
  <si>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</si>
  <si>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</si>
  <si>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</si>
  <si>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</si>
  <si>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</si>
  <si>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</si>
  <si>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</si>
  <si>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</si>
  <si>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</si>
  <si>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</si>
  <si>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</si>
  <si>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</si>
  <si>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</si>
  <si>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</si>
  <si>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</si>
  <si>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</si>
  <si>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</si>
  <si>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</si>
  <si>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</si>
  <si>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</si>
  <si>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</si>
  <si>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</si>
  <si>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</si>
  <si>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</si>
  <si>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</si>
  <si>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</si>
  <si>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</si>
  <si>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</si>
  <si>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</si>
  <si>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</si>
  <si>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</si>
  <si>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</si>
  <si>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</si>
  <si>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</si>
  <si>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</si>
  <si>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</si>
  <si>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</si>
  <si>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</si>
  <si>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</si>
  <si>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</si>
  <si>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</si>
  <si>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</si>
  <si>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</si>
  <si>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</si>
  <si>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</si>
  <si>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</si>
  <si>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</si>
  <si>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</si>
  <si>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</si>
  <si>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</si>
  <si>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</si>
  <si>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</si>
  <si>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</si>
  <si>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</si>
  <si>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</si>
  <si>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</si>
  <si>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</si>
  <si>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</si>
  <si>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</si>
  <si>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</si>
  <si>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</si>
  <si>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</si>
  <si>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</si>
  <si>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</si>
  <si>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</si>
  <si>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</si>
  <si>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</si>
  <si>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</si>
  <si>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</si>
  <si>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</si>
  <si>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</si>
  <si>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</si>
  <si>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</si>
  <si>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</si>
  <si>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</si>
  <si>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</si>
  <si>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</si>
  <si>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</si>
  <si>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</si>
  <si>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</si>
  <si>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</si>
  <si>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</si>
  <si>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</si>
  <si>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</si>
  <si>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</si>
  <si>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</si>
  <si>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</si>
  <si>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</si>
  <si>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</si>
  <si>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</si>
  <si>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</si>
  <si>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</si>
  <si>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</si>
  <si>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</si>
  <si>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</si>
  <si>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</si>
  <si>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</si>
  <si>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</si>
  <si>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</si>
  <si>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</si>
  <si>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</si>
  <si>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</si>
  <si>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</si>
  <si>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</si>
  <si>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</si>
  <si>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</si>
  <si>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</si>
  <si>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</si>
  <si>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</si>
  <si>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</si>
  <si>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</si>
  <si>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</si>
  <si>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</si>
  <si>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</si>
  <si>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</si>
  <si>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</si>
  <si>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</si>
  <si>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</si>
  <si>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</si>
  <si>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</si>
  <si>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</si>
  <si>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</si>
  <si>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</si>
  <si>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</si>
  <si>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</si>
  <si>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</si>
  <si>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</si>
  <si>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</si>
  <si>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</si>
  <si>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</si>
  <si>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</si>
  <si>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</si>
  <si>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</si>
  <si>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</si>
  <si>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</si>
  <si>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</si>
  <si>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</si>
  <si>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</si>
  <si>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</si>
  <si>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</si>
  <si>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</si>
  <si>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</si>
  <si>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</si>
  <si>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</si>
  <si>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</si>
  <si>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</si>
  <si>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</si>
  <si>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</si>
  <si>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</si>
  <si>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</si>
  <si>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</si>
  <si>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</si>
  <si>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</si>
  <si>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</si>
  <si>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</si>
  <si>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</si>
  <si>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</si>
  <si>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</si>
  <si>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</si>
  <si>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</si>
  <si>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</si>
  <si>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</si>
  <si>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</si>
  <si>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</si>
  <si>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</si>
  <si>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</si>
  <si>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</si>
  <si>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</si>
  <si>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</si>
  <si>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</si>
  <si>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</si>
  <si>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</si>
  <si>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</si>
  <si>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</si>
  <si>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</si>
  <si>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</si>
  <si>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</si>
  <si>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</si>
  <si>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</si>
  <si>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</si>
  <si>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</si>
  <si>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</si>
  <si>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</si>
  <si>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</si>
  <si>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</si>
  <si>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</si>
  <si>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</si>
  <si>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</si>
  <si>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</si>
  <si>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</si>
  <si>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</si>
  <si>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</si>
  <si>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</si>
  <si>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</si>
  <si>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</si>
  <si>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</si>
  <si>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</si>
  <si>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</si>
  <si>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</si>
  <si>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</si>
  <si>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</si>
  <si>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</si>
  <si>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</si>
  <si>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</si>
  <si>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</si>
  <si>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</si>
  <si>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</si>
  <si>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</si>
  <si>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</si>
  <si>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</si>
  <si>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</si>
  <si>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</si>
  <si>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</si>
  <si>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</si>
  <si>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</si>
  <si>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</si>
  <si>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</si>
  <si>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</si>
  <si>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</si>
  <si>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</si>
  <si>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</si>
  <si>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</si>
  <si>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</si>
  <si>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</si>
  <si>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</si>
  <si>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</si>
  <si>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</si>
  <si>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</si>
  <si>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</si>
  <si>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</si>
  <si>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</si>
  <si>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</si>
  <si>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</si>
  <si>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</si>
  <si>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</si>
  <si>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</si>
  <si>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</si>
  <si>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</si>
  <si>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</si>
  <si>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</si>
  <si>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</si>
  <si>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</si>
  <si>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</si>
  <si>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</si>
  <si>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</si>
  <si>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</si>
  <si>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</si>
  <si>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</si>
  <si>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</si>
  <si>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</si>
  <si>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</si>
  <si>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</si>
  <si>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</si>
  <si>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</si>
  <si>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</si>
  <si>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</si>
  <si>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</si>
  <si>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</si>
  <si>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</si>
  <si>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</si>
  <si>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</si>
  <si>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</si>
  <si>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</si>
  <si>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</si>
  <si>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</si>
  <si>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</si>
  <si>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</si>
  <si>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</si>
  <si>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</si>
  <si>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</si>
  <si>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</si>
  <si>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</si>
  <si>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</si>
  <si>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</si>
  <si>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</si>
  <si>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</si>
  <si>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</si>
  <si>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</si>
  <si>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</si>
  <si>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</si>
  <si>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</si>
  <si>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</si>
  <si>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</si>
  <si>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</si>
  <si>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</si>
  <si>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</si>
  <si>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</si>
  <si>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</si>
  <si>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</si>
  <si>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</si>
  <si>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</si>
  <si>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</si>
  <si>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</si>
  <si>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</si>
  <si>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</si>
  <si>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</si>
  <si>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</si>
  <si>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</si>
  <si>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</si>
  <si>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</si>
  <si>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</si>
  <si>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</si>
  <si>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</si>
  <si>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</si>
  <si>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</si>
  <si>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</si>
  <si>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</si>
  <si>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</si>
  <si>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</si>
  <si>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</si>
  <si>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</si>
  <si>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</si>
  <si>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</si>
  <si>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</si>
  <si>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</si>
  <si>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</si>
  <si>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</si>
  <si>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</si>
  <si>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</si>
  <si>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</si>
  <si>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</si>
  <si>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</si>
  <si>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</si>
  <si>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</si>
  <si>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</si>
  <si>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</si>
  <si>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</si>
  <si>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</si>
  <si>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</si>
  <si>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</si>
  <si>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</si>
  <si>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</si>
  <si>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</si>
  <si>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</si>
  <si>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</si>
  <si>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</si>
  <si>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</si>
  <si>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</si>
  <si>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</si>
  <si>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</si>
  <si>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</si>
  <si>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</si>
  <si>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</si>
  <si>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</si>
  <si>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</si>
  <si>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</si>
  <si>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</si>
  <si>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</si>
  <si>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</si>
  <si>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</si>
  <si>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</si>
  <si>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</si>
  <si>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</si>
  <si>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</si>
  <si>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</si>
  <si>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</si>
  <si>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</si>
  <si>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</si>
  <si>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</si>
  <si>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</si>
  <si>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</si>
  <si>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</si>
  <si>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</si>
  <si>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</si>
  <si>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</si>
  <si>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</si>
  <si>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</si>
  <si>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</si>
  <si>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</si>
  <si>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</si>
  <si>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</si>
  <si>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</si>
  <si>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</si>
  <si>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</si>
  <si>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</si>
  <si>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</si>
  <si>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</si>
  <si>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</si>
  <si>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</si>
  <si>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</si>
  <si>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</si>
  <si>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</si>
  <si>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</si>
  <si>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</si>
  <si>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</si>
  <si>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</si>
  <si>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</si>
  <si>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</si>
  <si>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</si>
  <si>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</si>
  <si>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</si>
  <si>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</si>
  <si>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</si>
  <si>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</si>
  <si>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</si>
  <si>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</si>
  <si>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</si>
  <si>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</si>
  <si>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</si>
  <si>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</si>
  <si>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</si>
  <si>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</si>
  <si>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</si>
  <si>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</si>
  <si>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</si>
  <si>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</si>
  <si>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</si>
  <si>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</si>
  <si>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</si>
  <si>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</si>
  <si>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</si>
  <si>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</si>
  <si>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</si>
  <si>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</si>
  <si>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</si>
  <si>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</si>
  <si>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</si>
  <si>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</si>
  <si>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</si>
  <si>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</si>
  <si>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</si>
  <si>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</si>
  <si>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</si>
  <si>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</si>
  <si>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</si>
  <si>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</si>
  <si>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</si>
  <si>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</si>
  <si>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</si>
  <si>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</si>
  <si>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</si>
  <si>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</si>
  <si>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</si>
  <si>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</si>
  <si>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</si>
  <si>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</si>
  <si>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</si>
  <si>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</si>
  <si>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</si>
  <si>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</si>
  <si>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</si>
  <si>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</si>
  <si>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</si>
  <si>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</si>
  <si>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</si>
  <si>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</si>
  <si>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</si>
  <si>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</si>
  <si>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</si>
  <si>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</si>
  <si>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</si>
  <si>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</si>
  <si>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</si>
  <si>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</si>
  <si>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</si>
  <si>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</si>
  <si>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</si>
  <si>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</si>
  <si>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</si>
  <si>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</si>
  <si>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</si>
  <si>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</si>
  <si>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</si>
  <si>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</si>
  <si>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</si>
  <si>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</si>
  <si>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</si>
  <si>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</si>
  <si>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</si>
  <si>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</si>
  <si>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</si>
  <si>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</si>
  <si>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</si>
  <si>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</si>
  <si>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</si>
  <si>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</si>
  <si>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</si>
  <si>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</si>
  <si>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</si>
  <si>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</si>
  <si>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</si>
  <si>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</si>
  <si>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</si>
  <si>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</si>
  <si>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</si>
  <si>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</si>
  <si>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</si>
  <si>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</si>
  <si>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</si>
  <si>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</si>
  <si>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</si>
  <si>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</si>
  <si>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</si>
  <si>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</si>
  <si>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</si>
  <si>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</si>
  <si>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</si>
  <si>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</si>
  <si>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</si>
  <si>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</si>
  <si>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</si>
  <si>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</si>
  <si>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</si>
  <si>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</si>
  <si>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</si>
  <si>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</si>
  <si>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</si>
  <si>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</si>
  <si>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</si>
  <si>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</si>
  <si>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</si>
  <si>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</si>
  <si>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</si>
  <si>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</si>
  <si>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</si>
  <si>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</si>
  <si>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</si>
  <si>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</si>
  <si>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</si>
  <si>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</si>
  <si>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</si>
  <si>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</si>
  <si>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</si>
  <si>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</si>
  <si>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</si>
  <si>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</si>
  <si>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</si>
  <si>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</si>
  <si>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</si>
  <si>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</si>
  <si>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</si>
  <si>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</si>
  <si>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</si>
  <si>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</si>
  <si>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</si>
  <si>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</si>
  <si>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</si>
  <si>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</si>
  <si>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</si>
  <si>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</si>
  <si>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</si>
  <si>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</si>
  <si>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</si>
  <si>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</si>
  <si>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</si>
  <si>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</si>
  <si>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</si>
  <si>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</si>
  <si>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</si>
  <si>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</si>
  <si>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</si>
  <si>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</si>
  <si>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</si>
  <si>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</si>
  <si>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</si>
  <si>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</si>
  <si>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</si>
  <si>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</si>
  <si>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</si>
  <si>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</si>
  <si>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</si>
  <si>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</si>
  <si>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</si>
  <si>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</si>
  <si>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</si>
  <si>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</si>
  <si>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</si>
  <si>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</si>
  <si>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</si>
  <si>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</si>
  <si>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</si>
  <si>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</si>
  <si>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</si>
  <si>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</si>
  <si>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</si>
  <si>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</si>
  <si>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</si>
  <si>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</si>
  <si>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</si>
  <si>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</si>
  <si>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</si>
  <si>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</si>
  <si>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</si>
  <si>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</si>
  <si>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</si>
  <si>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</si>
  <si>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</si>
  <si>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</si>
  <si>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</si>
  <si>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</si>
  <si>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</si>
  <si>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</si>
  <si>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</si>
  <si>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</si>
  <si>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</si>
  <si>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</si>
  <si>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</si>
  <si>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</si>
  <si>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</si>
  <si>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</si>
  <si>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</si>
  <si>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</si>
  <si>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</si>
  <si>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</si>
  <si>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</si>
  <si>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</si>
  <si>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</si>
  <si>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</si>
  <si>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</si>
  <si>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</si>
  <si>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</si>
  <si>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</si>
  <si>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</si>
  <si>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</si>
  <si>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</si>
  <si>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</si>
  <si>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</si>
  <si>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</si>
  <si>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</si>
  <si>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</si>
  <si>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</si>
  <si>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</si>
  <si>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</si>
  <si>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</si>
  <si>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</si>
  <si>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</si>
  <si>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</si>
  <si>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</si>
  <si>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</si>
  <si>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</si>
  <si>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</si>
  <si>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</si>
  <si>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</si>
  <si>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</si>
  <si>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</si>
  <si>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</si>
  <si>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</si>
  <si>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</si>
  <si>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</si>
  <si>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</si>
  <si>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</si>
  <si>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</si>
  <si>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</si>
  <si>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</si>
  <si>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</si>
  <si>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</si>
  <si>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</si>
  <si>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</si>
  <si>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</si>
  <si>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</si>
  <si>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</si>
  <si>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</si>
  <si>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</si>
  <si>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</si>
  <si>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</si>
  <si>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</si>
  <si>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</si>
  <si>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</si>
  <si>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</si>
  <si>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</si>
  <si>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</si>
  <si>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</si>
  <si>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</si>
  <si>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</si>
  <si>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</si>
  <si>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</si>
  <si>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</si>
  <si>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</si>
  <si>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</si>
  <si>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</si>
  <si>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</si>
  <si>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</si>
  <si>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</si>
  <si>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</si>
  <si>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</si>
  <si>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</si>
  <si>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</si>
  <si>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</si>
  <si>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</si>
  <si>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</si>
  <si>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</si>
  <si>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</si>
  <si>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</si>
  <si>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</si>
  <si>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</si>
  <si>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</si>
  <si>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</si>
  <si>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</si>
  <si>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</si>
  <si>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</si>
  <si>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</si>
  <si>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</si>
  <si>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</si>
  <si>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</si>
  <si>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</si>
  <si>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</si>
  <si>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</si>
  <si>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</si>
  <si>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</si>
  <si>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</si>
  <si>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</si>
  <si>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</si>
  <si>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</si>
  <si>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</si>
  <si>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</si>
  <si>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</si>
  <si>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</si>
  <si>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</si>
  <si>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</si>
  <si>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</si>
  <si>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</si>
  <si>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</si>
  <si>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</si>
  <si>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</si>
  <si>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</si>
  <si>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</si>
  <si>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</si>
  <si>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</si>
  <si>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</si>
  <si>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</si>
  <si>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</si>
  <si>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</si>
  <si>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</si>
  <si>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</si>
  <si>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</si>
  <si>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</si>
  <si>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</si>
  <si>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</si>
  <si>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</si>
  <si>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</si>
  <si>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</si>
  <si>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</si>
  <si>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</si>
  <si>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</si>
  <si>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</si>
  <si>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</si>
  <si>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</si>
  <si>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</si>
  <si>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</si>
  <si>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</si>
  <si>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</si>
  <si>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</si>
  <si>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</si>
  <si>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</si>
  <si>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</si>
  <si>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</si>
  <si>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</si>
  <si>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</si>
  <si>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</si>
  <si>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</si>
  <si>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</si>
  <si>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</si>
  <si>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</si>
  <si>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</si>
  <si>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</si>
  <si>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</si>
  <si>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</si>
  <si>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</si>
  <si>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</si>
  <si>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</si>
  <si>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</si>
  <si>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</si>
  <si>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</si>
  <si>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</si>
  <si>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</si>
  <si>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</si>
  <si>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</si>
  <si>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</si>
  <si>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</si>
  <si>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</si>
  <si>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</si>
  <si>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</si>
  <si>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</si>
  <si>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</si>
  <si>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</si>
  <si>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</si>
  <si>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</si>
  <si>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</si>
  <si>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</si>
  <si>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</si>
  <si>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</si>
  <si>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</si>
  <si>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</si>
  <si>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</si>
  <si>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</si>
  <si>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</si>
  <si>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</si>
  <si>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</si>
  <si>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</si>
  <si>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</si>
  <si>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</si>
  <si>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</si>
  <si>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</si>
  <si>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</si>
  <si>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</si>
  <si>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</si>
  <si>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</si>
  <si>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</si>
  <si>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</si>
  <si>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</si>
  <si>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</si>
  <si>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</si>
  <si>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</si>
  <si>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</si>
  <si>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</si>
  <si>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</si>
  <si>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</si>
  <si>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</si>
  <si>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</si>
  <si>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</si>
  <si>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</si>
  <si>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</si>
  <si>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</si>
  <si>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</si>
  <si>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</si>
  <si>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</si>
  <si>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</si>
  <si>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</si>
  <si>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</si>
  <si>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</si>
  <si>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</si>
  <si>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</si>
  <si>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</si>
  <si>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</si>
  <si>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</si>
  <si>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</si>
  <si>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</si>
  <si>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</si>
  <si>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</si>
  <si>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</si>
  <si>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</si>
  <si>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</si>
  <si>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</si>
  <si>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</si>
  <si>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</si>
  <si>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</si>
  <si>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</si>
  <si>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</si>
  <si>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</si>
  <si>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</si>
  <si>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</si>
  <si>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</si>
  <si>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</si>
  <si>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</si>
  <si>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</si>
  <si>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</si>
  <si>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</si>
  <si>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</si>
  <si>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</si>
  <si>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</si>
  <si>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</si>
  <si>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</si>
  <si>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</si>
  <si>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</si>
  <si>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</si>
  <si>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</si>
  <si>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</si>
  <si>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</si>
  <si>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</si>
  <si>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</si>
  <si>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</si>
  <si>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</si>
  <si>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</si>
  <si>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</si>
  <si>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</si>
  <si>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</si>
  <si>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</si>
  <si>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</si>
  <si>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</si>
  <si>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</si>
  <si>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</si>
  <si>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</si>
  <si>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</si>
  <si>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</si>
  <si>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</si>
  <si>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</si>
  <si>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</si>
  <si>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</si>
  <si>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</si>
  <si>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</si>
  <si>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</si>
  <si>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</si>
  <si>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</si>
  <si>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</si>
  <si>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</si>
  <si>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</si>
  <si>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</si>
  <si>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</si>
  <si>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</si>
  <si>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</si>
  <si>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</si>
  <si>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</si>
  <si>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</si>
  <si>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</si>
  <si>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</si>
  <si>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</si>
  <si>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</si>
  <si>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</si>
  <si>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</si>
  <si>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</si>
  <si>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</si>
  <si>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</si>
  <si>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</si>
  <si>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</si>
  <si>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</si>
  <si>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</si>
  <si>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</si>
  <si>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</si>
  <si>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</si>
  <si>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</si>
  <si>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</si>
  <si>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</si>
  <si>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</si>
  <si>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</si>
  <si>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</si>
  <si>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</si>
  <si>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</si>
  <si>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</si>
  <si>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</si>
  <si>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</si>
  <si>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</si>
  <si>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</si>
  <si>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</si>
  <si>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</si>
  <si>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</si>
  <si>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</si>
  <si>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</si>
  <si>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</si>
  <si>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</si>
  <si>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</si>
  <si>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</si>
  <si>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</si>
  <si>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</si>
  <si>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</si>
  <si>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</si>
  <si>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</si>
  <si>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</si>
  <si>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</si>
  <si>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</si>
  <si>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</si>
  <si>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</si>
  <si>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</si>
  <si>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</si>
  <si>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</si>
  <si>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</si>
  <si>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</si>
  <si>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</si>
  <si>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</si>
  <si>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</si>
  <si>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</si>
  <si>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</si>
  <si>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</si>
  <si>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</si>
  <si>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</si>
  <si>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</si>
  <si>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</si>
  <si>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</si>
  <si>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</si>
  <si>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</si>
  <si>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</si>
  <si>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</si>
  <si>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</si>
  <si>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</si>
  <si>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</si>
  <si>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</si>
  <si>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</si>
  <si>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</si>
  <si>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</si>
  <si>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</si>
  <si>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</si>
  <si>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</si>
  <si>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</si>
  <si>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</si>
  <si>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</si>
  <si>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</si>
  <si>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</si>
  <si>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</si>
  <si>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</si>
  <si>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</si>
  <si>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</si>
  <si>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</si>
  <si>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</si>
  <si>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</si>
  <si>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</si>
  <si>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</si>
  <si>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</si>
  <si>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</si>
  <si>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</si>
  <si>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</si>
  <si>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</si>
  <si>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</si>
  <si>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</si>
  <si>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</si>
  <si>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</si>
  <si>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</si>
  <si>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</si>
  <si>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</si>
  <si>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</si>
  <si>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</si>
  <si>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</si>
  <si>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</si>
  <si>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</si>
  <si>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</si>
  <si>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</si>
  <si>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</si>
  <si>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</si>
  <si>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</si>
  <si>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</si>
  <si>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</si>
  <si>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</si>
  <si>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</si>
  <si>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</si>
  <si>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</si>
  <si>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</si>
  <si>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</si>
  <si>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</si>
  <si>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</si>
  <si>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</si>
  <si>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</si>
  <si>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</si>
  <si>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</si>
  <si>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</si>
  <si>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</si>
  <si>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</si>
  <si>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</si>
  <si>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</si>
  <si>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</si>
  <si>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</si>
  <si>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</si>
  <si>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</si>
  <si>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</si>
  <si>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</si>
  <si>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</si>
  <si>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</si>
  <si>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</si>
  <si>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</si>
  <si>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</si>
  <si>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</si>
  <si>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</si>
  <si>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</si>
  <si>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</si>
  <si>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</si>
  <si>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</si>
  <si>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</si>
  <si>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</si>
  <si>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</si>
  <si>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</si>
  <si>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</si>
  <si>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</si>
  <si>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</si>
  <si>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</si>
  <si>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</si>
  <si>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</si>
  <si>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</si>
  <si>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</si>
  <si>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</si>
  <si>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</si>
  <si>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</si>
  <si>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</si>
  <si>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</si>
  <si>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</si>
  <si>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</si>
  <si>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</si>
  <si>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</si>
  <si>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</si>
  <si>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</si>
  <si>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</si>
  <si>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</si>
  <si>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</si>
  <si>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</si>
  <si>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</si>
  <si>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</si>
  <si>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</si>
  <si>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</si>
  <si>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</si>
  <si>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</si>
  <si>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</si>
  <si>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</si>
  <si>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</si>
  <si>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</si>
  <si>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</si>
  <si>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</si>
  <si>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</si>
  <si>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</si>
  <si>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</si>
  <si>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</si>
  <si>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</si>
  <si>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</si>
  <si>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</si>
  <si>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</si>
  <si>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</si>
  <si>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</si>
  <si>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</si>
  <si>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</si>
  <si>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</si>
  <si>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</si>
  <si>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</si>
  <si>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</si>
  <si>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</si>
  <si>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</si>
  <si>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</si>
  <si>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</si>
  <si>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</si>
  <si>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</si>
  <si>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</si>
  <si>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</si>
  <si>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</si>
  <si>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</si>
  <si>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</si>
  <si>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</si>
  <si>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</si>
  <si>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</si>
  <si>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</si>
  <si>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</si>
  <si>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</si>
  <si>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</si>
  <si>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</si>
  <si>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</si>
  <si>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</si>
  <si>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</si>
  <si>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</si>
  <si>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</si>
  <si>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</si>
  <si>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</si>
  <si>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</si>
  <si>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</si>
  <si>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</si>
  <si>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</si>
  <si>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</si>
  <si>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</si>
  <si>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</si>
  <si>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</si>
  <si>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</si>
  <si>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</si>
  <si>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</si>
  <si>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</si>
  <si>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</si>
  <si>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</si>
  <si>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</si>
  <si>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</si>
  <si>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</si>
  <si>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</si>
  <si>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</si>
  <si>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</si>
  <si>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</si>
  <si>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</si>
  <si>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</si>
  <si>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</si>
  <si>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</si>
  <si>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</si>
  <si>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</si>
  <si>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</si>
  <si>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</si>
  <si>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</si>
  <si>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</si>
  <si>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</si>
  <si>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</si>
  <si>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</si>
  <si>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</si>
  <si>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</si>
  <si>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</si>
  <si>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</si>
  <si>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</si>
  <si>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 xml:space="preserve">   laura green</t>
  </si>
  <si>
    <t>dr. Benjamin Price</t>
  </si>
  <si>
    <t>jeremy harris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</si>
  <si>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</si>
  <si>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</si>
  <si>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</si>
  <si>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</si>
  <si>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</si>
  <si>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</si>
  <si>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</si>
  <si>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</si>
  <si>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</si>
  <si>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</si>
  <si>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</si>
  <si>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</si>
  <si>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</si>
  <si>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</si>
  <si>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</si>
  <si>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</si>
  <si>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</si>
  <si>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</si>
  <si>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</si>
  <si>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</si>
  <si>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</si>
  <si>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</si>
  <si>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</si>
  <si>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</si>
  <si>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</si>
  <si>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</si>
  <si>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</si>
  <si>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</si>
  <si>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</si>
  <si>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</si>
  <si>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</si>
  <si>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</si>
  <si>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</si>
  <si>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</si>
  <si>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</si>
  <si>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</si>
  <si>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</si>
  <si>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</si>
  <si>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</si>
  <si>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</si>
  <si>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</si>
  <si>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</si>
  <si>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</si>
  <si>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</si>
  <si>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</si>
  <si>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</si>
  <si>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</si>
  <si>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</si>
  <si>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</si>
  <si>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</si>
  <si>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</si>
  <si>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</si>
  <si>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</si>
  <si>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</si>
  <si>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</si>
  <si>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</si>
  <si>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</si>
  <si>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</si>
  <si>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</si>
  <si>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</si>
  <si>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</si>
  <si>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</si>
  <si>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</si>
  <si>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</si>
  <si>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</si>
  <si>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</si>
  <si>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</si>
  <si>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</si>
  <si>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</si>
  <si>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</si>
  <si>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</si>
  <si>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</si>
  <si>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</si>
  <si>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</si>
  <si>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</si>
  <si>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</si>
  <si>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</si>
  <si>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</si>
  <si>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</si>
  <si>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</si>
  <si>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</si>
  <si>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</si>
  <si>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</si>
  <si>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</si>
  <si>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</si>
  <si>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</si>
  <si>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</si>
  <si>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</si>
  <si>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</si>
  <si>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</si>
  <si>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</si>
  <si>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</si>
  <si>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</si>
  <si>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</si>
  <si>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</si>
  <si>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</si>
  <si>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</si>
  <si>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</si>
  <si>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</si>
  <si>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</si>
  <si>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</si>
  <si>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</si>
  <si>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</si>
  <si>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</si>
  <si>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</si>
  <si>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</si>
  <si>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</si>
  <si>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</si>
  <si>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</si>
  <si>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</si>
  <si>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</si>
  <si>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</si>
  <si>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</si>
  <si>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</si>
  <si>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</si>
  <si>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</si>
  <si>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</si>
  <si>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</si>
  <si>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</si>
  <si>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</si>
  <si>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</si>
  <si>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</si>
  <si>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</si>
  <si>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>Name2</t>
  </si>
  <si>
    <t xml:space="preserve">sheena bonilla  </t>
  </si>
  <si>
    <t>paul fox</t>
  </si>
  <si>
    <t>countif</t>
  </si>
  <si>
    <t xml:space="preserve">sumif </t>
  </si>
  <si>
    <t>cost average</t>
  </si>
  <si>
    <t>Stock average</t>
  </si>
  <si>
    <t>mean</t>
  </si>
  <si>
    <t>average Discount</t>
  </si>
  <si>
    <t>Quantity Avg</t>
  </si>
  <si>
    <t>unit price average</t>
  </si>
  <si>
    <t>order date</t>
  </si>
  <si>
    <t>Grand Total</t>
  </si>
  <si>
    <t>Row Labels</t>
  </si>
  <si>
    <t>Sum of Cost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</si>
  <si>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</si>
  <si>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</si>
  <si>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</si>
  <si>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</si>
  <si>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</si>
  <si>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</si>
  <si>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</si>
  <si>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</si>
  <si>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</si>
  <si>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</si>
  <si>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</si>
  <si>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</si>
  <si>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</si>
  <si>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Product id</t>
  </si>
  <si>
    <t>Prodct name</t>
  </si>
  <si>
    <t>sub category</t>
  </si>
  <si>
    <t>Brand name</t>
  </si>
  <si>
    <t>cost</t>
  </si>
  <si>
    <t>stock</t>
  </si>
  <si>
    <t>OBSERVATION</t>
  </si>
  <si>
    <t>STEP1: Table should be created as headers</t>
  </si>
  <si>
    <t xml:space="preserve">STEP2: name column </t>
  </si>
  <si>
    <t>changed by proper function</t>
  </si>
  <si>
    <t>STEP 1: Table should be created as headers</t>
  </si>
  <si>
    <t>STEP2: cloumn of cost should be represented by currency values and missing values filled by average and sumif function</t>
  </si>
  <si>
    <t xml:space="preserve">STEP3: STOCK columns </t>
  </si>
  <si>
    <t xml:space="preserve"> values also filled by average function</t>
  </si>
  <si>
    <t>STEP4: PIVOT table also created and data visualization done here by charts</t>
  </si>
  <si>
    <t>STEP5: DATA ANLAYSIS by using mean mode and standard devation</t>
  </si>
  <si>
    <t>Table updated</t>
  </si>
  <si>
    <t>Order date updated by date function (ddmmyyy)</t>
  </si>
  <si>
    <t>MEAN FUNCTION ALSO UPDATED</t>
  </si>
  <si>
    <t>Missing values filled by SUMIF,COUNTIF AND AVERAGE function</t>
  </si>
  <si>
    <t>PIVOT table created and charts also visualized</t>
  </si>
  <si>
    <t xml:space="preserve">VLOOKUP tabled created by values showing NA I tried so many time mam I will do next time mam </t>
  </si>
  <si>
    <t>Sum of Age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</si>
  <si>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</si>
  <si>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</si>
  <si>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</si>
  <si>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</si>
  <si>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</si>
  <si>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</si>
  <si>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</si>
  <si>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</si>
  <si>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</si>
  <si>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</si>
  <si>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</si>
  <si>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</si>
  <si>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</si>
  <si>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STORE DASHBOARD</t>
  </si>
  <si>
    <t>Count of City</t>
  </si>
  <si>
    <t>Count of Total_Amount</t>
  </si>
  <si>
    <t>Sum of unit price average</t>
  </si>
  <si>
    <t>Average of Quantity</t>
  </si>
  <si>
    <t>Sum of Unit_Price</t>
  </si>
  <si>
    <t>Count of Stock</t>
  </si>
  <si>
    <t>Sum of Stock average</t>
  </si>
  <si>
    <t>Sum of cost average</t>
  </si>
  <si>
    <t>Name3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</si>
</sst>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&quot;₹&quot;\ #,##0.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36"/>
      <name val="Algerian"/>
      <family val="5"/>
    </font>
    <font>
      <sz val="36"/>
      <color theme="7" tint="0.39997558519241921"/>
      <name val="Algerian"/>
      <family val="5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1" fillId="0" borderId="2" xfId="0" applyNumberFormat="1" applyFont="1" applyBorder="1" applyAlignment="1">
      <alignment horizontal="center" vertical="top"/>
    </xf>
    <xf numFmtId="165" fontId="0" fillId="0" borderId="1" xfId="0" applyNumberFormat="1" applyBorder="1"/>
    <xf numFmtId="165" fontId="0" fillId="0" borderId="8" xfId="0" applyNumberFormat="1" applyBorder="1"/>
    <xf numFmtId="165" fontId="0" fillId="0" borderId="0" xfId="0" applyNumberFormat="1"/>
    <xf numFmtId="165" fontId="0" fillId="0" borderId="2" xfId="0" applyNumberFormat="1" applyBorder="1"/>
    <xf numFmtId="0" fontId="1" fillId="0" borderId="2" xfId="0" applyNumberFormat="1" applyFont="1" applyBorder="1" applyAlignment="1">
      <alignment horizontal="center" vertical="top"/>
    </xf>
    <xf numFmtId="0" fontId="0" fillId="0" borderId="0" xfId="0" applyNumberFormat="1"/>
    <xf numFmtId="0" fontId="2" fillId="0" borderId="2" xfId="0" applyFont="1" applyBorder="1" applyAlignment="1">
      <alignment horizontal="center" vertical="top"/>
    </xf>
    <xf numFmtId="1" fontId="2" fillId="0" borderId="2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0" xfId="0" pivotButton="1"/>
    <xf numFmtId="0" fontId="3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0" fillId="0" borderId="0" xfId="0" applyAlignment="1">
      <alignment horizontal="left"/>
    </xf>
    <xf numFmtId="0" fontId="4" fillId="2" borderId="0" xfId="0" applyFont="1" applyFill="1" applyAlignment="1"/>
    <xf numFmtId="0" fontId="4" fillId="3" borderId="0" xfId="0" applyFont="1" applyFill="1" applyAlignment="1"/>
    <xf numFmtId="0" fontId="0" fillId="0" borderId="0" xfId="0" applyAlignment="1">
      <alignment horizontal="left" indent="1"/>
    </xf>
    <xf numFmtId="0" fontId="4" fillId="4" borderId="0" xfId="0" applyFont="1" applyFill="1" applyAlignment="1"/>
    <xf numFmtId="0" fontId="5" fillId="4" borderId="0" xfId="0" applyFont="1" applyFill="1" applyAlignment="1"/>
    <xf numFmtId="0" fontId="6" fillId="4" borderId="0" xfId="0" applyFont="1" applyFill="1" applyAlignment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₹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auto="1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" formatCode="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0" formatCode="General"/>
    </dxf>
    <dxf>
      <numFmt numFmtId="165" formatCode="&quot;₹&quot;\ #,##0.00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assignment -i.xlsx]Sheet9!PivotTable2</c:name>
    <c:fmtId val="2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Count of Total_Amount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Sheet9!$A$4:$A$16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Sheet9!$B$4:$B$16</c:f>
              <c:numCache>
                <c:formatCode>General</c:formatCode>
                <c:ptCount val="12"/>
                <c:pt idx="0">
                  <c:v>157</c:v>
                </c:pt>
                <c:pt idx="1">
                  <c:v>174</c:v>
                </c:pt>
                <c:pt idx="2">
                  <c:v>160</c:v>
                </c:pt>
                <c:pt idx="3">
                  <c:v>171</c:v>
                </c:pt>
                <c:pt idx="4">
                  <c:v>147</c:v>
                </c:pt>
                <c:pt idx="5">
                  <c:v>150</c:v>
                </c:pt>
                <c:pt idx="6">
                  <c:v>180</c:v>
                </c:pt>
                <c:pt idx="7">
                  <c:v>158</c:v>
                </c:pt>
                <c:pt idx="8">
                  <c:v>150</c:v>
                </c:pt>
                <c:pt idx="9">
                  <c:v>170</c:v>
                </c:pt>
                <c:pt idx="10">
                  <c:v>189</c:v>
                </c:pt>
                <c:pt idx="11">
                  <c:v>188</c:v>
                </c:pt>
              </c:numCache>
            </c:numRef>
          </c:val>
        </c:ser>
        <c:ser>
          <c:idx val="1"/>
          <c:order val="1"/>
          <c:tx>
            <c:strRef>
              <c:f>Sheet9!$C$3</c:f>
              <c:strCache>
                <c:ptCount val="1"/>
                <c:pt idx="0">
                  <c:v>Sum of unit price average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Sheet9!$A$4:$A$16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Sheet9!$C$4:$C$16</c:f>
              <c:numCache>
                <c:formatCode>General</c:formatCode>
                <c:ptCount val="12"/>
                <c:pt idx="0">
                  <c:v>73173.920998499205</c:v>
                </c:pt>
                <c:pt idx="1">
                  <c:v>80748.477621558544</c:v>
                </c:pt>
                <c:pt idx="2">
                  <c:v>74468.527736571908</c:v>
                </c:pt>
                <c:pt idx="3">
                  <c:v>79485.962821034074</c:v>
                </c:pt>
                <c:pt idx="4">
                  <c:v>68335.337075130024</c:v>
                </c:pt>
                <c:pt idx="5">
                  <c:v>69886.159349908368</c:v>
                </c:pt>
                <c:pt idx="6">
                  <c:v>84411.855025511191</c:v>
                </c:pt>
                <c:pt idx="7">
                  <c:v>74110.285694278835</c:v>
                </c:pt>
                <c:pt idx="8">
                  <c:v>70507.026806709866</c:v>
                </c:pt>
                <c:pt idx="9">
                  <c:v>79190.765616879318</c:v>
                </c:pt>
                <c:pt idx="10">
                  <c:v>87837.680597961589</c:v>
                </c:pt>
                <c:pt idx="11">
                  <c:v>87930.014820260985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79682096"/>
        <c:axId val="-779681552"/>
      </c:barChart>
      <c:lineChart>
        <c:grouping val="standard"/>
        <c:varyColors val="0"/>
        <c:ser>
          <c:idx val="2"/>
          <c:order val="2"/>
          <c:tx>
            <c:strRef>
              <c:f>Sheet9!$D$3</c:f>
              <c:strCache>
                <c:ptCount val="1"/>
                <c:pt idx="0">
                  <c:v>Sum of Unit_Price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Sheet9!$A$4:$A$16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Sheet9!$D$4:$D$16</c:f>
              <c:numCache>
                <c:formatCode>General</c:formatCode>
                <c:ptCount val="12"/>
                <c:pt idx="0">
                  <c:v>80314.257824898887</c:v>
                </c:pt>
                <c:pt idx="1">
                  <c:v>81995.380348617211</c:v>
                </c:pt>
                <c:pt idx="2">
                  <c:v>81214.875585267335</c:v>
                </c:pt>
                <c:pt idx="3">
                  <c:v>82145.605871095657</c:v>
                </c:pt>
                <c:pt idx="4">
                  <c:v>68323.867277627185</c:v>
                </c:pt>
                <c:pt idx="5">
                  <c:v>74663.879613993064</c:v>
                </c:pt>
                <c:pt idx="6">
                  <c:v>84920.065648056247</c:v>
                </c:pt>
                <c:pt idx="7">
                  <c:v>79605.331675621113</c:v>
                </c:pt>
                <c:pt idx="8">
                  <c:v>75939.902476572883</c:v>
                </c:pt>
                <c:pt idx="9">
                  <c:v>83839.025553316969</c:v>
                </c:pt>
                <c:pt idx="10">
                  <c:v>93411.458622612729</c:v>
                </c:pt>
                <c:pt idx="11">
                  <c:v>95422.440903197814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Sheet9!$E$3</c:f>
              <c:strCache>
                <c:ptCount val="1"/>
                <c:pt idx="0">
                  <c:v>Average of Quantity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Sheet9!$A$4:$A$16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Sheet9!$E$4:$E$16</c:f>
              <c:numCache>
                <c:formatCode>General</c:formatCode>
                <c:ptCount val="12"/>
                <c:pt idx="0">
                  <c:v>2.4321023030233477</c:v>
                </c:pt>
                <c:pt idx="1">
                  <c:v>2.4685922547906185</c:v>
                </c:pt>
                <c:pt idx="2">
                  <c:v>2.4618163519541274</c:v>
                </c:pt>
                <c:pt idx="3">
                  <c:v>2.5407169021125968</c:v>
                </c:pt>
                <c:pt idx="4">
                  <c:v>2.6047802898842036</c:v>
                </c:pt>
                <c:pt idx="5">
                  <c:v>2.4556463014201619</c:v>
                </c:pt>
                <c:pt idx="6">
                  <c:v>2.5352185069336222</c:v>
                </c:pt>
                <c:pt idx="7">
                  <c:v>2.5179515914635533</c:v>
                </c:pt>
                <c:pt idx="8">
                  <c:v>2.5084299380404791</c:v>
                </c:pt>
                <c:pt idx="9">
                  <c:v>2.4699675822053067</c:v>
                </c:pt>
                <c:pt idx="10">
                  <c:v>2.4578888070982527</c:v>
                </c:pt>
                <c:pt idx="11">
                  <c:v>2.4708978908923505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79682096"/>
        <c:axId val="-779681552"/>
      </c:lineChart>
      <c:catAx>
        <c:axId val="-77968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79681552"/>
        <c:crosses val="autoZero"/>
        <c:auto val="1"/>
        <c:lblAlgn val="ctr"/>
        <c:lblOffset val="100"/>
        <c:noMultiLvlLbl val="0"/>
      </c:catAx>
      <c:valAx>
        <c:axId val="-77968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7968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assignment -i.xlsx]Sheet10!PivotTable3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CATEGORIES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triangle"/>
          <c:size val="5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x"/>
          <c:size val="5"/>
          <c:spPr>
            <a:noFill/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Sum of Cost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Sheet10!$A$4:$A$9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Sheet10!$B$4:$B$9</c:f>
              <c:numCache>
                <c:formatCode>General</c:formatCode>
                <c:ptCount val="5"/>
                <c:pt idx="0">
                  <c:v>3799.8199999999997</c:v>
                </c:pt>
                <c:pt idx="1">
                  <c:v>4735.21</c:v>
                </c:pt>
                <c:pt idx="2">
                  <c:v>6647.66</c:v>
                </c:pt>
                <c:pt idx="3">
                  <c:v>4946.1400000000003</c:v>
                </c:pt>
                <c:pt idx="4">
                  <c:v>5294.9199999999992</c:v>
                </c:pt>
              </c:numCache>
            </c:numRef>
          </c:val>
        </c:ser>
        <c:ser>
          <c:idx val="1"/>
          <c:order val="1"/>
          <c:tx>
            <c:strRef>
              <c:f>Sheet10!$C$3</c:f>
              <c:strCache>
                <c:ptCount val="1"/>
                <c:pt idx="0">
                  <c:v>Count of Stock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Sheet10!$A$4:$A$9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Sheet10!$C$4:$C$9</c:f>
              <c:numCache>
                <c:formatCode>General</c:formatCode>
                <c:ptCount val="5"/>
                <c:pt idx="0">
                  <c:v>15</c:v>
                </c:pt>
                <c:pt idx="1">
                  <c:v>18</c:v>
                </c:pt>
                <c:pt idx="2">
                  <c:v>21</c:v>
                </c:pt>
                <c:pt idx="3">
                  <c:v>20</c:v>
                </c:pt>
                <c:pt idx="4">
                  <c:v>25</c:v>
                </c:pt>
              </c:numCache>
            </c:numRef>
          </c:val>
        </c:ser>
        <c:ser>
          <c:idx val="2"/>
          <c:order val="2"/>
          <c:tx>
            <c:strRef>
              <c:f>Sheet10!$D$3</c:f>
              <c:strCache>
                <c:ptCount val="1"/>
                <c:pt idx="0">
                  <c:v>Sum of Stock average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Sheet10!$A$4:$A$9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Sheet10!$D$4:$D$9</c:f>
              <c:numCache>
                <c:formatCode>General</c:formatCode>
                <c:ptCount val="5"/>
                <c:pt idx="0">
                  <c:v>3875.4651046702261</c:v>
                </c:pt>
                <c:pt idx="1">
                  <c:v>4708.7541474565342</c:v>
                </c:pt>
                <c:pt idx="2">
                  <c:v>5335.2053493199237</c:v>
                </c:pt>
                <c:pt idx="3">
                  <c:v>5360.8084265001899</c:v>
                </c:pt>
                <c:pt idx="4">
                  <c:v>6464.1465052720896</c:v>
                </c:pt>
              </c:numCache>
            </c:numRef>
          </c:val>
        </c:ser>
        <c:ser>
          <c:idx val="3"/>
          <c:order val="3"/>
          <c:tx>
            <c:strRef>
              <c:f>Sheet10!$E$3</c:f>
              <c:strCache>
                <c:ptCount val="1"/>
                <c:pt idx="0">
                  <c:v>Sum of cost average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Sheet10!$A$4:$A$9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Sheet10!$E$4:$E$9</c:f>
              <c:numCache>
                <c:formatCode>General</c:formatCode>
                <c:ptCount val="5"/>
                <c:pt idx="0">
                  <c:v>4070.0974955124811</c:v>
                </c:pt>
                <c:pt idx="1">
                  <c:v>4795.4991401782008</c:v>
                </c:pt>
                <c:pt idx="2">
                  <c:v>5649.454325478031</c:v>
                </c:pt>
                <c:pt idx="3">
                  <c:v>5578.2892476835932</c:v>
                </c:pt>
                <c:pt idx="4">
                  <c:v>6612.3873310509844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-779682640"/>
        <c:axId val="-779679920"/>
      </c:barChart>
      <c:catAx>
        <c:axId val="-779682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79679920"/>
        <c:crosses val="autoZero"/>
        <c:auto val="1"/>
        <c:lblAlgn val="ctr"/>
        <c:lblOffset val="100"/>
        <c:noMultiLvlLbl val="0"/>
      </c:catAx>
      <c:valAx>
        <c:axId val="-77967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7968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assignment -i.xlsx]Sheet8!PivotTable1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FEMALE</a:t>
            </a:r>
            <a:r>
              <a:rPr lang="en-IN" baseline="0"/>
              <a:t> VS MALE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Count of City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multiLvlStrRef>
              <c:f>Sheet8!$A$4:$A$14</c:f>
              <c:multiLvlStrCache>
                <c:ptCount val="8"/>
                <c:lvl>
                  <c:pt idx="0">
                    <c:v>Bronze</c:v>
                  </c:pt>
                  <c:pt idx="1">
                    <c:v>Gold</c:v>
                  </c:pt>
                  <c:pt idx="2">
                    <c:v>Platinum</c:v>
                  </c:pt>
                  <c:pt idx="3">
                    <c:v>Silver</c:v>
                  </c:pt>
                  <c:pt idx="4">
                    <c:v>Bronze</c:v>
                  </c:pt>
                  <c:pt idx="5">
                    <c:v>Gold</c:v>
                  </c:pt>
                  <c:pt idx="6">
                    <c:v>Platinum</c:v>
                  </c:pt>
                  <c:pt idx="7">
                    <c:v>Silver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Sheet8!$B$4:$B$14</c:f>
              <c:numCache>
                <c:formatCode>General</c:formatCode>
                <c:ptCount val="8"/>
                <c:pt idx="0">
                  <c:v>60</c:v>
                </c:pt>
                <c:pt idx="1">
                  <c:v>68</c:v>
                </c:pt>
                <c:pt idx="2">
                  <c:v>82</c:v>
                </c:pt>
                <c:pt idx="3">
                  <c:v>51</c:v>
                </c:pt>
                <c:pt idx="4">
                  <c:v>65</c:v>
                </c:pt>
                <c:pt idx="5">
                  <c:v>54</c:v>
                </c:pt>
                <c:pt idx="6">
                  <c:v>65</c:v>
                </c:pt>
                <c:pt idx="7">
                  <c:v>54</c:v>
                </c:pt>
              </c:numCache>
            </c:numRef>
          </c:val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Sum of 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multiLvlStrRef>
              <c:f>Sheet8!$A$4:$A$14</c:f>
              <c:multiLvlStrCache>
                <c:ptCount val="8"/>
                <c:lvl>
                  <c:pt idx="0">
                    <c:v>Bronze</c:v>
                  </c:pt>
                  <c:pt idx="1">
                    <c:v>Gold</c:v>
                  </c:pt>
                  <c:pt idx="2">
                    <c:v>Platinum</c:v>
                  </c:pt>
                  <c:pt idx="3">
                    <c:v>Silver</c:v>
                  </c:pt>
                  <c:pt idx="4">
                    <c:v>Bronze</c:v>
                  </c:pt>
                  <c:pt idx="5">
                    <c:v>Gold</c:v>
                  </c:pt>
                  <c:pt idx="6">
                    <c:v>Platinum</c:v>
                  </c:pt>
                  <c:pt idx="7">
                    <c:v>Silver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Sheet8!$C$4:$C$14</c:f>
              <c:numCache>
                <c:formatCode>General</c:formatCode>
                <c:ptCount val="8"/>
                <c:pt idx="0">
                  <c:v>2490</c:v>
                </c:pt>
                <c:pt idx="1">
                  <c:v>2849</c:v>
                </c:pt>
                <c:pt idx="2">
                  <c:v>3515</c:v>
                </c:pt>
                <c:pt idx="3">
                  <c:v>2060</c:v>
                </c:pt>
                <c:pt idx="4">
                  <c:v>2647</c:v>
                </c:pt>
                <c:pt idx="5">
                  <c:v>2107</c:v>
                </c:pt>
                <c:pt idx="6">
                  <c:v>2836</c:v>
                </c:pt>
                <c:pt idx="7">
                  <c:v>2250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assignment -i.xlsx]Sheet9!PivotTable2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</a:t>
            </a:r>
            <a:r>
              <a:rPr lang="en-IN" baseline="0"/>
              <a:t> VS SALES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Count of Total_Amount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Sheet9!$A$4:$A$16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Sheet9!$B$4:$B$16</c:f>
              <c:numCache>
                <c:formatCode>General</c:formatCode>
                <c:ptCount val="12"/>
                <c:pt idx="0">
                  <c:v>157</c:v>
                </c:pt>
                <c:pt idx="1">
                  <c:v>174</c:v>
                </c:pt>
                <c:pt idx="2">
                  <c:v>160</c:v>
                </c:pt>
                <c:pt idx="3">
                  <c:v>171</c:v>
                </c:pt>
                <c:pt idx="4">
                  <c:v>147</c:v>
                </c:pt>
                <c:pt idx="5">
                  <c:v>150</c:v>
                </c:pt>
                <c:pt idx="6">
                  <c:v>180</c:v>
                </c:pt>
                <c:pt idx="7">
                  <c:v>158</c:v>
                </c:pt>
                <c:pt idx="8">
                  <c:v>150</c:v>
                </c:pt>
                <c:pt idx="9">
                  <c:v>170</c:v>
                </c:pt>
                <c:pt idx="10">
                  <c:v>189</c:v>
                </c:pt>
                <c:pt idx="11">
                  <c:v>188</c:v>
                </c:pt>
              </c:numCache>
            </c:numRef>
          </c:val>
        </c:ser>
        <c:ser>
          <c:idx val="1"/>
          <c:order val="1"/>
          <c:tx>
            <c:strRef>
              <c:f>Sheet9!$C$3</c:f>
              <c:strCache>
                <c:ptCount val="1"/>
                <c:pt idx="0">
                  <c:v>Sum of unit price average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Sheet9!$A$4:$A$16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Sheet9!$C$4:$C$16</c:f>
              <c:numCache>
                <c:formatCode>General</c:formatCode>
                <c:ptCount val="12"/>
                <c:pt idx="0">
                  <c:v>73173.920998499205</c:v>
                </c:pt>
                <c:pt idx="1">
                  <c:v>80748.477621558544</c:v>
                </c:pt>
                <c:pt idx="2">
                  <c:v>74468.527736571908</c:v>
                </c:pt>
                <c:pt idx="3">
                  <c:v>79485.962821034074</c:v>
                </c:pt>
                <c:pt idx="4">
                  <c:v>68335.337075130024</c:v>
                </c:pt>
                <c:pt idx="5">
                  <c:v>69886.159349908368</c:v>
                </c:pt>
                <c:pt idx="6">
                  <c:v>84411.855025511191</c:v>
                </c:pt>
                <c:pt idx="7">
                  <c:v>74110.285694278835</c:v>
                </c:pt>
                <c:pt idx="8">
                  <c:v>70507.026806709866</c:v>
                </c:pt>
                <c:pt idx="9">
                  <c:v>79190.765616879318</c:v>
                </c:pt>
                <c:pt idx="10">
                  <c:v>87837.680597961589</c:v>
                </c:pt>
                <c:pt idx="11">
                  <c:v>87930.014820260985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69673392"/>
        <c:axId val="-769676656"/>
      </c:barChart>
      <c:lineChart>
        <c:grouping val="standard"/>
        <c:varyColors val="0"/>
        <c:ser>
          <c:idx val="2"/>
          <c:order val="2"/>
          <c:tx>
            <c:strRef>
              <c:f>Sheet9!$D$3</c:f>
              <c:strCache>
                <c:ptCount val="1"/>
                <c:pt idx="0">
                  <c:v>Sum of Unit_Price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Sheet9!$A$4:$A$16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Sheet9!$D$4:$D$16</c:f>
              <c:numCache>
                <c:formatCode>General</c:formatCode>
                <c:ptCount val="12"/>
                <c:pt idx="0">
                  <c:v>80314.257824898887</c:v>
                </c:pt>
                <c:pt idx="1">
                  <c:v>81995.380348617211</c:v>
                </c:pt>
                <c:pt idx="2">
                  <c:v>81214.875585267335</c:v>
                </c:pt>
                <c:pt idx="3">
                  <c:v>82145.605871095657</c:v>
                </c:pt>
                <c:pt idx="4">
                  <c:v>68323.867277627185</c:v>
                </c:pt>
                <c:pt idx="5">
                  <c:v>74663.879613993064</c:v>
                </c:pt>
                <c:pt idx="6">
                  <c:v>84920.065648056247</c:v>
                </c:pt>
                <c:pt idx="7">
                  <c:v>79605.331675621113</c:v>
                </c:pt>
                <c:pt idx="8">
                  <c:v>75939.902476572883</c:v>
                </c:pt>
                <c:pt idx="9">
                  <c:v>83839.025553316969</c:v>
                </c:pt>
                <c:pt idx="10">
                  <c:v>93411.458622612729</c:v>
                </c:pt>
                <c:pt idx="11">
                  <c:v>95422.440903197814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Sheet9!$E$3</c:f>
              <c:strCache>
                <c:ptCount val="1"/>
                <c:pt idx="0">
                  <c:v>Average of Quantity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Sheet9!$A$4:$A$16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Sheet9!$E$4:$E$16</c:f>
              <c:numCache>
                <c:formatCode>General</c:formatCode>
                <c:ptCount val="12"/>
                <c:pt idx="0">
                  <c:v>2.4321023030233477</c:v>
                </c:pt>
                <c:pt idx="1">
                  <c:v>2.4685922547906185</c:v>
                </c:pt>
                <c:pt idx="2">
                  <c:v>2.4618163519541274</c:v>
                </c:pt>
                <c:pt idx="3">
                  <c:v>2.5407169021125968</c:v>
                </c:pt>
                <c:pt idx="4">
                  <c:v>2.6047802898842036</c:v>
                </c:pt>
                <c:pt idx="5">
                  <c:v>2.4556463014201619</c:v>
                </c:pt>
                <c:pt idx="6">
                  <c:v>2.5352185069336222</c:v>
                </c:pt>
                <c:pt idx="7">
                  <c:v>2.5179515914635533</c:v>
                </c:pt>
                <c:pt idx="8">
                  <c:v>2.5084299380404791</c:v>
                </c:pt>
                <c:pt idx="9">
                  <c:v>2.4699675822053067</c:v>
                </c:pt>
                <c:pt idx="10">
                  <c:v>2.4578888070982527</c:v>
                </c:pt>
                <c:pt idx="11">
                  <c:v>2.4708978908923505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69673392"/>
        <c:axId val="-769676656"/>
      </c:lineChart>
      <c:catAx>
        <c:axId val="-76967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69676656"/>
        <c:crosses val="autoZero"/>
        <c:auto val="1"/>
        <c:lblAlgn val="ctr"/>
        <c:lblOffset val="100"/>
        <c:noMultiLvlLbl val="0"/>
      </c:catAx>
      <c:valAx>
        <c:axId val="-76967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6967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assignment -i.xlsx]Sheet8!PivotTable1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FEMALE</a:t>
            </a:r>
            <a:r>
              <a:rPr lang="en-IN" baseline="0"/>
              <a:t> VS MALE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Count of City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multiLvlStrRef>
              <c:f>Sheet8!$A$4:$A$14</c:f>
              <c:multiLvlStrCache>
                <c:ptCount val="8"/>
                <c:lvl>
                  <c:pt idx="0">
                    <c:v>Bronze</c:v>
                  </c:pt>
                  <c:pt idx="1">
                    <c:v>Gold</c:v>
                  </c:pt>
                  <c:pt idx="2">
                    <c:v>Platinum</c:v>
                  </c:pt>
                  <c:pt idx="3">
                    <c:v>Silver</c:v>
                  </c:pt>
                  <c:pt idx="4">
                    <c:v>Bronze</c:v>
                  </c:pt>
                  <c:pt idx="5">
                    <c:v>Gold</c:v>
                  </c:pt>
                  <c:pt idx="6">
                    <c:v>Platinum</c:v>
                  </c:pt>
                  <c:pt idx="7">
                    <c:v>Silver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Sheet8!$B$4:$B$14</c:f>
              <c:numCache>
                <c:formatCode>General</c:formatCode>
                <c:ptCount val="8"/>
                <c:pt idx="0">
                  <c:v>60</c:v>
                </c:pt>
                <c:pt idx="1">
                  <c:v>68</c:v>
                </c:pt>
                <c:pt idx="2">
                  <c:v>82</c:v>
                </c:pt>
                <c:pt idx="3">
                  <c:v>51</c:v>
                </c:pt>
                <c:pt idx="4">
                  <c:v>65</c:v>
                </c:pt>
                <c:pt idx="5">
                  <c:v>54</c:v>
                </c:pt>
                <c:pt idx="6">
                  <c:v>65</c:v>
                </c:pt>
                <c:pt idx="7">
                  <c:v>54</c:v>
                </c:pt>
              </c:numCache>
            </c:numRef>
          </c:val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Sum of 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multiLvlStrRef>
              <c:f>Sheet8!$A$4:$A$14</c:f>
              <c:multiLvlStrCache>
                <c:ptCount val="8"/>
                <c:lvl>
                  <c:pt idx="0">
                    <c:v>Bronze</c:v>
                  </c:pt>
                  <c:pt idx="1">
                    <c:v>Gold</c:v>
                  </c:pt>
                  <c:pt idx="2">
                    <c:v>Platinum</c:v>
                  </c:pt>
                  <c:pt idx="3">
                    <c:v>Silver</c:v>
                  </c:pt>
                  <c:pt idx="4">
                    <c:v>Bronze</c:v>
                  </c:pt>
                  <c:pt idx="5">
                    <c:v>Gold</c:v>
                  </c:pt>
                  <c:pt idx="6">
                    <c:v>Platinum</c:v>
                  </c:pt>
                  <c:pt idx="7">
                    <c:v>Silver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Sheet8!$C$4:$C$14</c:f>
              <c:numCache>
                <c:formatCode>General</c:formatCode>
                <c:ptCount val="8"/>
                <c:pt idx="0">
                  <c:v>2490</c:v>
                </c:pt>
                <c:pt idx="1">
                  <c:v>2849</c:v>
                </c:pt>
                <c:pt idx="2">
                  <c:v>3515</c:v>
                </c:pt>
                <c:pt idx="3">
                  <c:v>2060</c:v>
                </c:pt>
                <c:pt idx="4">
                  <c:v>2647</c:v>
                </c:pt>
                <c:pt idx="5">
                  <c:v>2107</c:v>
                </c:pt>
                <c:pt idx="6">
                  <c:v>2836</c:v>
                </c:pt>
                <c:pt idx="7">
                  <c:v>2250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assignment -i.xlsx]Sheet10!PivotTable3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CATEGORIES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triangle"/>
          <c:size val="5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x"/>
          <c:size val="5"/>
          <c:spPr>
            <a:noFill/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Sum of Cost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Sheet10!$A$4:$A$9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Sheet10!$B$4:$B$9</c:f>
              <c:numCache>
                <c:formatCode>General</c:formatCode>
                <c:ptCount val="5"/>
                <c:pt idx="0">
                  <c:v>3799.8199999999997</c:v>
                </c:pt>
                <c:pt idx="1">
                  <c:v>4735.21</c:v>
                </c:pt>
                <c:pt idx="2">
                  <c:v>6647.66</c:v>
                </c:pt>
                <c:pt idx="3">
                  <c:v>4946.1400000000003</c:v>
                </c:pt>
                <c:pt idx="4">
                  <c:v>5294.9199999999992</c:v>
                </c:pt>
              </c:numCache>
            </c:numRef>
          </c:val>
        </c:ser>
        <c:ser>
          <c:idx val="1"/>
          <c:order val="1"/>
          <c:tx>
            <c:strRef>
              <c:f>Sheet10!$C$3</c:f>
              <c:strCache>
                <c:ptCount val="1"/>
                <c:pt idx="0">
                  <c:v>Count of Stock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Sheet10!$A$4:$A$9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Sheet10!$C$4:$C$9</c:f>
              <c:numCache>
                <c:formatCode>General</c:formatCode>
                <c:ptCount val="5"/>
                <c:pt idx="0">
                  <c:v>15</c:v>
                </c:pt>
                <c:pt idx="1">
                  <c:v>18</c:v>
                </c:pt>
                <c:pt idx="2">
                  <c:v>21</c:v>
                </c:pt>
                <c:pt idx="3">
                  <c:v>20</c:v>
                </c:pt>
                <c:pt idx="4">
                  <c:v>25</c:v>
                </c:pt>
              </c:numCache>
            </c:numRef>
          </c:val>
        </c:ser>
        <c:ser>
          <c:idx val="2"/>
          <c:order val="2"/>
          <c:tx>
            <c:strRef>
              <c:f>Sheet10!$D$3</c:f>
              <c:strCache>
                <c:ptCount val="1"/>
                <c:pt idx="0">
                  <c:v>Sum of Stock average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Sheet10!$A$4:$A$9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Sheet10!$D$4:$D$9</c:f>
              <c:numCache>
                <c:formatCode>General</c:formatCode>
                <c:ptCount val="5"/>
                <c:pt idx="0">
                  <c:v>3875.4651046702261</c:v>
                </c:pt>
                <c:pt idx="1">
                  <c:v>4708.7541474565342</c:v>
                </c:pt>
                <c:pt idx="2">
                  <c:v>5335.2053493199237</c:v>
                </c:pt>
                <c:pt idx="3">
                  <c:v>5360.8084265001899</c:v>
                </c:pt>
                <c:pt idx="4">
                  <c:v>6464.1465052720896</c:v>
                </c:pt>
              </c:numCache>
            </c:numRef>
          </c:val>
        </c:ser>
        <c:ser>
          <c:idx val="3"/>
          <c:order val="3"/>
          <c:tx>
            <c:strRef>
              <c:f>Sheet10!$E$3</c:f>
              <c:strCache>
                <c:ptCount val="1"/>
                <c:pt idx="0">
                  <c:v>Sum of cost average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Sheet10!$A$4:$A$9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Sheet10!$E$4:$E$9</c:f>
              <c:numCache>
                <c:formatCode>General</c:formatCode>
                <c:ptCount val="5"/>
                <c:pt idx="0">
                  <c:v>4070.0974955124811</c:v>
                </c:pt>
                <c:pt idx="1">
                  <c:v>4795.4991401782008</c:v>
                </c:pt>
                <c:pt idx="2">
                  <c:v>5649.454325478031</c:v>
                </c:pt>
                <c:pt idx="3">
                  <c:v>5578.2892476835932</c:v>
                </c:pt>
                <c:pt idx="4">
                  <c:v>6612.3873310509844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-769663056"/>
        <c:axId val="-769677744"/>
      </c:barChart>
      <c:catAx>
        <c:axId val="-769663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69677744"/>
        <c:crosses val="autoZero"/>
        <c:auto val="1"/>
        <c:lblAlgn val="ctr"/>
        <c:lblOffset val="100"/>
        <c:noMultiLvlLbl val="0"/>
      </c:catAx>
      <c:valAx>
        <c:axId val="-76967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6966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6</xdr:row>
      <xdr:rowOff>133350</xdr:rowOff>
    </xdr:from>
    <xdr:to>
      <xdr:col>12</xdr:col>
      <xdr:colOff>579120</xdr:colOff>
      <xdr:row>21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13</xdr:row>
      <xdr:rowOff>64770</xdr:rowOff>
    </xdr:from>
    <xdr:to>
      <xdr:col>10</xdr:col>
      <xdr:colOff>388620</xdr:colOff>
      <xdr:row>28</xdr:row>
      <xdr:rowOff>64770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8</xdr:row>
      <xdr:rowOff>34290</xdr:rowOff>
    </xdr:from>
    <xdr:to>
      <xdr:col>12</xdr:col>
      <xdr:colOff>403860</xdr:colOff>
      <xdr:row>23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99060</xdr:rowOff>
    </xdr:from>
    <xdr:to>
      <xdr:col>7</xdr:col>
      <xdr:colOff>304800</xdr:colOff>
      <xdr:row>20</xdr:row>
      <xdr:rowOff>99060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518160</xdr:colOff>
      <xdr:row>5</xdr:row>
      <xdr:rowOff>53340</xdr:rowOff>
    </xdr:from>
    <xdr:to>
      <xdr:col>15</xdr:col>
      <xdr:colOff>213360</xdr:colOff>
      <xdr:row>20</xdr:row>
      <xdr:rowOff>53340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297180</xdr:colOff>
      <xdr:row>5</xdr:row>
      <xdr:rowOff>106680</xdr:rowOff>
    </xdr:from>
    <xdr:to>
      <xdr:col>22</xdr:col>
      <xdr:colOff>601980</xdr:colOff>
      <xdr:row>20</xdr:row>
      <xdr:rowOff>106680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46.76660023148" createdVersion="5" refreshedVersion="5" minRefreshableVersion="3" recordCount="499">
  <cacheSource type="worksheet">
    <worksheetSource name="Table3"/>
  </cacheSource>
  <cacheFields count="9">
    <cacheField name="Customer_ID" numFmtId="0">
      <sharedItems count="499">
        <s v="CUST1000"/>
        <s v="CUST1001"/>
        <s v="CUST1002"/>
        <s v="CUST1003"/>
        <s v="CUST1004"/>
        <s v="CUST1005"/>
        <s v="CUST1006"/>
        <s v="CUST1007"/>
        <s v="CUST1008"/>
        <s v="CUST1009"/>
        <s v="CUST1010"/>
        <s v="CUST1011"/>
        <s v="CUST1012"/>
        <s v="CUST1013"/>
        <s v="CUST1014"/>
        <s v="CUST1015"/>
        <s v="CUST1016"/>
        <s v="CUST1017"/>
        <s v="CUST1018"/>
        <s v="CUST1019"/>
        <s v="CUST1020"/>
        <s v="CUST1021"/>
        <s v="CUST1022"/>
        <s v="CUST1023"/>
        <s v="CUST1024"/>
        <s v="CUST1025"/>
        <s v="CUST1026"/>
        <s v="CUST1027"/>
        <s v="CUST1028"/>
        <s v="CUST1029"/>
        <s v="CUST1030"/>
        <s v="CUST1031"/>
        <s v="CUST1032"/>
        <s v="CUST1033"/>
        <s v="CUST1034"/>
        <s v="CUST1035"/>
        <s v="CUST1036"/>
        <s v="CUST1037"/>
        <s v="CUST1038"/>
        <s v="CUST1039"/>
        <s v="CUST1040"/>
        <s v="CUST1041"/>
        <s v="CUST1042"/>
        <s v="CUST1043"/>
        <s v="CUST1044"/>
        <s v="CUST1045"/>
        <s v="CUST1046"/>
        <s v="CUST1047"/>
        <s v="CUST1048"/>
        <s v="CUST1049"/>
        <s v="CUST1050"/>
        <s v="CUST1051"/>
        <s v="CUST1052"/>
        <s v="CUST1053"/>
        <s v="CUST1054"/>
        <s v="CUST1055"/>
        <s v="CUST1056"/>
        <s v="CUST1057"/>
        <s v="CUST1058"/>
        <s v="CUST1059"/>
        <s v="CUST1060"/>
        <s v="CUST1061"/>
        <s v="CUST1062"/>
        <s v="CUST1063"/>
        <s v="CUST1064"/>
        <s v="CUST1065"/>
        <s v="CUST1066"/>
        <s v="CUST1067"/>
        <s v="CUST1068"/>
        <s v="CUST1069"/>
        <s v="CUST1070"/>
        <s v="CUST1071"/>
        <s v="CUST1072"/>
        <s v="CUST1073"/>
        <s v="CUST1074"/>
        <s v="CUST1075"/>
        <s v="CUST1076"/>
        <s v="CUST1077"/>
        <s v="CUST1078"/>
        <s v="CUST1079"/>
        <s v="CUST1080"/>
        <s v="CUST1081"/>
        <s v="CUST1082"/>
        <s v="CUST1083"/>
        <s v="CUST1084"/>
        <s v="CUST1085"/>
        <s v="CUST1086"/>
        <s v="CUST1087"/>
        <s v="CUST1088"/>
        <s v="CUST1089"/>
        <s v="CUST1090"/>
        <s v="CUST1091"/>
        <s v="CUST1092"/>
        <s v="CUST1093"/>
        <s v="CUST1094"/>
        <s v="CUST1095"/>
        <s v="CUST1096"/>
        <s v="CUST1097"/>
        <s v="CUST1098"/>
        <s v="CUST1099"/>
        <s v="CUST1100"/>
        <s v="CUST1101"/>
        <s v="CUST1102"/>
        <s v="CUST1103"/>
        <s v="CUST1104"/>
        <s v="CUST1105"/>
        <s v="CUST1106"/>
        <s v="CUST1107"/>
        <s v="CUST1108"/>
        <s v="CUST1109"/>
        <s v="CUST1110"/>
        <s v="CUST1111"/>
        <s v="CUST1112"/>
        <s v="CUST1113"/>
        <s v="CUST1114"/>
        <s v="CUST1115"/>
        <s v="CUST1116"/>
        <s v="CUST1117"/>
        <s v="CUST1118"/>
        <s v="CUST1119"/>
        <s v="CUST1120"/>
        <s v="CUST1121"/>
        <s v="CUST1122"/>
        <s v="CUST1123"/>
        <s v="CUST1124"/>
        <s v="CUST1125"/>
        <s v="CUST1126"/>
        <s v="CUST1127"/>
        <s v="CUST1128"/>
        <s v="CUST1129"/>
        <s v="CUST1130"/>
        <s v="CUST1131"/>
        <s v="CUST1132"/>
        <s v="CUST1133"/>
        <s v="CUST1134"/>
        <s v="CUST1135"/>
        <s v="CUST1136"/>
        <s v="CUST1137"/>
        <s v="CUST1138"/>
        <s v="CUST1139"/>
        <s v="CUST1140"/>
        <s v="CUST1141"/>
        <s v="CUST1142"/>
        <s v="CUST1143"/>
        <s v="CUST1144"/>
        <s v="CUST1145"/>
        <s v="CUST1146"/>
        <s v="CUST1147"/>
        <s v="CUST1148"/>
        <s v="CUST1149"/>
        <s v="CUST1150"/>
        <s v="CUST1151"/>
        <s v="CUST1152"/>
        <s v="CUST1153"/>
        <s v="CUST1154"/>
        <s v="CUST1155"/>
        <s v="CUST1156"/>
        <s v="CUST1157"/>
        <s v="CUST1158"/>
        <s v="CUST1159"/>
        <s v="CUST1160"/>
        <s v="CUST1161"/>
        <s v="CUST1162"/>
        <s v="CUST1163"/>
        <s v="CUST1164"/>
        <s v="CUST1165"/>
        <s v="CUST1166"/>
        <s v="CUST1167"/>
        <s v="CUST1168"/>
        <s v="CUST1169"/>
        <s v="CUST1170"/>
        <s v="CUST1171"/>
        <s v="CUST1172"/>
        <s v="CUST1173"/>
        <s v="CUST1174"/>
        <s v="CUST1175"/>
        <s v="CUST1176"/>
        <s v="CUST1177"/>
        <s v="CUST1178"/>
        <s v="CUST1179"/>
        <s v="CUST1180"/>
        <s v="CUST1181"/>
        <s v="CUST1182"/>
        <s v="CUST1183"/>
        <s v="CUST1184"/>
        <s v="CUST1185"/>
        <s v="CUST1186"/>
        <s v="CUST1187"/>
        <s v="CUST1188"/>
        <s v="CUST1189"/>
        <s v="CUST1190"/>
        <s v="CUST1191"/>
        <s v="CUST1192"/>
        <s v="CUST1193"/>
        <s v="CUST1194"/>
        <s v="CUST1195"/>
        <s v="CUST1196"/>
        <s v="CUST1197"/>
        <s v="CUST1198"/>
        <s v="CUST1199"/>
        <s v="CUST1200"/>
        <s v="CUST1201"/>
        <s v="CUST1202"/>
        <s v="CUST1203"/>
        <s v="CUST1204"/>
        <s v="CUST1205"/>
        <s v="CUST1206"/>
        <s v="CUST1207"/>
        <s v="CUST1208"/>
        <s v="CUST1209"/>
        <s v="CUST1210"/>
        <s v="CUST1211"/>
        <s v="CUST1212"/>
        <s v="CUST1213"/>
        <s v="CUST1214"/>
        <s v="CUST1215"/>
        <s v="CUST1216"/>
        <s v="CUST1217"/>
        <s v="CUST1218"/>
        <s v="CUST1219"/>
        <s v="CUST1220"/>
        <s v="CUST1221"/>
        <s v="CUST1222"/>
        <s v="CUST1223"/>
        <s v="CUST1224"/>
        <s v="CUST1225"/>
        <s v="CUST1226"/>
        <s v="CUST1227"/>
        <s v="CUST1228"/>
        <s v="CUST1229"/>
        <s v="CUST1230"/>
        <s v="CUST1231"/>
        <s v="CUST1232"/>
        <s v="CUST1233"/>
        <s v="CUST1234"/>
        <s v="CUST1235"/>
        <s v="CUST1236"/>
        <s v="CUST1237"/>
        <s v="CUST1238"/>
        <s v="CUST1239"/>
        <s v="CUST1240"/>
        <s v="CUST1241"/>
        <s v="CUST1242"/>
        <s v="CUST1243"/>
        <s v="CUST1244"/>
        <s v="CUST1245"/>
        <s v="CUST1246"/>
        <s v="CUST1247"/>
        <s v="CUST1248"/>
        <s v="CUST1249"/>
        <s v="CUST1250"/>
        <s v="CUST1251"/>
        <s v="CUST1252"/>
        <s v="CUST1253"/>
        <s v="CUST1254"/>
        <s v="CUST1255"/>
        <s v="CUST1256"/>
        <s v="CUST1257"/>
        <s v="CUST1258"/>
        <s v="CUST1259"/>
        <s v="CUST1260"/>
        <s v="CUST1261"/>
        <s v="CUST1262"/>
        <s v="CUST1263"/>
        <s v="CUST1264"/>
        <s v="CUST1265"/>
        <s v="CUST1266"/>
        <s v="CUST1267"/>
        <s v="CUST1268"/>
        <s v="CUST1269"/>
        <s v="CUST1270"/>
        <s v="CUST1271"/>
        <s v="CUST1272"/>
        <s v="CUST1273"/>
        <s v="CUST1274"/>
        <s v="CUST1275"/>
        <s v="CUST1276"/>
        <s v="CUST1277"/>
        <s v="CUST1278"/>
        <s v="CUST1279"/>
        <s v="CUST1280"/>
        <s v="CUST1281"/>
        <s v="CUST1282"/>
        <s v="CUST1283"/>
        <s v="CUST1284"/>
        <s v="CUST1285"/>
        <s v="CUST1286"/>
        <s v="CUST1287"/>
        <s v="CUST1288"/>
        <s v="CUST1289"/>
        <s v="CUST1290"/>
        <s v="CUST1291"/>
        <s v="CUST1292"/>
        <s v="CUST1293"/>
        <s v="CUST1294"/>
        <s v="CUST1295"/>
        <s v="CUST1296"/>
        <s v="CUST1297"/>
        <s v="CUST1298"/>
        <s v="CUST1299"/>
        <s v="CUST1300"/>
        <s v="CUST1301"/>
        <s v="CUST1302"/>
        <s v="CUST1303"/>
        <s v="CUST1304"/>
        <s v="CUST1305"/>
        <s v="CUST1306"/>
        <s v="CUST1307"/>
        <s v="CUST1308"/>
        <s v="CUST1309"/>
        <s v="CUST1310"/>
        <s v="CUST1311"/>
        <s v="CUST1312"/>
        <s v="CUST1313"/>
        <s v="CUST1314"/>
        <s v="CUST1315"/>
        <s v="CUST1316"/>
        <s v="CUST1317"/>
        <s v="CUST1318"/>
        <s v="CUST1319"/>
        <s v="CUST1320"/>
        <s v="CUST1321"/>
        <s v="CUST1322"/>
        <s v="CUST1323"/>
        <s v="CUST1324"/>
        <s v="CUST1325"/>
        <s v="CUST1326"/>
        <s v="CUST1327"/>
        <s v="CUST1328"/>
        <s v="CUST1329"/>
        <s v="CUST1330"/>
        <s v="CUST1331"/>
        <s v="CUST1332"/>
        <s v="CUST1333"/>
        <s v="CUST1334"/>
        <s v="CUST1335"/>
        <s v="CUST1336"/>
        <s v="CUST1337"/>
        <s v="CUST1338"/>
        <s v="CUST1339"/>
        <s v="CUST1340"/>
        <s v="CUST1341"/>
        <s v="CUST1342"/>
        <s v="CUST1343"/>
        <s v="CUST1344"/>
        <s v="CUST1345"/>
        <s v="CUST1346"/>
        <s v="CUST1347"/>
        <s v="CUST1348"/>
        <s v="CUST1349"/>
        <s v="CUST1350"/>
        <s v="CUST1351"/>
        <s v="CUST1352"/>
        <s v="CUST1353"/>
        <s v="CUST1354"/>
        <s v="CUST1355"/>
        <s v="CUST1356"/>
        <s v="CUST1357"/>
        <s v="CUST1358"/>
        <s v="CUST1359"/>
        <s v="CUST1360"/>
        <s v="CUST1361"/>
        <s v="CUST1362"/>
        <s v="CUST1363"/>
        <s v="CUST1364"/>
        <s v="CUST1365"/>
        <s v="CUST1366"/>
        <s v="CUST1367"/>
        <s v="CUST1368"/>
        <s v="CUST1369"/>
        <s v="CUST1370"/>
        <s v="CUST1371"/>
        <s v="CUST1372"/>
        <s v="CUST1373"/>
        <s v="CUST1374"/>
        <s v="CUST1375"/>
        <s v="CUST1376"/>
        <s v="CUST1377"/>
        <s v="CUST1378"/>
        <s v="CUST1379"/>
        <s v="CUST1380"/>
        <s v="CUST1381"/>
        <s v="CUST1382"/>
        <s v="CUST1383"/>
        <s v="CUST1384"/>
        <s v="CUST1385"/>
        <s v="CUST1386"/>
        <s v="CUST1387"/>
        <s v="CUST1388"/>
        <s v="CUST1389"/>
        <s v="CUST1390"/>
        <s v="CUST1391"/>
        <s v="CUST1392"/>
        <s v="CUST1393"/>
        <s v="CUST1394"/>
        <s v="CUST1395"/>
        <s v="CUST1396"/>
        <s v="CUST1397"/>
        <s v="CUST1398"/>
        <s v="CUST1399"/>
        <s v="CUST1400"/>
        <s v="CUST1401"/>
        <s v="CUST1402"/>
        <s v="CUST1403"/>
        <s v="CUST1404"/>
        <s v="CUST1405"/>
        <s v="CUST1406"/>
        <s v="CUST1407"/>
        <s v="CUST1408"/>
        <s v="CUST1409"/>
        <s v="CUST1410"/>
        <s v="CUST1411"/>
        <s v="CUST1412"/>
        <s v="CUST1413"/>
        <s v="CUST1414"/>
        <s v="CUST1415"/>
        <s v="CUST1416"/>
        <s v="CUST1417"/>
        <s v="CUST1418"/>
        <s v="CUST1419"/>
        <s v="CUST1420"/>
        <s v="CUST1421"/>
        <s v="CUST1422"/>
        <s v="CUST1423"/>
        <s v="CUST1424"/>
        <s v="CUST1425"/>
        <s v="CUST1426"/>
        <s v="CUST1427"/>
        <s v="CUST1428"/>
        <s v="CUST1429"/>
        <s v="CUST1430"/>
        <s v="CUST1431"/>
        <s v="CUST1432"/>
        <s v="CUST1433"/>
        <s v="CUST1434"/>
        <s v="CUST1435"/>
        <s v="CUST1436"/>
        <s v="CUST1437"/>
        <s v="CUST1438"/>
        <s v="CUST1439"/>
        <s v="CUST1440"/>
        <s v="CUST1441"/>
        <s v="CUST1442"/>
        <s v="CUST1443"/>
        <s v="CUST1444"/>
        <s v="CUST1445"/>
        <s v="CUST1446"/>
        <s v="CUST1447"/>
        <s v="CUST1448"/>
        <s v="CUST1449"/>
        <s v="CUST1450"/>
        <s v="CUST1451"/>
        <s v="CUST1452"/>
        <s v="CUST1453"/>
        <s v="CUST1454"/>
        <s v="CUST1455"/>
        <s v="CUST1456"/>
        <s v="CUST1457"/>
        <s v="CUST1458"/>
        <s v="CUST1459"/>
        <s v="CUST1460"/>
        <s v="CUST1461"/>
        <s v="CUST1462"/>
        <s v="CUST1463"/>
        <s v="C-1464"/>
        <s v="CUST1465"/>
        <s v="CUST1466"/>
        <s v="CUST1467"/>
        <s v="CUST1468"/>
        <s v="CUST1469"/>
        <s v="CUST1470"/>
        <s v="CUST1471"/>
        <s v="CUST1472"/>
        <s v="CUST1473"/>
        <s v="CUST1474"/>
        <s v="CUST1475"/>
        <s v="CUST1476"/>
        <s v="CUST1477"/>
        <s v="CUST1478"/>
        <s v="CUST1479"/>
        <s v="CUST1480"/>
        <s v="CUST1481"/>
        <s v="CUST1482"/>
        <s v="CUST1483"/>
        <s v="CUST1484"/>
        <s v="CUST1485"/>
        <s v="C-1486"/>
        <s v="CUST1487"/>
        <s v="CUST1488"/>
        <s v="CUST1489"/>
        <s v="CUST1490"/>
        <s v="C-1491"/>
        <s v="CUST1492"/>
        <s v="CUST1493"/>
        <s v="CUST1494"/>
        <s v="CUST1495"/>
        <s v="CUST1496"/>
        <s v="CUST1497"/>
        <s v="CUST1498"/>
      </sharedItems>
    </cacheField>
    <cacheField name="Name" numFmtId="0">
      <sharedItems/>
    </cacheField>
    <cacheField name="Age" numFmtId="0">
      <sharedItems containsSemiMixedTypes="0" containsString="0" containsNumber="1" containsInteger="1" minValue="18" maxValue="64"/>
    </cacheField>
    <cacheField name="Gender" numFmtId="0">
      <sharedItems count="2">
        <s v="Male"/>
        <s v="Female"/>
      </sharedItems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Loyalty_Level" numFmtId="0">
      <sharedItems count="4">
        <s v="Platinum"/>
        <s v="Bronze"/>
        <s v="Silver"/>
        <s v="Gold"/>
      </sharedItems>
    </cacheField>
    <cacheField name="Name2" numFmtId="0">
      <sharedItems count="497">
        <s v="Sheena Bonilla  "/>
        <s v="Eugene Nelson"/>
        <s v="Dr. Benjamin Price"/>
        <s v="Jeremy Harris"/>
        <s v="Caroline Collins"/>
        <s v="Christine Vaughn"/>
        <s v="Amber Jackson"/>
        <s v="Daniel Boyd"/>
        <s v="Melissa Howard"/>
        <s v="Ms. Maria Leach"/>
        <s v="Dominic Page"/>
        <s v="Brian Lopez"/>
        <s v="Kenneth Lambert"/>
        <s v="Nathan Hernandez"/>
        <s v="Ashley Cohen"/>
        <s v="Laura Alvarez"/>
        <s v="John Scott"/>
        <s v="Adam Cruz"/>
        <s v="Rhonda Moss"/>
        <s v="Michael Torres"/>
        <s v="Bridget Allen"/>
        <s v="Jeff Martinez"/>
        <s v="Paul Fox"/>
        <s v="Jonathan Steele"/>
        <s v="Heather Collins"/>
        <s v="Diana Taylor"/>
        <s v="Amber Carlson"/>
        <s v="Leslie Johnson"/>
        <s v="Joshua Ryan"/>
        <s v="David Arnold"/>
        <s v="Jessica Acevedo"/>
        <s v="Sarah Vance"/>
        <s v="Mike Jennings"/>
        <s v="Robert Jones Dds"/>
        <s v="Christopher Olson"/>
        <s v="Rachel Myers"/>
        <s v="Thomas Phillips"/>
        <s v="Christopher Carter"/>
        <s v="Deanna Simpson"/>
        <s v="Tonya Reynolds"/>
        <s v="Eric Vega"/>
        <s v="James Gibbs"/>
        <s v="William Martin"/>
        <s v="Joseph Snow"/>
        <s v="Denise Williams"/>
        <s v="Jordan Jackson Dds"/>
        <s v="Michelle Garcia Dds"/>
        <s v="Gina Knight"/>
        <s v="April Mullins"/>
        <s v="Timothy Weaver"/>
        <s v="Matthew Hunter Jr."/>
        <s v="Sarah Rodgers"/>
        <s v="Debra Liu"/>
        <s v="Sharon Brown"/>
        <s v="Katherine Dorsey"/>
        <s v="Wayne Mcpherson"/>
        <s v="Christopher Sutton"/>
        <s v="Jay Patel"/>
        <s v="Cheryl Copeland"/>
        <s v="Alyssa Vargas"/>
        <s v="Dr. David Smith"/>
        <s v="Kristin Stein"/>
        <s v="James Bean"/>
        <s v="Michael Daniel"/>
        <s v="Mr. Mason Butler"/>
        <s v="Michael Thomas"/>
        <s v="Cody Diaz"/>
        <s v="Amber Mcclain"/>
        <s v="Mr. Mark Beasley"/>
        <s v="Roy Cole"/>
        <s v="Eric Singh"/>
        <s v="Andrea Perez"/>
        <s v="Tonya Burch"/>
        <s v="Christopher Brown"/>
        <s v="John Mayer"/>
        <s v="Rhonda Morales"/>
        <s v="Nathan Campbell"/>
        <s v="Katherine Young"/>
        <s v="Cody Blake"/>
        <s v="Molly Gardner"/>
        <s v="Jennifer Garcia"/>
        <s v="Krystal Ford"/>
        <s v="George Rosario"/>
        <s v="Thomas Robinson"/>
        <s v="Christy Hoffman"/>
        <s v="Richard Delgado"/>
        <s v="Tammy Miller Md"/>
        <s v="Melissa Duffy Md"/>
        <s v="Timothy Wright"/>
        <s v="Jamie Yoder"/>
        <s v="Oscar Moon"/>
        <s v="Donna Gregory"/>
        <s v="Robert Jackson"/>
        <s v="Christy Vasquez"/>
        <s v="David Patterson"/>
        <s v="Amy Fowler"/>
        <s v="Samantha Walker"/>
        <s v="David Cobb"/>
        <s v="Brittney Morgan"/>
        <s v="Sheila Wilson"/>
        <s v="Diane Watson"/>
        <s v="Colleen Maynard"/>
        <s v="Sarah Schneider"/>
        <s v="Steven Stein"/>
        <s v="Christopher Lester"/>
        <s v="Lance Baker"/>
        <s v="Howard Summers"/>
        <s v="Erica Carney"/>
        <s v="Travis Holland"/>
        <s v="Amy Walker"/>
        <s v="Ashley Griffin"/>
        <s v="Julie Farmer"/>
        <s v="David Cole"/>
        <s v="Edward Hall"/>
        <s v="Ryan Hernandez"/>
        <s v="Tyler Conrad"/>
        <s v="Anthony Phillips"/>
        <s v="Colleen Mccarthy"/>
        <s v="Earl Allen"/>
        <s v="Michael Jones"/>
        <s v="Jacob Hopkins"/>
        <s v="Joel Robinson"/>
        <s v="Michael Chang"/>
        <s v="Erin Hopkins"/>
        <s v="Donald Lee"/>
        <s v="Keith Miller"/>
        <s v="James Wolfe"/>
        <s v="John Mcknight"/>
        <s v="Susan Mcdonald"/>
        <s v="Jessica Mitchell"/>
        <s v="Jamie Reyes"/>
        <s v="Joseph Richards"/>
        <s v="Miguel Reynolds"/>
        <s v="Hayley Pope"/>
        <s v="Morgan Bowen"/>
        <s v="Matthew Hanna"/>
        <s v="Patrick Coleman"/>
        <s v="Rick Dominguez"/>
        <s v="Sean Roth"/>
        <s v="Brian Holder"/>
        <s v="Patty Francis"/>
        <s v="Cristian Wright"/>
        <s v="Maria Ramirez"/>
        <s v="Carlos Skinner"/>
        <s v="Justin Cross"/>
        <s v="Cameron Simpson"/>
        <s v="Edward Rivera"/>
        <s v="Rhonda Young"/>
        <s v="Theresa Campbell"/>
        <s v="Denise Griffin"/>
        <s v="Stephanie Conway"/>
        <s v="Michael Davies"/>
        <s v="Patrick Roberts"/>
        <s v="Joseph Faulkner"/>
        <s v="Julie Hale"/>
        <s v="Curtis Haynes"/>
        <s v="Maria Sanchez"/>
        <s v="Paul Zamora"/>
        <s v="Sean Powell"/>
        <s v="Brian Choi"/>
        <s v="John Lawson"/>
        <s v="Cynthia Morris"/>
        <s v="Mariah Brown"/>
        <s v="Joseph Jones"/>
        <s v="Daniel Rivas"/>
        <s v="Jason Wheeler"/>
        <s v="Patricia Gardner"/>
        <s v="Antonio Wade"/>
        <s v="Daniel Contreras"/>
        <s v="Steve Mclaughlin"/>
        <s v="Christopher Garcia Dds"/>
        <s v="Amy Wilson"/>
        <s v="Thomas Rhodes"/>
        <s v="Teresa Stokes"/>
        <s v="Maria Davis"/>
        <s v="Michelle Rogers"/>
        <s v="John Bradford"/>
        <s v="Curtis Lam"/>
        <s v="Michelle Myers"/>
        <s v="Nicholas Bradshaw"/>
        <s v="Wesley Thompson"/>
        <s v="Erin Ward"/>
        <s v="Melissa Hamilton"/>
        <s v="Mario Jacobs"/>
        <s v="Leonard Cochran"/>
        <s v="Brent Rivas"/>
        <s v="Jennifer Pruitt"/>
        <s v="Dr. Suzanne Bullock"/>
        <s v="Kimberly Brooks"/>
        <s v="Daniel Austin"/>
        <s v="Christopher Stewart"/>
        <s v="Todd Poole"/>
        <s v="Jacob Wood"/>
        <s v="David Roberts"/>
        <s v="Ashley Ferguson"/>
        <s v="Anthony Garcia"/>
        <s v="Megan Greer"/>
        <s v="Andrea Jacobs"/>
        <s v="Wanda Snyder"/>
        <s v="Carmen Price"/>
        <s v="Anna Perez"/>
        <s v="Mary Boyd"/>
        <s v="Christina Garcia"/>
        <s v="Sarah Brady"/>
        <s v="Tiffany Herrera"/>
        <s v="Michelle Carpenter"/>
        <s v="Ronald Jones"/>
        <s v="Jacqueline Pacheco"/>
        <s v="John Perez"/>
        <s v="Joan Johnson"/>
        <s v="Antonio Jones"/>
        <s v="Rodney Huffman"/>
        <s v="Blake Harrison"/>
        <s v="Stuart Johnson"/>
        <s v="Eric Todd"/>
        <s v="Steve Medina"/>
        <s v="Kathryn Garcia"/>
        <s v="Kathy Copeland"/>
        <s v="Julia Jackson"/>
        <s v="Jordan Wells"/>
        <s v="George Davis"/>
        <s v="Lisa Young"/>
        <s v="Alejandro Doyle"/>
        <s v="Robert Harris"/>
        <s v="Anthony Morgan"/>
        <s v="Elizabeth Stanley"/>
        <s v="Alexis Castaneda"/>
        <s v="Gregory Pham"/>
        <s v="Casey Flores"/>
        <s v="Tanner Thompson"/>
        <s v="Timothy Sanders"/>
        <s v="Timothy Juarez"/>
        <s v="Christy Hill"/>
        <s v="Michelle Gonzalez"/>
        <s v="Nathaniel Hill"/>
        <s v="Jon Ortiz"/>
        <s v="Joshua Wilson"/>
        <s v="Wesley Short"/>
        <s v="Steven Smith"/>
        <s v="Maria Hill"/>
        <s v="William Hull"/>
        <s v="Mr. William Horton"/>
        <s v="William Jackson"/>
        <s v="Brian Hammond"/>
        <s v="Nancy Page"/>
        <s v="Laura Soto"/>
        <s v="Mary Russell"/>
        <s v="Douglas Rhodes"/>
        <s v="Nicholas Webb"/>
        <s v="Lauren George"/>
        <s v="Veronica Newman"/>
        <s v="Tyler Garner"/>
        <s v="John Mccoy"/>
        <s v="Dr. Ashley Yates Md"/>
        <s v="Linda Kline"/>
        <s v="Damon Perez"/>
        <s v="Kristen Fischer"/>
        <s v="Christopher David"/>
        <s v="Sarah Stewart"/>
        <s v="Beth Allen"/>
        <s v="Russell Lamb"/>
        <s v="Carol Bishop"/>
        <s v="Katherine Cowan"/>
        <s v="Crystal Davis"/>
        <s v="Matthew Payne"/>
        <s v="Tracy Kelly"/>
        <s v="Cynthia Payne"/>
        <s v="Zachary Shelton"/>
        <s v="Kevin Orr"/>
        <s v="Tyrone Olson"/>
        <s v="Brian Garcia"/>
        <s v="Daisy Johnson Dds"/>
        <s v="Adam Rowland"/>
        <s v="Samantha Robinson"/>
        <s v="Sarah Lane"/>
        <s v="Shannon Miller"/>
        <s v="Arthur Warren"/>
        <s v="Jeffrey Gomez"/>
        <s v="Stephen Fowler"/>
        <s v="Aaron Luna"/>
        <s v="Antonio Leon"/>
        <s v="Brittany Watson"/>
        <s v="Kristi Lopez"/>
        <s v="Bryan Garcia"/>
        <s v="Hunter Sutton"/>
        <s v="Donna Guerra"/>
        <s v="Tommy Roberts"/>
        <s v="Cynthia Roberts"/>
        <s v="Misty Ferguson"/>
        <s v="Jennifer Figueroa"/>
        <s v="Chase Williams Md"/>
        <s v="James Powell"/>
        <s v="Ricardo Jones"/>
        <s v="Gloria Taylor"/>
        <s v="Lisa Chandler"/>
        <s v="Crystal Waters"/>
        <s v="Jared Moran"/>
        <s v="Jennifer Carr"/>
        <s v="Tracy Stephens"/>
        <s v="Stephanie Jacobs"/>
        <s v="Matthew Avery"/>
        <s v="Ryan Kane"/>
        <s v="Edward Cole"/>
        <s v="John Sloan"/>
        <s v="Miss Alexandria Li Dvm"/>
        <s v="Roberta Green"/>
        <s v="Angela Robinson"/>
        <s v="Brandy Thompson"/>
        <s v="Jennifer Zamora"/>
        <s v="Stacy Collins"/>
        <s v="Kara Dodson"/>
        <s v="Kevin Larson"/>
        <s v="Jason Mullins"/>
        <s v="Elizabeth Jones"/>
        <s v="Elizabeth Johnson"/>
        <s v="William Rodriguez"/>
        <s v="Robert House"/>
        <s v="Tiffany Williams"/>
        <s v="Madison Wright"/>
        <s v="Casey Simpson"/>
        <s v="Jessica Gonzalez"/>
        <s v="Darren Burton"/>
        <s v="Samuel Arias"/>
        <s v="Kristy Dunlap"/>
        <s v="Alex Mann Ii"/>
        <s v="Andrew Smith"/>
        <s v="Robert King"/>
        <s v="Reginald Willis"/>
        <s v="Mario Harvey Jr."/>
        <s v="Victor Mcintosh"/>
        <s v="Pamela Mcguire"/>
        <s v="Maria Phillips"/>
        <s v="Dr. Lindsay Hanna"/>
        <s v="Teresa Johnson"/>
        <s v="Mr. Christopher Sims"/>
        <s v="Jennifer Woods"/>
        <s v="John Jones"/>
        <s v="Carol Lewis"/>
        <s v="Jasmine Snyder"/>
        <s v="Mrs. Susan Buckley"/>
        <s v="Eric Davis"/>
        <s v="Angela Williams"/>
        <s v="Michelle Cunningham"/>
        <s v="Ryan Moore"/>
        <s v="Evelyn Brown"/>
        <s v="Daniel Nelson"/>
        <s v="John Jordan"/>
        <s v="Justin Mason Dds"/>
        <s v="Sherry Cabrera"/>
        <s v="Heather Valenzuela"/>
        <s v="Charles Miller"/>
        <s v="Jeffrey Mccarthy"/>
        <s v="Michael Greene"/>
        <s v="   Laura Green"/>
        <s v="Ryan Torres"/>
        <s v="Carlos Flores"/>
        <s v="Steve Hunt"/>
        <s v="Manuel Castillo"/>
        <s v="Ashley Anderson"/>
        <s v="Melanie Lam"/>
        <s v="Denise Tate"/>
        <s v="Natalie Johnson"/>
        <s v="Joshua Smith Dvm"/>
        <s v="Elizabeth Smith"/>
        <s v="Chloe Aguilar"/>
        <s v="Brandon Mcbride"/>
        <s v="Mallory Allen"/>
        <s v="Melinda Johnson"/>
        <s v="Miranda King"/>
        <s v="Gregory Allen"/>
        <s v="James Holloway Jr."/>
        <s v="Michael Garner"/>
        <s v="Jacqueline Anthony"/>
        <s v="James Orozco"/>
        <s v="Emma Wilson"/>
        <s v="Joshua Bell"/>
        <s v="Michele Burke"/>
        <s v="Charles Conley"/>
        <s v="Frank Stewart"/>
        <s v="Tanya Lopez"/>
        <s v="Shelley Ponce"/>
        <s v="Erika Padilla"/>
        <s v="Martha Brown"/>
        <s v="Kristine Higgins"/>
        <s v="Andrew Mason"/>
        <s v="Tammy Brennan"/>
        <s v="Melanie Mitchell"/>
        <s v="Timothy Gardner"/>
        <s v="Timothy Valenzuela"/>
        <s v="Cynthia Lopez"/>
        <s v="Daniel Bell"/>
        <s v="Heidi Tyler"/>
        <s v="Jacqueline Payne"/>
        <s v="Michael Mcneil"/>
        <s v="Alejandro Evans"/>
        <s v="Brandon Mcguire"/>
        <s v="Alexander Byrd"/>
        <s v="Charles Norman Phd"/>
        <s v="Jennifer Johnson"/>
        <s v="John Donaldson"/>
        <s v="Mark Rogers"/>
        <s v="Terry Moses"/>
        <s v="Cassandra Perez"/>
        <s v="Justin Ingram"/>
        <s v="David Ross"/>
        <s v="Eric Wolfe"/>
        <s v="David Lozano"/>
        <s v="Joseph Mendoza"/>
        <s v="Isabel Foster"/>
        <s v="Sarah Smith"/>
        <s v="Jackie Thompson"/>
        <s v="Katrina Perez"/>
        <s v="Shane Brown"/>
        <s v="Megan Ryan"/>
        <s v="Melissa Valentine"/>
        <s v="Tyler Cook"/>
        <s v="Jennifer Myers"/>
        <s v="Karen King"/>
        <s v="Luke Parks"/>
        <s v="Monica Miller"/>
        <s v="Dr. Tamara White Md"/>
        <s v="Holly Robinson"/>
        <s v="Brittany Edwards Dds"/>
        <s v="Rebecca Baker"/>
        <s v="Edwin Barnes"/>
        <s v="Bryce Hawkins"/>
        <s v="Jeanette Nichols"/>
        <s v="Jose Stewart"/>
        <s v="Samuel Mullins"/>
        <s v="Sean Vang"/>
        <s v="Kimberly Roberts"/>
        <s v="John Smith"/>
        <s v="Summer Weiss"/>
        <s v="Thomas Moore"/>
        <s v="Monique Castro"/>
        <s v="Lindsay Beasley"/>
        <s v="Sharon Simpson"/>
        <s v="Melinda Rivera"/>
        <s v="Monica Flynn"/>
        <s v="John Compton"/>
        <s v="Tammy Trevino"/>
        <s v="Dalton Walters"/>
        <s v="Kelli Smith"/>
        <s v="Adam Castro"/>
        <s v="Cheryl Carr"/>
        <s v="Gene Lee"/>
        <s v="Shannon Turner"/>
        <s v="Monica Wright"/>
        <s v="Eric Holmes"/>
        <s v="William Cortez"/>
        <s v="Shane Mills"/>
        <s v="Ashley Roberts"/>
        <s v="Jeffery Wolf"/>
        <s v="April Phillips"/>
        <s v="John Berg"/>
        <s v="Tyler Weber"/>
        <s v="Julie Powell"/>
        <s v="Christina Robertson"/>
        <s v="Kelly Garrett"/>
        <s v="Justin Johnson"/>
        <s v="Paul Cox"/>
        <s v="Beth Martin"/>
        <s v="Samantha Lee"/>
        <s v="David Pierce"/>
        <s v="Ronald Ross"/>
        <s v="Cynthia Parrish"/>
        <s v="Michael Foley"/>
        <s v="Gregory Curtis"/>
        <s v="James Foster"/>
        <s v="Manuel Fisher"/>
        <s v="Debra Mccullough"/>
        <s v="Philip Mendoza"/>
        <s v="Laura Mathews"/>
        <s v="Joshua Howard"/>
        <s v="Barbara Berry"/>
        <s v="Elizabeth Foster"/>
        <s v="Andrea Harris"/>
        <s v="Earl Smith Dds"/>
        <s v="Dylan Gutierrez"/>
        <s v="Jordan Medina"/>
        <s v="Bryan Tran"/>
        <s v="Sheri Joyce"/>
        <s v="Jessica Castro"/>
        <s v="Sara Ingram"/>
        <s v="Eric Lee"/>
        <s v="Amanda Medina"/>
        <s v="Zachary Andrade"/>
        <s v="Melinda Thomas"/>
        <s v="Scott Harris"/>
        <s v="Kaitlin Brown"/>
        <s v="Darrell Miller"/>
        <s v="Amanda Powell"/>
        <s v="Justin Lopez"/>
        <s v="James Berger"/>
        <s v="Christopher Ford"/>
        <s v="Sarah Marsh"/>
        <s v="Traci Gonzale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246.779459259262" createdVersion="5" refreshedVersion="5" minRefreshableVersion="3" recordCount="2000">
  <cacheSource type="worksheet">
    <worksheetSource name="Table2"/>
  </cacheSource>
  <cacheFields count="18">
    <cacheField name="Sales_ID" numFmtId="0">
      <sharedItems/>
    </cacheField>
    <cacheField name="Order_Date" numFmtId="0">
      <sharedItems containsDate="1" containsMixedTypes="1" minDate="2023-10-14T00:00:00" maxDate="2025-10-14T00:00:00"/>
    </cacheField>
    <cacheField name="Customer_ID" numFmtId="0">
      <sharedItems/>
    </cacheField>
    <cacheField name="Product_ID" numFmtId="0">
      <sharedItems/>
    </cacheField>
    <cacheField name="Store_ID" numFmtId="0">
      <sharedItems/>
    </cacheField>
    <cacheField name="Quantity" numFmtId="0">
      <sharedItems containsMixedTypes="1" containsNumber="1" minValue="1" maxValue="4"/>
    </cacheField>
    <cacheField name="Unit_Price" numFmtId="165">
      <sharedItems containsMixedTypes="1" containsNumber="1" minValue="20.09" maxValue="999.89"/>
    </cacheField>
    <cacheField name="Discount" numFmtId="0">
      <sharedItems containsBlank="1" containsMixedTypes="1" containsNumber="1" minValue="0.01" maxValue="0.3"/>
    </cacheField>
    <cacheField name="Payment_Type" numFmtId="0">
      <sharedItems/>
    </cacheField>
    <cacheField name="Total_Amount" numFmtId="0">
      <sharedItems containsBlank="1" containsMixedTypes="1" containsNumber="1" minValue="18.459" maxValue="3908.2428"/>
    </cacheField>
    <cacheField name="sumif " numFmtId="165">
      <sharedItems containsMixedTypes="1" containsNumber="1" minValue="932.88504598782697" maxValue="689782.6076318844"/>
    </cacheField>
    <cacheField name="countif" numFmtId="0">
      <sharedItems containsMixedTypes="1" containsNumber="1" containsInteger="1" minValue="1" maxValue="669"/>
    </cacheField>
    <cacheField name="order date" numFmtId="0">
      <sharedItems count="535">
        <s v="07-07-2024"/>
        <s v="25-12-2023"/>
        <s v="03-06-2024"/>
        <s v="29-11-2023"/>
        <s v="06-01-2024"/>
        <s v="26-07-2024"/>
        <s v="12-07-2025"/>
        <s v="18-11-2023"/>
        <s v="04-05-2025"/>
        <s v="31-07-2025"/>
        <s v="13-02-2024"/>
        <s v="24-05-2025"/>
        <s v="24-08-2024"/>
        <s v="06-08-2025"/>
        <s v="21-06-2025"/>
        <s v="10-12-2024"/>
        <s v="13-09-2025"/>
        <s v="11-12-2024"/>
        <s v="13-08-2024"/>
        <s v="18-03-2024"/>
        <s v="05-07-2025"/>
        <s v="04-06-2024"/>
        <s v="12-04-2024"/>
        <s v="23-06-2024"/>
        <s v="08-09-2025"/>
        <s v="17-09-2024"/>
        <s v="03-01-2024"/>
        <s v="22-02-2025"/>
        <s v="23-09-2025"/>
        <s v="11-01-2024"/>
        <s v="18-10-2023"/>
        <s v="28-10-2024"/>
        <s v="01-11-2024"/>
        <s v="24-11-2024"/>
        <s v="16-10-2023"/>
        <s v="09-08-2025"/>
        <s v="09-12-2024"/>
        <s v="07-02-2024"/>
        <s v="27-03-2024"/>
        <s v="04-12-2023"/>
        <s v="13-07-2024"/>
        <s v="11-11-2023"/>
        <s v="23-12-2024"/>
        <s v="20-01-2025"/>
        <s v="03-09-2024"/>
        <s v="10-11-2024"/>
        <s v="05-10-2024"/>
        <s v="19-10-2023"/>
        <s v="11-11-2024"/>
        <s v="31-12-2023"/>
        <s v="01-02-2025"/>
        <s v="25-08-2025"/>
        <s v="18-02-2025"/>
        <s v="24-10-2024"/>
        <s v="22-12-2023"/>
        <s v="19-06-2024"/>
        <s v="07-12-2024"/>
        <s v="27-11-2023"/>
        <s v="16-07-2025"/>
        <s v="28-02-2025"/>
        <s v="11-08-2024"/>
        <s v="27-09-2025"/>
        <s v="14-09-2025"/>
        <s v="30-12-2023"/>
        <s v="14-10-2023"/>
        <s v="25-11-2023"/>
        <s v="10-12-2023"/>
        <s v="28-08-2025"/>
        <s v="11-07-2025"/>
        <s v="20-08-2025"/>
        <s v="29-08-2024"/>
        <s v="30-11-2024"/>
        <s v="12-10-2025"/>
        <s v="27-07-2024"/>
        <s v="23-05-2025"/>
        <s v="13-11-2024"/>
        <s v="08-12-2023"/>
        <s v="16-08-2025"/>
        <s v="20-11-2024"/>
        <s v="14-08-2024"/>
        <s v="15-05-2024"/>
        <s v="10-09-2024"/>
        <s v="08-04-2025"/>
        <s v="23-10-2024"/>
        <s v="10-07-2025"/>
        <s v="12-10-2024"/>
        <s v="21-01-2024"/>
        <s v="28-02-2024"/>
        <s v="31-12-2024"/>
        <s v="26-08-2024"/>
        <s v="21-09-2024"/>
        <s v="19-08-2024"/>
        <s v="22-10-2024"/>
        <s v="15-10-2024"/>
        <s v="06-07-2024"/>
        <s v="10-06-2024"/>
        <s v="07-09-2025"/>
        <s v="08-02-2024"/>
        <s v="15-10-2023"/>
        <s v="22-08-2025"/>
        <s v="01-02-2024"/>
        <s v="08-05-2025"/>
        <s v="22-03-2025"/>
        <s v="13-07-2025"/>
        <s v="21-05-2025"/>
        <s v="17-02-2025"/>
        <s v="01-05-2024"/>
        <s v="09-07-2024"/>
        <s v="25-09-2025"/>
        <s v="08-05-2024"/>
        <s v="19-09-2024"/>
        <s v="23-04-2024"/>
        <s v="30-07-2024"/>
        <s v="14-12-2023"/>
        <s v="23-09-2024"/>
        <s v="17-08-2025"/>
        <s v="17-01-2025"/>
        <s v="30-04-2025"/>
        <s v="02-11-2024"/>
        <s v="15-08-2025"/>
        <s v="16-09-2025"/>
        <s v="25-02-2024"/>
        <s v="07-03-2025"/>
        <s v="22-07-2024"/>
        <s v="01-06-2024"/>
        <s v="05-01-2025"/>
        <s v="10-09-2025"/>
        <s v="19-06-2025"/>
        <s v="09-09-2024"/>
        <s v="04-04-2025"/>
        <s v="10-04-2024"/>
        <s v="09-04-2025"/>
        <s v="02-03-2025"/>
        <s v="08-10-2024"/>
        <s v="05-06-2024"/>
        <s v="18-08-2024"/>
        <s v="21-11-2024"/>
        <s v="29-07-2024"/>
        <s v="21-05-2024"/>
        <s v="29-10-2024"/>
        <s v="14-10-2024"/>
        <s v="17-11-2024"/>
        <s v="29-03-2025"/>
        <s v="21-07-2024"/>
        <s v="14-08-2025"/>
        <s v="05-11-2024"/>
        <s v="11-06-2024"/>
        <s v="18-09-2025"/>
        <s v="13-03-2025"/>
        <s v="16-12-2023"/>
        <s v="06-05-2024"/>
        <s v="04-08-2024"/>
        <s v="09-12-2023"/>
        <s v="28-07-2025"/>
        <s v="22-01-2024"/>
        <s v="08-04-2024"/>
        <s v="18-05-2025"/>
        <s v="07-12-2023"/>
        <s v="23-01-2024"/>
        <s v="15-12-2024"/>
        <s v="20-03-2024"/>
        <s v="13-01-2025"/>
        <s v="04-06-2025"/>
        <s v="05-11-2023"/>
        <s v="06-04-2025"/>
        <s v="29-01-2025"/>
        <s v="03-03-2024"/>
        <s v="04-11-2024"/>
        <s v="29-04-2024"/>
        <s v="28-04-2025"/>
        <s v="16-06-2024"/>
        <s v="16-04-2025"/>
        <s v="22-11-2024"/>
        <s v="04-09-2025"/>
        <s v="28-10-2023"/>
        <s v="20-12-2024"/>
        <s v="09-03-2025"/>
        <s v="26-03-2025"/>
        <s v="03-04-2025"/>
        <s v="05-02-2024"/>
        <s v="22-06-2024"/>
        <s v="02-06-2024"/>
        <s v="14-12-2024"/>
        <s v="25-10-2023"/>
        <s v="24-07-2024"/>
        <s v="30-05-2025"/>
        <s v="13-10-2025"/>
        <s v="05-03-2024"/>
        <s v="20-10-2023"/>
        <s v="26-10-2023"/>
        <s v="07-04-2025"/>
        <s v="10-03-2024"/>
        <s v="15-09-2025"/>
        <s v="09-01-2025"/>
        <s v="24-04-2024"/>
        <s v="24-12-2023"/>
        <s v="26-02-2024"/>
        <s v="19-01-2025"/>
        <s v="25-07-2025"/>
        <s v="27-04-2024"/>
        <s v="11-08-2025"/>
        <s v="15-03-2025"/>
        <s v="14-01-2025"/>
        <s v="01-06-2025"/>
        <s v="24-09-2024"/>
        <s v="23-11-2023"/>
        <s v="23-07-2025"/>
        <s v="17-09-2025"/>
        <s v="03-05-2025"/>
        <s v="27-02-2024"/>
        <s v="08-07-2025"/>
        <s v="21-04-2025"/>
        <s v="09-08-2024"/>
        <s v="07-08-2025"/>
        <s v="16-02-2024"/>
        <s v="30-03-2025"/>
        <s v="01-03-2025"/>
        <s v="09-01-2024"/>
        <s v="26-04-2025"/>
        <s v="25-02-2025"/>
        <s v="18-06-2025"/>
        <s v="22-12-2024"/>
        <s v="28-06-2025"/>
        <s v="25-05-2024"/>
        <s v="20-09-2024"/>
        <s v="26-05-2025"/>
        <s v="19-03-2025"/>
        <s v="05-02-2025"/>
        <s v="10-01-2025"/>
        <s v="25-01-2024"/>
        <s v="02-10-2025"/>
        <s v="10-07-2024"/>
        <s v="04-01-2025"/>
        <s v="30-07-2025"/>
        <s v="10-04-2025"/>
        <s v="02-07-2024"/>
        <s v="13-12-2024"/>
        <s v="05-03-2025"/>
        <s v="17-01-2024"/>
        <s v="04-04-2024"/>
        <s v="26-05-2024"/>
        <s v="18-07-2025"/>
        <s v="12-07-2024"/>
        <s v="28-12-2024"/>
        <s v="22-05-2024"/>
        <s v="02-08-2025"/>
        <s v="18-10-2024"/>
        <s v="31-10-2024"/>
        <s v="28-11-2024"/>
        <s v="05-06-2025"/>
        <s v="19-11-2024"/>
        <s v="19-05-2024"/>
        <s v="22-01-2025"/>
        <s v="04-07-2025"/>
        <s v="19-05-2025"/>
        <s v="31-07-2024"/>
        <s v="15-11-2024"/>
        <s v="07-04-2024"/>
        <s v="17-02-2024"/>
        <s v="23-05-2024"/>
        <s v="15-06-2025"/>
        <s v="06-01-2025"/>
        <s v="10-08-2025"/>
        <s v="02-07-2025"/>
        <s v="29-03-2024"/>
        <s v="15-01-2025"/>
        <s v="25-04-2024"/>
        <s v="17-04-2025"/>
        <s v="24-09-2025"/>
        <s v="10-11-2023"/>
        <s v="05-07-2024"/>
        <s v="21-08-2025"/>
        <s v="07-06-2025"/>
        <s v="18-01-2024"/>
        <s v="15-08-2024"/>
        <s v="21-09-2025"/>
        <s v="12-01-2024"/>
        <s v="11-03-2025"/>
        <s v="22-09-2024"/>
        <s v="27-11-2024"/>
        <s v="10-10-2025"/>
        <s v="06-09-2024"/>
        <s v="16-07-2024"/>
        <s v="01-04-2025"/>
        <s v="25-11-2024"/>
        <s v="07-11-2024"/>
        <s v="28-07-2024"/>
        <s v="16-04-2024"/>
        <s v="13-01-2024"/>
        <s v="08-01-2024"/>
        <s v="29-09-2024"/>
        <s v="14-11-2024"/>
        <s v="24-02-2025"/>
        <s v="26-06-2024"/>
        <s v="23-02-2025"/>
        <s v="17-03-2025"/>
        <s v="16-08-2024"/>
        <s v="22-03-2024"/>
        <s v="31-01-2025"/>
        <s v="28-03-2025"/>
        <s v="31-08-2024"/>
        <s v="15-12-2023"/>
        <s v="31-01-2024"/>
        <s v="06-12-2023"/>
        <s v="23-08-2025"/>
        <s v="03-11-2023"/>
        <s v="12-05-2025"/>
        <s v="26-09-2024"/>
        <s v="29-09-2025"/>
        <s v="06-07-2025"/>
        <s v="09-06-2025"/>
        <s v="11-10-2024"/>
        <s v="02-12-2024"/>
        <s v="14-11-2023"/>
        <s v="14-02-2024"/>
        <s v="29-06-2025"/>
        <s v="09-02-2024"/>
        <s v="16-06-2025"/>
        <s v="09-09-2025"/>
        <s v="15-07-2025"/>
        <s v="21-10-2023"/>
        <s v="22-07-2025"/>
        <s v="11-02-2025"/>
        <s v="03-06-2025"/>
        <s v="20-03-2025"/>
        <s v="17-06-2024"/>
        <s v="21-02-2025"/>
        <s v="16-09-2024"/>
        <s v="09-10-2025"/>
        <s v="18-09-2024"/>
        <s v="29-05-2025"/>
        <s v="20-01-2024"/>
        <s v="06-09-2025"/>
        <s v="23-08-2024"/>
        <s v="24-01-2024"/>
        <s v="19-12-2023"/>
        <s v="22-11-2023"/>
        <s v="08-10-2025"/>
        <s v="30-09-2024"/>
        <s v="18-11-2024"/>
        <s v="12-09-2025"/>
        <s v="26-10-2024"/>
        <s v="26-07-2025"/>
        <s v="20-05-2025"/>
        <s v="13-03-2024"/>
        <s v="12-02-2025"/>
        <s v="09-10-2024"/>
        <s v="19-09-2025"/>
        <s v="11-02-2024"/>
        <s v="10-03-2025"/>
        <s v="18-12-2024"/>
        <s v="06-12-2024"/>
        <s v="03-10-2024"/>
        <s v="08-11-2023"/>
        <s v="20-12-2023"/>
        <s v="11-09-2025"/>
        <s v="01-12-2024"/>
        <s v="30-08-2025"/>
        <s v="15-01-2024"/>
        <s v="25-04-2025"/>
        <s v="24-02-2024"/>
        <s v="30-12-2024"/>
        <s v="15-04-2025"/>
        <s v="26-12-2023"/>
        <s v="21-03-2024"/>
        <s v="30-10-2023"/>
        <s v="19-04-2025"/>
        <s v="27-04-2025"/>
        <s v="04-10-2024"/>
        <s v="11-03-2024"/>
        <s v="14-06-2024"/>
        <s v="26-08-2025"/>
        <s v="13-10-2024"/>
        <s v="09-02-2025"/>
        <s v="21-12-2023"/>
        <s v="17-07-2025"/>
        <s v="16-05-2025"/>
        <s v="12-08-2025"/>
        <s v="21-11-2023"/>
        <s v="07-02-2025"/>
        <s v="27-12-2023"/>
        <s v="04-01-2024"/>
        <s v="30-11-2023"/>
        <s v="23-10-2023"/>
        <s v="14-06-2025"/>
        <s v="05-04-2025"/>
        <s v="26-11-2023"/>
        <s v="04-02-2024"/>
        <s v="27-02-2025"/>
        <s v="24-10-2023"/>
        <s v="03-08-2024"/>
        <s v="27-05-2025"/>
        <s v="06-11-2024"/>
        <s v="02-04-2024"/>
        <s v="19-11-2023"/>
        <s v="23-12-2023"/>
        <s v="02-03-2024"/>
        <s v="27-10-2024"/>
        <s v="09-03-2024"/>
        <s v="13-12-2023"/>
        <s v="20-11-2023"/>
        <s v="04-09-2024"/>
        <s v="02-06-2025"/>
        <s v="06-03-2024"/>
        <s v="14-02-2025"/>
        <s v="27-01-2024"/>
        <s v="22-04-2025"/>
        <s v="18-04-2025"/>
        <s v="31-03-2024"/>
        <s v="06-11-2023"/>
        <s v="19-04-2024"/>
        <s v="28-03-2024"/>
        <s v="17-07-2024"/>
        <s v="26-12-2024"/>
        <s v="20-08-2024"/>
        <s v="30-08-2024"/>
        <s v="13-08-2025"/>
        <s v="09-05-2024"/>
        <s v="12-11-2024"/>
        <s v="12-09-2024"/>
        <s v="15-05-2025"/>
        <s v="09-11-2024"/>
        <s v="16-12-2024"/>
        <s v="07-10-2024"/>
        <s v="25-10-2024"/>
        <s v="14-03-2024"/>
        <s v="21-10-2024"/>
        <s v="12-02-2024"/>
        <s v="01-05-2025"/>
        <s v="27-08-2024"/>
        <s v="10-02-2024"/>
        <s v="22-02-2024"/>
        <s v="06-04-2024"/>
        <s v="15-04-2024"/>
        <s v="03-12-2024"/>
        <s v="16-01-2025"/>
        <s v="16-10-2024"/>
        <s v="13-02-2025"/>
        <s v="06-08-2024"/>
        <s v="08-01-2025"/>
        <s v="21-07-2025"/>
        <s v="13-06-2024"/>
        <s v="01-01-2024"/>
        <s v="18-12-2023"/>
        <s v="02-11-2023"/>
        <s v="10-01-2024"/>
        <s v="19-07-2025"/>
        <s v="24-12-2024"/>
        <s v="24-06-2025"/>
        <s v="17-05-2024"/>
        <s v="29-11-2024"/>
        <s v="13-04-2025"/>
        <s v="01-07-2024"/>
        <s v="03-12-2023"/>
        <s v="06-05-2025"/>
        <s v="22-08-2024"/>
        <s v="30-01-2025"/>
        <s v="31-03-2025"/>
        <s v="11-10-2025"/>
        <s v="24-03-2025"/>
        <s v="11-09-2024"/>
        <s v="09-05-2025"/>
        <s v="27-06-2024"/>
        <s v="13-11-2023"/>
        <s v="19-02-2024"/>
        <s v="02-09-2025"/>
        <s v="24-11-2023"/>
        <s v="26-01-2025"/>
        <s v="13-06-2025"/>
        <s v="29-06-2024"/>
        <s v="08-06-2024"/>
        <s v="04-07-2024"/>
        <s v="12-04-2025"/>
        <s v="17-05-2025"/>
        <s v="03-02-2024"/>
        <s v="29-01-2024"/>
        <s v="01-08-2025"/>
        <s v="17-12-2023"/>
        <s v="25-03-2025"/>
        <s v="02-05-2024"/>
        <s v="18-03-2025"/>
        <s v="18-02-2024"/>
        <s v="16-01-2024"/>
        <s v="03-10-2025"/>
        <s v="03-07-2025"/>
        <s v="08-08-2025"/>
        <s v="28-08-2024"/>
        <s v="10-02-2025"/>
        <s v="13-09-2024"/>
        <s v="19-01-2024"/>
        <s v="25-03-2024"/>
        <s v="12-03-2025"/>
        <s v="21-08-2024"/>
        <s v="05-12-2023"/>
        <s v="06-10-2025"/>
        <s v="12-11-2023"/>
        <s v="21-01-2025"/>
        <s v="11-07-2024"/>
        <s v="04-08-2025"/>
        <s v="05-08-2025"/>
        <s v="23-11-2024"/>
        <s v="03-02-2025"/>
        <s v="30-04-2024"/>
        <s v="20-04-2025"/>
        <s v="16-05-2024"/>
        <s v="23-04-2025"/>
        <s v="06-10-2024"/>
        <s v="27-12-2024"/>
        <s v="20-07-2024"/>
        <s v="10-10-2024"/>
        <s v="03-01-2025"/>
        <s v="13-04-2024"/>
        <s v="08-03-2025"/>
        <s v="02-04-2025"/>
        <s v="17-11-2023"/>
        <s v="08-02-2025"/>
        <s v="30-09-2025"/>
        <s v="07-05-2025"/>
        <s v="22-05-2025"/>
        <s v="28-12-2023"/>
        <s v="04-12-2024"/>
        <s v="28-06-2024"/>
        <s v="29-05-2024"/>
        <s v="14-04-2024"/>
        <s v="26-01-2024"/>
        <s v="08-09-2024"/>
        <s v="30-10-2024"/>
        <s v="02-02-2025"/>
        <s v="02-10-2024"/>
        <s v="03-05-2024"/>
        <s v="21-02-2024"/>
        <s v="17-04-2024"/>
        <s v="26-03-2024"/>
        <s v="14-04-2025"/>
        <s v="order date"/>
      </sharedItems>
    </cacheField>
    <cacheField name="average Discount" numFmtId="0">
      <sharedItems containsMixedTypes="1" containsNumber="1" minValue="0.15266996734970756" maxValue="0.15972047278391099"/>
    </cacheField>
    <cacheField name="Quantity Avg" numFmtId="1">
      <sharedItems containsMixedTypes="1" containsNumber="1" minValue="2.4862185867124436" maxValue="2.5177517246784098"/>
    </cacheField>
    <cacheField name="unit price average" numFmtId="0">
      <sharedItems containsMixedTypes="1" containsNumber="1" minValue="439.70418140253503" maxValue="491.72023116276404"/>
    </cacheField>
    <cacheField name="mean" numFmtId="0">
      <sharedItems containsMixedTypes="1" containsNumber="1" minValue="11.532250000000001" maxValue="1224.7956999999999"/>
    </cacheField>
    <cacheField name="month" numFmtId="0">
      <sharedItems count="13">
        <s v="Jul"/>
        <s v="Dec"/>
        <s v="Jun"/>
        <s v="Nov"/>
        <s v="Jan"/>
        <s v="May"/>
        <s v="Feb"/>
        <s v="Aug"/>
        <s v="Sep"/>
        <s v="Mar"/>
        <s v="Apr"/>
        <s v="Oct"/>
        <s v="mon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User" refreshedDate="46246.791097453701" createdVersion="5" refreshedVersion="5" minRefreshableVersion="3" recordCount="100">
  <cacheSource type="worksheet">
    <worksheetSource name="Table4"/>
  </cacheSource>
  <cacheFields count="9">
    <cacheField name="Product_ID" numFmtId="0">
      <sharedItems/>
    </cacheField>
    <cacheField name="Product_Name" numFmtId="0">
      <sharedItems/>
    </cacheField>
    <cacheField name="Category" numFmtId="0">
      <sharedItems count="5">
        <s v="Electronics"/>
        <s v="Clothing"/>
        <s v="Beauty"/>
        <s v="Home"/>
        <s v="Sports"/>
      </sharedItems>
    </cacheField>
    <cacheField name="Sub_Category" numFmtId="0">
      <sharedItems count="23">
        <s v="Computer"/>
        <s v="Tops"/>
        <s v="Outerwear"/>
        <s v="Bottoms"/>
        <s v="Accessories"/>
        <s v="Skincare"/>
        <s v="Lighting"/>
        <s v="Audio"/>
        <s v="Fitness"/>
        <s v="Kitchen"/>
        <s v="Haircare"/>
        <s v="Decor"/>
        <s v="Appliances"/>
        <s v="Grooming"/>
        <s v="Equipment"/>
        <s v="Storage"/>
        <s v="Outdoor"/>
        <s v="Team Sports"/>
        <s v="Footwear"/>
        <s v="Mobile"/>
        <s v="Makeup"/>
        <s v="Fragrance"/>
        <s v="Furniture"/>
      </sharedItems>
    </cacheField>
    <cacheField name="Brand" numFmtId="0">
      <sharedItems count="100">
        <s v="Hunt Inc"/>
        <s v="Terry-Moore"/>
        <s v="Sims Inc"/>
        <s v="Pineda Ltd"/>
        <s v="Gonzales-Davis"/>
        <s v="Baldwin, Garza and Gonzalez"/>
        <s v="Davidson PLC"/>
        <s v="Harrell LLC"/>
        <s v="Perez-Johnston"/>
        <s v="Hill PLC"/>
        <s v="Hamilton Group"/>
        <s v="Gibson, Hobbs and Weaver"/>
        <s v="Rice LLC"/>
        <s v="Dawson-Perkins"/>
        <s v="Luna, Anderson and Bowman"/>
        <s v="Thomas LLC"/>
        <s v="Erickson-Green"/>
        <s v="Ford, Murphy and Wilson"/>
        <s v="Guerra-Hendrix"/>
        <s v="May-Reese"/>
        <s v="Soto-Ellis"/>
        <s v="Gardner-Montes"/>
        <s v="Flores, Pineda and Rodriguez"/>
        <s v="Moon, Mora and Santos"/>
        <s v="Cook Ltd"/>
        <s v="Brown and Sons"/>
        <s v="Reed-Schmidt"/>
        <s v="Khan, Jones and Paul"/>
        <s v="Burns-Hansen"/>
        <s v="Hoffman Group"/>
        <s v="Stevens, Fernandez and Martin"/>
        <s v="Nolan-Snow"/>
        <s v="Griffin Ltd"/>
        <s v="Weiss-Watson"/>
        <s v="Lucero LLC"/>
        <s v="Jones LLC"/>
        <s v="Smith-Mills"/>
        <s v="Hogan-Lee"/>
        <s v="Sims-Smith"/>
        <s v="Cummings and Sons"/>
        <s v="Taylor-Hart"/>
        <s v="Carroll, Long and Mendoza"/>
        <s v="Holmes LLC"/>
        <s v="Robinson Inc"/>
        <s v="Cox Inc"/>
        <s v="Bridges, Banks and Cummings"/>
        <s v="Kelly, Smith and Perez"/>
        <s v="Cook Inc"/>
        <s v="Byrd, Stewart and Valdez"/>
        <s v="Sullivan and Sons"/>
        <s v="Smith-King"/>
        <s v="Bautista, Green and Hale"/>
        <s v="Harris Inc"/>
        <s v="Hamilton, Woods and Walker"/>
        <s v="Thompson-French"/>
        <s v="Hatfield, Baird and Torres"/>
        <s v="Hernandez, Kennedy and Porter"/>
        <s v="Atkinson, Camacho and Oliver"/>
        <s v="Shepherd-Gould"/>
        <s v="Cline-Mccarthy"/>
        <s v="Gibson, Green and Lopez"/>
        <s v="Lopez LLC"/>
        <s v="Murray, Gould and Ware"/>
        <s v="Anderson-Riley"/>
        <s v="Zhang Inc"/>
        <s v="Montgomery, Benton and Miller"/>
        <s v="Torres, Spencer and Potter"/>
        <s v="Flores-Davis"/>
        <s v="Wolfe, Ross and Hester"/>
        <s v="Fitzpatrick Ltd"/>
        <s v="Duran Group"/>
        <s v="Hopkins Ltd"/>
        <s v="Davis PLC"/>
        <s v="French Ltd"/>
        <s v="Bruce-Bowen"/>
        <s v="Poole PLC"/>
        <s v="Larson Ltd"/>
        <s v="White, Reeves and Woods"/>
        <s v="Hernandez Inc"/>
        <s v="Ramirez-Hanson"/>
        <s v="Allison Ltd"/>
        <s v="Robinson-Brown"/>
        <s v="Reese-Watson"/>
        <s v="Butler Group"/>
        <s v="Collins-Stephenson"/>
        <s v="Richardson-Carrillo"/>
        <s v="Taylor, Dodson and Johnston"/>
        <s v="Aguilar, Horton and Lewis"/>
        <s v="Olsen-Daniels"/>
        <s v="Taylor-Elliott"/>
        <s v="Sharp, Taylor and Rodriguez"/>
        <s v="Smith-Charles"/>
        <s v="Green, Powell and Palmer"/>
        <s v="Martin LLC"/>
        <s v="Hoffman-Williams"/>
        <s v="Wilson Group"/>
        <s v="Phillips and Sons"/>
        <s v="Khan LLC"/>
        <s v="Flores-King"/>
        <s v="Campbell Ltd"/>
      </sharedItems>
    </cacheField>
    <cacheField name="Cost" numFmtId="165">
      <sharedItems containsSemiMixedTypes="0" containsString="0" containsNumber="1" minValue="17.309999999999999" maxValue="495.72"/>
    </cacheField>
    <cacheField name="Stock" numFmtId="0">
      <sharedItems containsString="0" containsBlank="1" containsNumber="1" containsInteger="1" minValue="57" maxValue="496" count="92">
        <n v="416"/>
        <n v="181"/>
        <n v="352"/>
        <n v="452"/>
        <n v="487"/>
        <n v="59"/>
        <n v="350"/>
        <n v="170"/>
        <n v="142"/>
        <n v="323"/>
        <n v="308"/>
        <n v="270"/>
        <n v="460"/>
        <n v="453"/>
        <n v="439"/>
        <n v="301"/>
        <n v="256"/>
        <n v="367"/>
        <n v="343"/>
        <n v="65"/>
        <n v="264"/>
        <n v="76"/>
        <n v="432"/>
        <n v="360"/>
        <n v="340"/>
        <n v="268"/>
        <n v="213"/>
        <n v="378"/>
        <n v="137"/>
        <n v="276"/>
        <n v="57"/>
        <n v="281"/>
        <n v="244"/>
        <n v="305"/>
        <n v="86"/>
        <n v="329"/>
        <n v="154"/>
        <n v="214"/>
        <n v="394"/>
        <n v="369"/>
        <n v="389"/>
        <n v="266"/>
        <n v="316"/>
        <n v="114"/>
        <n v="296"/>
        <n v="431"/>
        <n v="103"/>
        <n v="267"/>
        <n v="260"/>
        <n v="246"/>
        <n v="82"/>
        <n v="125"/>
        <n v="185"/>
        <m/>
        <n v="190"/>
        <n v="138"/>
        <n v="485"/>
        <n v="399"/>
        <n v="444"/>
        <n v="465"/>
        <n v="222"/>
        <n v="458"/>
        <n v="118"/>
        <n v="423"/>
        <n v="177"/>
        <n v="476"/>
        <n v="130"/>
        <n v="224"/>
        <n v="89"/>
        <n v="383"/>
        <n v="300"/>
        <n v="359"/>
        <n v="159"/>
        <n v="320"/>
        <n v="104"/>
        <n v="400"/>
        <n v="469"/>
        <n v="58"/>
        <n v="358"/>
        <n v="208"/>
        <n v="210"/>
        <n v="220"/>
        <n v="232"/>
        <n v="457"/>
        <n v="361"/>
        <n v="496"/>
        <n v="191"/>
        <n v="75"/>
        <n v="143"/>
        <n v="471"/>
        <n v="73"/>
        <n v="146"/>
      </sharedItems>
    </cacheField>
    <cacheField name="cost average" numFmtId="165">
      <sharedItems containsSemiMixedTypes="0" containsString="0" containsNumber="1" minValue="201.41" maxValue="325.99900000000002"/>
    </cacheField>
    <cacheField name="Stock average" numFmtId="0">
      <sharedItems containsSemiMixedTypes="0" containsString="0" containsNumber="1" minValue="109.5" maxValue="282.818181818181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9">
  <r>
    <x v="0"/>
    <s v="sheena bonilla  "/>
    <n v="55"/>
    <x v="0"/>
    <s v="Donaldton"/>
    <s v="North Carolina"/>
    <s v="USA"/>
    <x v="0"/>
    <x v="0"/>
  </r>
  <r>
    <x v="1"/>
    <s v="Eugene Nelson"/>
    <n v="26"/>
    <x v="1"/>
    <s v="Phillipsmouth"/>
    <s v="North Dakota"/>
    <s v="USA"/>
    <x v="0"/>
    <x v="1"/>
  </r>
  <r>
    <x v="2"/>
    <s v="dr. Benjamin Price"/>
    <n v="29"/>
    <x v="1"/>
    <s v="Kylebury"/>
    <s v="Alabama"/>
    <s v="USA"/>
    <x v="0"/>
    <x v="2"/>
  </r>
  <r>
    <x v="3"/>
    <s v="jeremy harris"/>
    <n v="59"/>
    <x v="1"/>
    <s v="Thomastown"/>
    <s v="Ohio"/>
    <s v="USA"/>
    <x v="1"/>
    <x v="3"/>
  </r>
  <r>
    <x v="4"/>
    <s v="Caroline Collins"/>
    <n v="64"/>
    <x v="1"/>
    <s v="Nicholasshire"/>
    <s v="California"/>
    <s v="USA"/>
    <x v="2"/>
    <x v="4"/>
  </r>
  <r>
    <x v="5"/>
    <s v="Christine Vaughn"/>
    <n v="24"/>
    <x v="0"/>
    <s v="East Amandamouth"/>
    <s v="Oregon"/>
    <s v="USA"/>
    <x v="1"/>
    <x v="5"/>
  </r>
  <r>
    <x v="6"/>
    <s v="Amber Jackson"/>
    <n v="29"/>
    <x v="1"/>
    <s v="Deborahborough"/>
    <s v="South Dakota"/>
    <s v="USA"/>
    <x v="0"/>
    <x v="6"/>
  </r>
  <r>
    <x v="7"/>
    <s v="Daniel Boyd"/>
    <n v="29"/>
    <x v="1"/>
    <s v="West Pamelafurt"/>
    <s v="West Virginia"/>
    <s v="USA"/>
    <x v="1"/>
    <x v="7"/>
  </r>
  <r>
    <x v="8"/>
    <s v="Melissa Howard"/>
    <n v="53"/>
    <x v="1"/>
    <s v="Maynardton"/>
    <s v="New Hampshire"/>
    <s v="USA"/>
    <x v="3"/>
    <x v="8"/>
  </r>
  <r>
    <x v="9"/>
    <s v="Ms. Maria Leach"/>
    <n v="64"/>
    <x v="0"/>
    <s v="Melissashire"/>
    <s v="Pennsylvania"/>
    <s v="USA"/>
    <x v="0"/>
    <x v="9"/>
  </r>
  <r>
    <x v="10"/>
    <s v="Dominic Page"/>
    <n v="53"/>
    <x v="0"/>
    <s v="Port Michaelburgh"/>
    <s v="Pennsylvania"/>
    <s v="USA"/>
    <x v="1"/>
    <x v="10"/>
  </r>
  <r>
    <x v="11"/>
    <s v="Brian Lopez"/>
    <n v="28"/>
    <x v="1"/>
    <s v="East Krista"/>
    <s v="New York"/>
    <s v="USA"/>
    <x v="3"/>
    <x v="11"/>
  </r>
  <r>
    <x v="12"/>
    <s v="Kenneth Lambert"/>
    <n v="55"/>
    <x v="1"/>
    <s v="North Kathryn"/>
    <s v="Kansas"/>
    <s v="USA"/>
    <x v="0"/>
    <x v="12"/>
  </r>
  <r>
    <x v="13"/>
    <s v="Nathan Hernandez"/>
    <n v="32"/>
    <x v="1"/>
    <s v="New Becky"/>
    <s v="Montana"/>
    <s v="USA"/>
    <x v="2"/>
    <x v="13"/>
  </r>
  <r>
    <x v="14"/>
    <s v="Ashley Cohen"/>
    <n v="53"/>
    <x v="1"/>
    <s v="Lake Kristamouth"/>
    <s v="Nebraska"/>
    <s v="USA"/>
    <x v="2"/>
    <x v="14"/>
  </r>
  <r>
    <x v="15"/>
    <s v="Laura Alvarez"/>
    <n v="49"/>
    <x v="1"/>
    <s v="Lawsonhaven"/>
    <s v="Washington"/>
    <s v="USA"/>
    <x v="0"/>
    <x v="15"/>
  </r>
  <r>
    <x v="16"/>
    <s v="John Scott"/>
    <n v="24"/>
    <x v="1"/>
    <s v="South Christopher"/>
    <s v="Pennsylvania"/>
    <s v="USA"/>
    <x v="1"/>
    <x v="16"/>
  </r>
  <r>
    <x v="17"/>
    <s v="Adam Cruz"/>
    <n v="60"/>
    <x v="1"/>
    <s v="Brandonville"/>
    <s v="Georgia"/>
    <s v="USA"/>
    <x v="0"/>
    <x v="17"/>
  </r>
  <r>
    <x v="18"/>
    <s v="Rhonda Moss"/>
    <n v="43"/>
    <x v="0"/>
    <s v="South William"/>
    <s v="Kansas"/>
    <s v="USA"/>
    <x v="2"/>
    <x v="18"/>
  </r>
  <r>
    <x v="19"/>
    <s v="Michael Torres"/>
    <n v="46"/>
    <x v="1"/>
    <s v="Gonzalezfort"/>
    <s v="New Jersey"/>
    <s v="USA"/>
    <x v="0"/>
    <x v="19"/>
  </r>
  <r>
    <x v="20"/>
    <s v="Bridget Allen"/>
    <n v="59"/>
    <x v="0"/>
    <s v="Lake Shaneburgh"/>
    <s v="Delaware"/>
    <s v="USA"/>
    <x v="2"/>
    <x v="20"/>
  </r>
  <r>
    <x v="21"/>
    <s v="Jeff Martinez"/>
    <n v="36"/>
    <x v="1"/>
    <s v="Smithburgh"/>
    <s v="Oklahoma"/>
    <s v="USA"/>
    <x v="3"/>
    <x v="21"/>
  </r>
  <r>
    <x v="22"/>
    <s v="paul fox"/>
    <n v="33"/>
    <x v="1"/>
    <s v="Michaelton"/>
    <s v="Hawaii"/>
    <s v="USA"/>
    <x v="2"/>
    <x v="22"/>
  </r>
  <r>
    <x v="23"/>
    <s v="Jonathan Steele"/>
    <n v="52"/>
    <x v="1"/>
    <s v="Molinabury"/>
    <s v="Oregon"/>
    <s v="USA"/>
    <x v="2"/>
    <x v="23"/>
  </r>
  <r>
    <x v="24"/>
    <s v="Heather Collins"/>
    <n v="40"/>
    <x v="0"/>
    <s v="Rogerschester"/>
    <s v="Idaho"/>
    <s v="USA"/>
    <x v="0"/>
    <x v="24"/>
  </r>
  <r>
    <x v="25"/>
    <s v="Diana Taylor"/>
    <n v="59"/>
    <x v="1"/>
    <s v="Vasqueztown"/>
    <s v="California"/>
    <s v="USA"/>
    <x v="1"/>
    <x v="25"/>
  </r>
  <r>
    <x v="26"/>
    <s v="Amber Carlson"/>
    <n v="18"/>
    <x v="1"/>
    <s v="East Michellemouth"/>
    <s v="Missouri"/>
    <s v="USA"/>
    <x v="3"/>
    <x v="26"/>
  </r>
  <r>
    <x v="27"/>
    <s v="Leslie Johnson"/>
    <n v="31"/>
    <x v="0"/>
    <s v="Mollyshire"/>
    <s v="Utah"/>
    <s v="USA"/>
    <x v="0"/>
    <x v="27"/>
  </r>
  <r>
    <x v="28"/>
    <s v="Joshua Ryan"/>
    <n v="27"/>
    <x v="1"/>
    <s v="New David"/>
    <s v="New Jersey"/>
    <s v="USA"/>
    <x v="0"/>
    <x v="28"/>
  </r>
  <r>
    <x v="29"/>
    <s v="David Arnold"/>
    <n v="54"/>
    <x v="1"/>
    <s v="East Jennifer"/>
    <s v="California"/>
    <s v="USA"/>
    <x v="2"/>
    <x v="29"/>
  </r>
  <r>
    <x v="30"/>
    <s v="Jessica Acevedo"/>
    <n v="64"/>
    <x v="1"/>
    <s v="Amybury"/>
    <s v="Pennsylvania"/>
    <s v="USA"/>
    <x v="1"/>
    <x v="30"/>
  </r>
  <r>
    <x v="31"/>
    <s v="Sarah Vance"/>
    <n v="41"/>
    <x v="0"/>
    <s v="Johnsonville"/>
    <s v="Oregon"/>
    <s v="USA"/>
    <x v="2"/>
    <x v="31"/>
  </r>
  <r>
    <x v="32"/>
    <s v="Mike Jennings"/>
    <n v="48"/>
    <x v="1"/>
    <s v="Fostermouth"/>
    <s v="Arizona"/>
    <s v="USA"/>
    <x v="3"/>
    <x v="32"/>
  </r>
  <r>
    <x v="33"/>
    <s v="Robert Jones DDS"/>
    <n v="25"/>
    <x v="0"/>
    <s v="Tristanton"/>
    <s v="Oklahoma"/>
    <s v="USA"/>
    <x v="0"/>
    <x v="33"/>
  </r>
  <r>
    <x v="34"/>
    <s v="Christopher Olson"/>
    <n v="27"/>
    <x v="1"/>
    <s v="West Richard"/>
    <s v="Maryland"/>
    <s v="USA"/>
    <x v="0"/>
    <x v="34"/>
  </r>
  <r>
    <x v="35"/>
    <s v="Rachel Myers"/>
    <n v="52"/>
    <x v="0"/>
    <s v="Robertberg"/>
    <s v="North Dakota"/>
    <s v="USA"/>
    <x v="2"/>
    <x v="35"/>
  </r>
  <r>
    <x v="36"/>
    <s v="Thomas Phillips"/>
    <n v="20"/>
    <x v="1"/>
    <s v="Luisfurt"/>
    <s v="Georgia"/>
    <s v="USA"/>
    <x v="3"/>
    <x v="36"/>
  </r>
  <r>
    <x v="37"/>
    <s v="Christopher Carter"/>
    <n v="27"/>
    <x v="1"/>
    <s v="Brendastad"/>
    <s v="South Dakota"/>
    <s v="USA"/>
    <x v="0"/>
    <x v="37"/>
  </r>
  <r>
    <x v="38"/>
    <s v="Deanna Simpson"/>
    <n v="35"/>
    <x v="1"/>
    <s v="Brownport"/>
    <s v="North Dakota"/>
    <s v="USA"/>
    <x v="1"/>
    <x v="38"/>
  </r>
  <r>
    <x v="39"/>
    <s v="Tonya Reynolds"/>
    <n v="55"/>
    <x v="1"/>
    <s v="Darleneton"/>
    <s v="Michigan"/>
    <s v="USA"/>
    <x v="3"/>
    <x v="39"/>
  </r>
  <r>
    <x v="40"/>
    <s v="Eric Vega"/>
    <n v="50"/>
    <x v="0"/>
    <s v="Williamsonland"/>
    <s v="Kansas"/>
    <s v="USA"/>
    <x v="3"/>
    <x v="40"/>
  </r>
  <r>
    <x v="41"/>
    <s v="James Gibbs"/>
    <n v="21"/>
    <x v="0"/>
    <s v="Mooneyshire"/>
    <s v="Alaska"/>
    <s v="USA"/>
    <x v="0"/>
    <x v="41"/>
  </r>
  <r>
    <x v="42"/>
    <s v="William Martin"/>
    <n v="19"/>
    <x v="0"/>
    <s v="Ryanburgh"/>
    <s v="Connecticut"/>
    <s v="USA"/>
    <x v="0"/>
    <x v="42"/>
  </r>
  <r>
    <x v="43"/>
    <s v="Joseph Snow"/>
    <n v="45"/>
    <x v="0"/>
    <s v="South Michaelfort"/>
    <s v="Vermont"/>
    <s v="USA"/>
    <x v="3"/>
    <x v="43"/>
  </r>
  <r>
    <x v="44"/>
    <s v="Denise Williams"/>
    <n v="34"/>
    <x v="0"/>
    <s v="Christianstad"/>
    <s v="Hawaii"/>
    <s v="USA"/>
    <x v="1"/>
    <x v="44"/>
  </r>
  <r>
    <x v="45"/>
    <s v="Jordan Jackson DDS"/>
    <n v="54"/>
    <x v="0"/>
    <s v="North Johnview"/>
    <s v="Arizona"/>
    <s v="USA"/>
    <x v="3"/>
    <x v="45"/>
  </r>
  <r>
    <x v="46"/>
    <s v="Michelle Garcia DDS"/>
    <n v="55"/>
    <x v="1"/>
    <s v="Perezbury"/>
    <s v="Ohio"/>
    <s v="USA"/>
    <x v="0"/>
    <x v="46"/>
  </r>
  <r>
    <x v="47"/>
    <s v="Gina Knight"/>
    <n v="54"/>
    <x v="1"/>
    <s v="Lake Roberthaven"/>
    <s v="Nevada"/>
    <s v="USA"/>
    <x v="2"/>
    <x v="47"/>
  </r>
  <r>
    <x v="48"/>
    <s v="April Mullins"/>
    <n v="54"/>
    <x v="0"/>
    <s v="Dawsonbury"/>
    <s v="North Carolina"/>
    <s v="USA"/>
    <x v="0"/>
    <x v="48"/>
  </r>
  <r>
    <x v="49"/>
    <s v="Timothy Weaver"/>
    <n v="45"/>
    <x v="1"/>
    <s v="New Amy"/>
    <s v="Ohio"/>
    <s v="USA"/>
    <x v="3"/>
    <x v="49"/>
  </r>
  <r>
    <x v="50"/>
    <s v="Matthew Hunter Jr."/>
    <n v="61"/>
    <x v="1"/>
    <s v="Gregoryview"/>
    <s v="Illinois"/>
    <s v="USA"/>
    <x v="3"/>
    <x v="50"/>
  </r>
  <r>
    <x v="51"/>
    <s v="Sarah Rodgers"/>
    <n v="23"/>
    <x v="1"/>
    <s v="New Julia"/>
    <s v="West Virginia"/>
    <s v="USA"/>
    <x v="3"/>
    <x v="51"/>
  </r>
  <r>
    <x v="52"/>
    <s v="Debra Liu"/>
    <n v="55"/>
    <x v="0"/>
    <s v="South Timtown"/>
    <s v="Minnesota"/>
    <s v="USA"/>
    <x v="1"/>
    <x v="52"/>
  </r>
  <r>
    <x v="53"/>
    <s v="Sharon Brown"/>
    <n v="37"/>
    <x v="1"/>
    <s v="East Andrea"/>
    <s v="Michigan"/>
    <s v="USA"/>
    <x v="3"/>
    <x v="53"/>
  </r>
  <r>
    <x v="54"/>
    <s v="Katherine Dorsey"/>
    <n v="24"/>
    <x v="0"/>
    <s v="Christopherland"/>
    <s v="Oklahoma"/>
    <s v="USA"/>
    <x v="0"/>
    <x v="54"/>
  </r>
  <r>
    <x v="55"/>
    <s v="Wayne Mcpherson"/>
    <n v="56"/>
    <x v="1"/>
    <s v="Edwardsfort"/>
    <s v="Minnesota"/>
    <s v="USA"/>
    <x v="1"/>
    <x v="55"/>
  </r>
  <r>
    <x v="56"/>
    <s v="Christopher Sutton"/>
    <n v="49"/>
    <x v="1"/>
    <s v="Deborahberg"/>
    <s v="Pennsylvania"/>
    <s v="USA"/>
    <x v="3"/>
    <x v="56"/>
  </r>
  <r>
    <x v="57"/>
    <s v="Jay Patel"/>
    <n v="43"/>
    <x v="1"/>
    <s v="Morrisbury"/>
    <s v="Rhode Island"/>
    <s v="USA"/>
    <x v="0"/>
    <x v="57"/>
  </r>
  <r>
    <x v="58"/>
    <s v="Cheryl Copeland"/>
    <n v="51"/>
    <x v="0"/>
    <s v="Snowmouth"/>
    <s v="Maryland"/>
    <s v="USA"/>
    <x v="0"/>
    <x v="58"/>
  </r>
  <r>
    <x v="59"/>
    <s v="Alyssa Vargas"/>
    <n v="53"/>
    <x v="0"/>
    <s v="New Kathrynland"/>
    <s v="Montana"/>
    <s v="USA"/>
    <x v="0"/>
    <x v="59"/>
  </r>
  <r>
    <x v="60"/>
    <s v="Dr. David Smith"/>
    <n v="22"/>
    <x v="1"/>
    <s v="Schmidtchester"/>
    <s v="Alaska"/>
    <s v="USA"/>
    <x v="2"/>
    <x v="60"/>
  </r>
  <r>
    <x v="61"/>
    <s v="Kristin Stein"/>
    <n v="23"/>
    <x v="0"/>
    <s v="Jennifermouth"/>
    <s v="Missouri"/>
    <s v="USA"/>
    <x v="2"/>
    <x v="61"/>
  </r>
  <r>
    <x v="62"/>
    <s v="James Bean"/>
    <n v="50"/>
    <x v="0"/>
    <s v="Stevensonton"/>
    <s v="New Mexico"/>
    <s v="USA"/>
    <x v="1"/>
    <x v="62"/>
  </r>
  <r>
    <x v="63"/>
    <s v="Michael Daniel"/>
    <n v="51"/>
    <x v="0"/>
    <s v="New Jesse"/>
    <s v="Tennessee"/>
    <s v="USA"/>
    <x v="0"/>
    <x v="63"/>
  </r>
  <r>
    <x v="64"/>
    <s v="Mr. Mason Butler"/>
    <n v="33"/>
    <x v="0"/>
    <s v="Port Kathrynhaven"/>
    <s v="Arizona"/>
    <s v="USA"/>
    <x v="3"/>
    <x v="64"/>
  </r>
  <r>
    <x v="65"/>
    <s v="Michael Thomas"/>
    <n v="21"/>
    <x v="1"/>
    <s v="Woodmouth"/>
    <s v="Nevada"/>
    <s v="USA"/>
    <x v="2"/>
    <x v="65"/>
  </r>
  <r>
    <x v="66"/>
    <s v="Cody Diaz"/>
    <n v="27"/>
    <x v="1"/>
    <s v="South Aaronside"/>
    <s v="New Hampshire"/>
    <s v="USA"/>
    <x v="2"/>
    <x v="66"/>
  </r>
  <r>
    <x v="67"/>
    <s v="Amber Mcclain"/>
    <n v="58"/>
    <x v="0"/>
    <s v="Brendaburgh"/>
    <s v="Florida"/>
    <s v="USA"/>
    <x v="2"/>
    <x v="67"/>
  </r>
  <r>
    <x v="68"/>
    <s v="Mr. Mark Beasley"/>
    <n v="24"/>
    <x v="1"/>
    <s v="West Johnchester"/>
    <s v="Indiana"/>
    <s v="USA"/>
    <x v="2"/>
    <x v="68"/>
  </r>
  <r>
    <x v="69"/>
    <s v="Roy Cole"/>
    <n v="24"/>
    <x v="1"/>
    <s v="North Cynthiatown"/>
    <s v="New Jersey"/>
    <s v="USA"/>
    <x v="0"/>
    <x v="69"/>
  </r>
  <r>
    <x v="70"/>
    <s v="Eric Singh"/>
    <n v="29"/>
    <x v="1"/>
    <s v="Port Lisa"/>
    <s v="New Mexico"/>
    <s v="USA"/>
    <x v="3"/>
    <x v="70"/>
  </r>
  <r>
    <x v="71"/>
    <s v="Andrea Perez"/>
    <n v="61"/>
    <x v="1"/>
    <s v="South Shaun"/>
    <s v="New Mexico"/>
    <s v="USA"/>
    <x v="3"/>
    <x v="71"/>
  </r>
  <r>
    <x v="72"/>
    <s v="Tonya Burch"/>
    <n v="39"/>
    <x v="1"/>
    <s v="Olsonhaven"/>
    <s v="Iowa"/>
    <s v="USA"/>
    <x v="3"/>
    <x v="72"/>
  </r>
  <r>
    <x v="73"/>
    <s v="Christopher Brown"/>
    <n v="56"/>
    <x v="1"/>
    <s v="Sandrastad"/>
    <s v="West Virginia"/>
    <s v="USA"/>
    <x v="2"/>
    <x v="73"/>
  </r>
  <r>
    <x v="74"/>
    <s v="John Mayer"/>
    <n v="58"/>
    <x v="0"/>
    <s v="Longport"/>
    <s v="Colorado"/>
    <s v="USA"/>
    <x v="1"/>
    <x v="74"/>
  </r>
  <r>
    <x v="75"/>
    <s v="Rhonda Morales"/>
    <n v="61"/>
    <x v="1"/>
    <s v="Lake Barryfurt"/>
    <s v="California"/>
    <s v="USA"/>
    <x v="3"/>
    <x v="75"/>
  </r>
  <r>
    <x v="76"/>
    <s v="Nathan Campbell"/>
    <n v="37"/>
    <x v="0"/>
    <s v="Rodrigueztown"/>
    <s v="Oklahoma"/>
    <s v="USA"/>
    <x v="3"/>
    <x v="76"/>
  </r>
  <r>
    <x v="77"/>
    <s v="Katherine Young"/>
    <n v="29"/>
    <x v="0"/>
    <s v="North Valeriemouth"/>
    <s v="Vermont"/>
    <s v="USA"/>
    <x v="3"/>
    <x v="77"/>
  </r>
  <r>
    <x v="78"/>
    <s v="Cody Blake"/>
    <n v="21"/>
    <x v="0"/>
    <s v="North Scottport"/>
    <s v="Virginia"/>
    <s v="USA"/>
    <x v="3"/>
    <x v="78"/>
  </r>
  <r>
    <x v="79"/>
    <s v="Molly Gardner"/>
    <n v="22"/>
    <x v="1"/>
    <s v="Nicoleborough"/>
    <s v="Arkansas"/>
    <s v="USA"/>
    <x v="0"/>
    <x v="79"/>
  </r>
  <r>
    <x v="80"/>
    <s v="Jennifer Garcia"/>
    <n v="61"/>
    <x v="1"/>
    <s v="New Sean"/>
    <s v="New Mexico"/>
    <s v="USA"/>
    <x v="1"/>
    <x v="80"/>
  </r>
  <r>
    <x v="81"/>
    <s v="Krystal Ford"/>
    <n v="34"/>
    <x v="1"/>
    <s v="South David"/>
    <s v="Arizona"/>
    <s v="USA"/>
    <x v="0"/>
    <x v="81"/>
  </r>
  <r>
    <x v="82"/>
    <s v="George Rosario"/>
    <n v="53"/>
    <x v="0"/>
    <s v="Leburgh"/>
    <s v="Florida"/>
    <s v="USA"/>
    <x v="1"/>
    <x v="82"/>
  </r>
  <r>
    <x v="83"/>
    <s v="Thomas Robinson"/>
    <n v="48"/>
    <x v="1"/>
    <s v="Nicholastown"/>
    <s v="Georgia"/>
    <s v="USA"/>
    <x v="1"/>
    <x v="83"/>
  </r>
  <r>
    <x v="84"/>
    <s v="Christy Hoffman"/>
    <n v="26"/>
    <x v="1"/>
    <s v="Garyberg"/>
    <s v="Indiana"/>
    <s v="USA"/>
    <x v="0"/>
    <x v="84"/>
  </r>
  <r>
    <x v="85"/>
    <s v="Richard Delgado"/>
    <n v="36"/>
    <x v="0"/>
    <s v="West Theodorechester"/>
    <s v="Pennsylvania"/>
    <s v="USA"/>
    <x v="2"/>
    <x v="85"/>
  </r>
  <r>
    <x v="86"/>
    <s v="Tammy Miller MD"/>
    <n v="19"/>
    <x v="1"/>
    <s v="Austinfurt"/>
    <s v="Mississippi"/>
    <s v="USA"/>
    <x v="3"/>
    <x v="86"/>
  </r>
  <r>
    <x v="87"/>
    <s v="Melissa Duffy MD"/>
    <n v="58"/>
    <x v="1"/>
    <s v="East Jenna"/>
    <s v="South Carolina"/>
    <s v="USA"/>
    <x v="1"/>
    <x v="87"/>
  </r>
  <r>
    <x v="88"/>
    <s v="Timothy Wright"/>
    <n v="58"/>
    <x v="0"/>
    <s v="Ashleystad"/>
    <s v="Arkansas"/>
    <s v="USA"/>
    <x v="2"/>
    <x v="88"/>
  </r>
  <r>
    <x v="89"/>
    <s v="Jamie Yoder"/>
    <n v="43"/>
    <x v="0"/>
    <s v="New Gabrielleville"/>
    <s v="Wisconsin"/>
    <s v="USA"/>
    <x v="0"/>
    <x v="89"/>
  </r>
  <r>
    <x v="90"/>
    <s v="Oscar Moon"/>
    <n v="58"/>
    <x v="1"/>
    <s v="West Cody"/>
    <s v="Louisiana"/>
    <s v="USA"/>
    <x v="0"/>
    <x v="90"/>
  </r>
  <r>
    <x v="91"/>
    <s v="Donna Gregory"/>
    <n v="29"/>
    <x v="1"/>
    <s v="South Amandahaven"/>
    <s v="Arizona"/>
    <s v="USA"/>
    <x v="2"/>
    <x v="91"/>
  </r>
  <r>
    <x v="92"/>
    <s v="Robert Jackson"/>
    <n v="44"/>
    <x v="1"/>
    <s v="Lake Brandy"/>
    <s v="Tennessee"/>
    <s v="USA"/>
    <x v="0"/>
    <x v="92"/>
  </r>
  <r>
    <x v="93"/>
    <s v="Christy Vasquez"/>
    <n v="28"/>
    <x v="1"/>
    <s v="Port Travisstad"/>
    <s v="South Carolina"/>
    <s v="USA"/>
    <x v="3"/>
    <x v="93"/>
  </r>
  <r>
    <x v="94"/>
    <s v="David Patterson"/>
    <n v="43"/>
    <x v="1"/>
    <s v="New Amyport"/>
    <s v="Nevada"/>
    <s v="USA"/>
    <x v="3"/>
    <x v="94"/>
  </r>
  <r>
    <x v="95"/>
    <s v="Amy Fowler"/>
    <n v="62"/>
    <x v="1"/>
    <s v="West Bobbyshire"/>
    <s v="New York"/>
    <s v="USA"/>
    <x v="0"/>
    <x v="95"/>
  </r>
  <r>
    <x v="96"/>
    <s v="Samantha Walker"/>
    <n v="30"/>
    <x v="1"/>
    <s v="Timothyburgh"/>
    <s v="Louisiana"/>
    <s v="USA"/>
    <x v="0"/>
    <x v="96"/>
  </r>
  <r>
    <x v="97"/>
    <s v="David Cobb"/>
    <n v="36"/>
    <x v="0"/>
    <s v="Lake Thomas"/>
    <s v="South Dakota"/>
    <s v="USA"/>
    <x v="2"/>
    <x v="97"/>
  </r>
  <r>
    <x v="98"/>
    <s v="Brittney Morgan"/>
    <n v="24"/>
    <x v="0"/>
    <s v="Lake Kaylahaven"/>
    <s v="Alaska"/>
    <s v="USA"/>
    <x v="3"/>
    <x v="98"/>
  </r>
  <r>
    <x v="99"/>
    <s v="Sheila Wilson"/>
    <n v="35"/>
    <x v="0"/>
    <s v="South Dustin"/>
    <s v="Tennessee"/>
    <s v="USA"/>
    <x v="2"/>
    <x v="99"/>
  </r>
  <r>
    <x v="100"/>
    <s v="Diane Watson"/>
    <n v="53"/>
    <x v="1"/>
    <s v="North Codyport"/>
    <s v="Texas"/>
    <s v="USA"/>
    <x v="0"/>
    <x v="100"/>
  </r>
  <r>
    <x v="101"/>
    <s v="Colleen Maynard"/>
    <n v="29"/>
    <x v="0"/>
    <s v="Singletonmouth"/>
    <s v="Utah"/>
    <s v="USA"/>
    <x v="3"/>
    <x v="101"/>
  </r>
  <r>
    <x v="102"/>
    <s v="Sarah Schneider"/>
    <n v="34"/>
    <x v="1"/>
    <s v="Port Joshuachester"/>
    <s v="Pennsylvania"/>
    <s v="USA"/>
    <x v="1"/>
    <x v="102"/>
  </r>
  <r>
    <x v="103"/>
    <s v="Steven Stein"/>
    <n v="21"/>
    <x v="0"/>
    <s v="West Lauren"/>
    <s v="Connecticut"/>
    <s v="USA"/>
    <x v="1"/>
    <x v="103"/>
  </r>
  <r>
    <x v="104"/>
    <s v="Christopher Lester"/>
    <n v="64"/>
    <x v="0"/>
    <s v="South Jenniferville"/>
    <s v="Georgia"/>
    <s v="USA"/>
    <x v="2"/>
    <x v="104"/>
  </r>
  <r>
    <x v="105"/>
    <s v="Lance Baker"/>
    <n v="50"/>
    <x v="1"/>
    <s v="Port Victoria"/>
    <s v="Florida"/>
    <s v="USA"/>
    <x v="3"/>
    <x v="105"/>
  </r>
  <r>
    <x v="106"/>
    <s v="Howard Summers"/>
    <n v="53"/>
    <x v="1"/>
    <s v="East Linda"/>
    <s v="Rhode Island"/>
    <s v="USA"/>
    <x v="1"/>
    <x v="106"/>
  </r>
  <r>
    <x v="107"/>
    <s v="Erica Carney"/>
    <n v="62"/>
    <x v="1"/>
    <s v="North Justin"/>
    <s v="North Dakota"/>
    <s v="USA"/>
    <x v="0"/>
    <x v="107"/>
  </r>
  <r>
    <x v="108"/>
    <s v="Travis Holland"/>
    <n v="38"/>
    <x v="0"/>
    <s v="Webstermouth"/>
    <s v="New Hampshire"/>
    <s v="USA"/>
    <x v="1"/>
    <x v="108"/>
  </r>
  <r>
    <x v="109"/>
    <s v="Amy Walker"/>
    <n v="27"/>
    <x v="0"/>
    <s v="Smithland"/>
    <s v="West Virginia"/>
    <s v="USA"/>
    <x v="2"/>
    <x v="109"/>
  </r>
  <r>
    <x v="110"/>
    <s v="Ashley Griffin"/>
    <n v="40"/>
    <x v="1"/>
    <s v="New Dawnton"/>
    <s v="Maryland"/>
    <s v="USA"/>
    <x v="3"/>
    <x v="110"/>
  </r>
  <r>
    <x v="111"/>
    <s v="Julie Farmer"/>
    <n v="18"/>
    <x v="1"/>
    <s v="Rodriguezmouth"/>
    <s v="Arizona"/>
    <s v="USA"/>
    <x v="0"/>
    <x v="111"/>
  </r>
  <r>
    <x v="112"/>
    <s v="David Cole"/>
    <n v="27"/>
    <x v="1"/>
    <s v="Lake Michael"/>
    <s v="Michigan"/>
    <s v="USA"/>
    <x v="2"/>
    <x v="112"/>
  </r>
  <r>
    <x v="113"/>
    <s v="Edward Hall"/>
    <n v="51"/>
    <x v="0"/>
    <s v="New William"/>
    <s v="New Mexico"/>
    <s v="USA"/>
    <x v="3"/>
    <x v="113"/>
  </r>
  <r>
    <x v="114"/>
    <s v="Ryan Hernandez"/>
    <n v="30"/>
    <x v="0"/>
    <s v="East Donna"/>
    <s v="Nevada"/>
    <s v="USA"/>
    <x v="1"/>
    <x v="114"/>
  </r>
  <r>
    <x v="115"/>
    <s v="Tyler Conrad"/>
    <n v="53"/>
    <x v="1"/>
    <s v="North Curtischester"/>
    <s v="North Dakota"/>
    <s v="USA"/>
    <x v="0"/>
    <x v="115"/>
  </r>
  <r>
    <x v="116"/>
    <s v="Anthony Phillips"/>
    <n v="18"/>
    <x v="1"/>
    <s v="North Davidport"/>
    <s v="Rhode Island"/>
    <s v="USA"/>
    <x v="0"/>
    <x v="116"/>
  </r>
  <r>
    <x v="117"/>
    <s v="Colleen Mccarthy"/>
    <n v="21"/>
    <x v="1"/>
    <s v="North Katherine"/>
    <s v="Washington"/>
    <s v="USA"/>
    <x v="0"/>
    <x v="117"/>
  </r>
  <r>
    <x v="118"/>
    <s v="Earl Allen"/>
    <n v="36"/>
    <x v="0"/>
    <s v="New Jenniferburgh"/>
    <s v="Nebraska"/>
    <s v="USA"/>
    <x v="0"/>
    <x v="118"/>
  </r>
  <r>
    <x v="119"/>
    <s v="Michael Jones"/>
    <n v="40"/>
    <x v="0"/>
    <s v="North Edwardton"/>
    <s v="Tennessee"/>
    <s v="USA"/>
    <x v="1"/>
    <x v="119"/>
  </r>
  <r>
    <x v="120"/>
    <s v="Jacob Hopkins"/>
    <n v="44"/>
    <x v="1"/>
    <s v="lake tylerfort"/>
    <s v="Pennsylvania"/>
    <s v="USA"/>
    <x v="0"/>
    <x v="120"/>
  </r>
  <r>
    <x v="121"/>
    <s v="Joel Robinson"/>
    <n v="62"/>
    <x v="0"/>
    <s v="Lake Danielport"/>
    <s v="Hawaii"/>
    <s v="USA"/>
    <x v="0"/>
    <x v="121"/>
  </r>
  <r>
    <x v="122"/>
    <s v="Michael Chang"/>
    <n v="50"/>
    <x v="0"/>
    <s v="Kathrynport"/>
    <s v="North Carolina"/>
    <s v="USA"/>
    <x v="0"/>
    <x v="122"/>
  </r>
  <r>
    <x v="123"/>
    <s v="Erin Hopkins"/>
    <n v="40"/>
    <x v="0"/>
    <s v="North Sabrina"/>
    <s v="Iowa"/>
    <s v="USA"/>
    <x v="2"/>
    <x v="123"/>
  </r>
  <r>
    <x v="124"/>
    <s v="Donald Lee"/>
    <n v="26"/>
    <x v="0"/>
    <s v="Wongberg"/>
    <s v="Illinois"/>
    <s v="USA"/>
    <x v="1"/>
    <x v="124"/>
  </r>
  <r>
    <x v="125"/>
    <s v="Keith Miller"/>
    <n v="64"/>
    <x v="1"/>
    <s v="West Jameston"/>
    <s v="Maine"/>
    <s v="USA"/>
    <x v="0"/>
    <x v="125"/>
  </r>
  <r>
    <x v="126"/>
    <s v="James Wolfe"/>
    <n v="62"/>
    <x v="1"/>
    <s v="Benjaminton"/>
    <s v="Arizona"/>
    <s v="USA"/>
    <x v="3"/>
    <x v="126"/>
  </r>
  <r>
    <x v="127"/>
    <s v="John Mcknight"/>
    <n v="39"/>
    <x v="0"/>
    <s v="South Nathan"/>
    <s v="Vermont"/>
    <s v="USA"/>
    <x v="0"/>
    <x v="127"/>
  </r>
  <r>
    <x v="128"/>
    <s v="Susan Mcdonald"/>
    <n v="45"/>
    <x v="0"/>
    <s v="East Ellen"/>
    <s v="Arkansas"/>
    <s v="USA"/>
    <x v="2"/>
    <x v="128"/>
  </r>
  <r>
    <x v="129"/>
    <s v="Jessica Mitchell"/>
    <n v="43"/>
    <x v="1"/>
    <s v="Matthewbury"/>
    <s v="South Dakota"/>
    <s v="USA"/>
    <x v="2"/>
    <x v="129"/>
  </r>
  <r>
    <x v="130"/>
    <s v="Jamie Reyes"/>
    <n v="29"/>
    <x v="0"/>
    <s v="   jonesbury "/>
    <s v="Connecticut"/>
    <s v="United States of America"/>
    <x v="0"/>
    <x v="130"/>
  </r>
  <r>
    <x v="131"/>
    <s v="Joseph Richards"/>
    <n v="34"/>
    <x v="1"/>
    <s v="Wigginsville"/>
    <s v="Alabama"/>
    <s v="USA"/>
    <x v="1"/>
    <x v="131"/>
  </r>
  <r>
    <x v="132"/>
    <s v="Miguel Reynolds"/>
    <n v="57"/>
    <x v="1"/>
    <s v="Taylorberg"/>
    <s v="Ohio"/>
    <s v="USA"/>
    <x v="3"/>
    <x v="132"/>
  </r>
  <r>
    <x v="133"/>
    <s v="Hayley Pope"/>
    <n v="62"/>
    <x v="1"/>
    <s v="West Stephenville"/>
    <s v="Florida"/>
    <s v="USA"/>
    <x v="1"/>
    <x v="133"/>
  </r>
  <r>
    <x v="134"/>
    <s v="Morgan Bowen"/>
    <n v="54"/>
    <x v="0"/>
    <s v="Parksfort"/>
    <s v="Washington"/>
    <s v="USA"/>
    <x v="3"/>
    <x v="134"/>
  </r>
  <r>
    <x v="135"/>
    <s v="Matthew Hanna"/>
    <n v="33"/>
    <x v="1"/>
    <s v="Gonzalezbury"/>
    <s v="Michigan"/>
    <s v="USA"/>
    <x v="0"/>
    <x v="135"/>
  </r>
  <r>
    <x v="136"/>
    <s v="Patrick Coleman"/>
    <n v="29"/>
    <x v="0"/>
    <s v="New Jeffrey"/>
    <s v="Nebraska"/>
    <s v="USA"/>
    <x v="2"/>
    <x v="136"/>
  </r>
  <r>
    <x v="137"/>
    <s v="Rick Dominguez"/>
    <n v="55"/>
    <x v="1"/>
    <s v="North Johnbury"/>
    <s v="Ohio"/>
    <s v="USA"/>
    <x v="0"/>
    <x v="137"/>
  </r>
  <r>
    <x v="138"/>
    <s v="Sean Roth"/>
    <n v="43"/>
    <x v="0"/>
    <s v="Lake Michael"/>
    <s v="Virginia"/>
    <s v="USA"/>
    <x v="3"/>
    <x v="138"/>
  </r>
  <r>
    <x v="139"/>
    <s v="Brian Holder"/>
    <n v="32"/>
    <x v="0"/>
    <s v="Port Travis"/>
    <s v="Utah"/>
    <s v="USA"/>
    <x v="1"/>
    <x v="139"/>
  </r>
  <r>
    <x v="140"/>
    <s v="Patty Francis"/>
    <n v="63"/>
    <x v="1"/>
    <s v="South Brooke"/>
    <s v="Pennsylvania"/>
    <s v="USA"/>
    <x v="3"/>
    <x v="140"/>
  </r>
  <r>
    <x v="141"/>
    <s v="Cristian Wright"/>
    <n v="30"/>
    <x v="0"/>
    <s v="Port Denise"/>
    <s v="California"/>
    <s v="United States of America"/>
    <x v="1"/>
    <x v="141"/>
  </r>
  <r>
    <x v="142"/>
    <s v="Maria Ramirez"/>
    <n v="37"/>
    <x v="0"/>
    <s v="West Brandon"/>
    <s v="Montana"/>
    <s v="USA"/>
    <x v="1"/>
    <x v="142"/>
  </r>
  <r>
    <x v="143"/>
    <s v="Carlos Skinner"/>
    <n v="46"/>
    <x v="0"/>
    <s v="Dwaynemouth"/>
    <s v="Alabama"/>
    <s v="USA"/>
    <x v="1"/>
    <x v="143"/>
  </r>
  <r>
    <x v="144"/>
    <s v="Justin Cross"/>
    <n v="62"/>
    <x v="1"/>
    <s v="North Anthonychester"/>
    <s v="Nevada"/>
    <s v="USA"/>
    <x v="1"/>
    <x v="144"/>
  </r>
  <r>
    <x v="145"/>
    <s v="Cameron Simpson"/>
    <n v="46"/>
    <x v="0"/>
    <s v="Michaelfort"/>
    <s v="Indiana"/>
    <s v="USA"/>
    <x v="0"/>
    <x v="145"/>
  </r>
  <r>
    <x v="146"/>
    <s v="Edward Rivera"/>
    <n v="32"/>
    <x v="1"/>
    <s v="Chungmouth"/>
    <s v="South Carolina"/>
    <s v="USA"/>
    <x v="3"/>
    <x v="146"/>
  </r>
  <r>
    <x v="147"/>
    <s v="Rhonda Young"/>
    <n v="49"/>
    <x v="1"/>
    <s v="Lake Nathanfort"/>
    <s v="Alaska"/>
    <s v="USA"/>
    <x v="0"/>
    <x v="147"/>
  </r>
  <r>
    <x v="148"/>
    <s v="Theresa Campbell"/>
    <n v="42"/>
    <x v="1"/>
    <s v="New Brian"/>
    <s v="Wisconsin"/>
    <s v="USA"/>
    <x v="1"/>
    <x v="148"/>
  </r>
  <r>
    <x v="149"/>
    <s v="Denise Griffin"/>
    <n v="33"/>
    <x v="0"/>
    <s v="West Markhaven"/>
    <s v="Florida"/>
    <s v="USA"/>
    <x v="0"/>
    <x v="149"/>
  </r>
  <r>
    <x v="150"/>
    <s v="Stephanie Conway"/>
    <n v="24"/>
    <x v="0"/>
    <s v="Port Frankmouth"/>
    <s v="Mississippi"/>
    <s v="USA"/>
    <x v="3"/>
    <x v="150"/>
  </r>
  <r>
    <x v="151"/>
    <s v="Michael Davies"/>
    <n v="25"/>
    <x v="1"/>
    <s v="Lake Stevenfort"/>
    <s v="Oregon"/>
    <s v="USA"/>
    <x v="3"/>
    <x v="151"/>
  </r>
  <r>
    <x v="152"/>
    <s v="Patrick Roberts"/>
    <n v="41"/>
    <x v="1"/>
    <s v="Jaredville"/>
    <s v="Missouri"/>
    <s v="USA"/>
    <x v="0"/>
    <x v="152"/>
  </r>
  <r>
    <x v="153"/>
    <s v="Joseph Faulkner"/>
    <n v="31"/>
    <x v="0"/>
    <s v="New Leahfurt"/>
    <s v="North Dakota"/>
    <s v="USA"/>
    <x v="1"/>
    <x v="153"/>
  </r>
  <r>
    <x v="154"/>
    <s v="Julie Hale"/>
    <n v="35"/>
    <x v="1"/>
    <s v="Owensview"/>
    <s v="Vermont"/>
    <s v="USA"/>
    <x v="3"/>
    <x v="154"/>
  </r>
  <r>
    <x v="155"/>
    <s v="Curtis Haynes"/>
    <n v="60"/>
    <x v="1"/>
    <s v="Estradaside"/>
    <s v="Iowa"/>
    <s v="USA"/>
    <x v="3"/>
    <x v="155"/>
  </r>
  <r>
    <x v="156"/>
    <s v="Maria Sanchez"/>
    <n v="46"/>
    <x v="0"/>
    <s v="East Peterbury"/>
    <s v="North Dakota"/>
    <s v="USA"/>
    <x v="1"/>
    <x v="156"/>
  </r>
  <r>
    <x v="157"/>
    <s v="Paul Zamora"/>
    <n v="59"/>
    <x v="0"/>
    <s v="North Larryfurt"/>
    <s v="North Dakota"/>
    <s v="USA"/>
    <x v="0"/>
    <x v="157"/>
  </r>
  <r>
    <x v="158"/>
    <s v="Sean Powell"/>
    <n v="43"/>
    <x v="0"/>
    <s v="South Kevin"/>
    <s v="Vermont"/>
    <s v="USA"/>
    <x v="1"/>
    <x v="158"/>
  </r>
  <r>
    <x v="159"/>
    <s v="Brian Choi"/>
    <n v="46"/>
    <x v="1"/>
    <s v="Floydton"/>
    <s v="New Jersey"/>
    <s v="USA"/>
    <x v="3"/>
    <x v="159"/>
  </r>
  <r>
    <x v="160"/>
    <s v="John Lawson"/>
    <n v="41"/>
    <x v="1"/>
    <s v="New Juliemouth"/>
    <s v="North Carolina"/>
    <s v="USA"/>
    <x v="0"/>
    <x v="160"/>
  </r>
  <r>
    <x v="161"/>
    <s v="Cynthia Morris"/>
    <n v="18"/>
    <x v="1"/>
    <s v="Hessmouth"/>
    <s v="Arizona"/>
    <s v="USA"/>
    <x v="2"/>
    <x v="161"/>
  </r>
  <r>
    <x v="162"/>
    <s v="Mariah Brown"/>
    <n v="37"/>
    <x v="0"/>
    <s v="Palmerbury"/>
    <s v="Tennessee"/>
    <s v="United States of America"/>
    <x v="2"/>
    <x v="162"/>
  </r>
  <r>
    <x v="163"/>
    <s v="Joseph Jones"/>
    <n v="21"/>
    <x v="0"/>
    <s v="North Matthew"/>
    <s v="Illinois"/>
    <s v="USA"/>
    <x v="1"/>
    <x v="163"/>
  </r>
  <r>
    <x v="164"/>
    <s v="Daniel Rivas"/>
    <n v="39"/>
    <x v="1"/>
    <s v="Dominiquefort"/>
    <s v="Georgia"/>
    <s v="USA"/>
    <x v="2"/>
    <x v="164"/>
  </r>
  <r>
    <x v="165"/>
    <s v="Jason Wheeler"/>
    <n v="47"/>
    <x v="1"/>
    <s v="Carolview"/>
    <s v="Illinois"/>
    <s v="USA"/>
    <x v="0"/>
    <x v="165"/>
  </r>
  <r>
    <x v="166"/>
    <s v="Patricia Gardner"/>
    <n v="25"/>
    <x v="1"/>
    <s v="South Ashleyton"/>
    <s v="Michigan"/>
    <s v="USA"/>
    <x v="2"/>
    <x v="166"/>
  </r>
  <r>
    <x v="167"/>
    <s v="Antonio Wade"/>
    <n v="36"/>
    <x v="1"/>
    <s v="New Jasonmouth"/>
    <s v="Tennessee"/>
    <s v="USA"/>
    <x v="3"/>
    <x v="167"/>
  </r>
  <r>
    <x v="168"/>
    <s v="Daniel Contreras"/>
    <n v="36"/>
    <x v="1"/>
    <s v="Robertview"/>
    <s v="Florida"/>
    <s v="USA"/>
    <x v="0"/>
    <x v="168"/>
  </r>
  <r>
    <x v="169"/>
    <s v="Steve Mclaughlin"/>
    <n v="64"/>
    <x v="0"/>
    <s v="Josephmouth"/>
    <s v="New Hampshire"/>
    <s v="USA"/>
    <x v="1"/>
    <x v="169"/>
  </r>
  <r>
    <x v="170"/>
    <s v="Christopher Garcia DDS"/>
    <n v="18"/>
    <x v="0"/>
    <s v="New Joseph"/>
    <s v="Missouri"/>
    <s v="USA"/>
    <x v="3"/>
    <x v="170"/>
  </r>
  <r>
    <x v="171"/>
    <s v="Amy Wilson"/>
    <n v="44"/>
    <x v="1"/>
    <s v="Morrisburgh"/>
    <s v="Indiana"/>
    <s v="USA"/>
    <x v="0"/>
    <x v="171"/>
  </r>
  <r>
    <x v="172"/>
    <s v="Thomas Rhodes"/>
    <n v="41"/>
    <x v="1"/>
    <s v="Port Richard"/>
    <s v="West Virginia"/>
    <s v="USA"/>
    <x v="1"/>
    <x v="172"/>
  </r>
  <r>
    <x v="173"/>
    <s v="Teresa Stokes"/>
    <n v="41"/>
    <x v="1"/>
    <s v="New William"/>
    <s v="Iowa"/>
    <s v="USA"/>
    <x v="0"/>
    <x v="173"/>
  </r>
  <r>
    <x v="174"/>
    <s v="Maria Davis"/>
    <n v="26"/>
    <x v="1"/>
    <s v="Avilahaven"/>
    <s v="Vermont"/>
    <s v="USA"/>
    <x v="3"/>
    <x v="174"/>
  </r>
  <r>
    <x v="175"/>
    <s v="Michelle Rogers"/>
    <n v="56"/>
    <x v="0"/>
    <s v="East Jessicaborough"/>
    <s v="Hawaii"/>
    <s v="USA"/>
    <x v="0"/>
    <x v="175"/>
  </r>
  <r>
    <x v="176"/>
    <s v="John Bradford"/>
    <n v="48"/>
    <x v="0"/>
    <s v="Anabury"/>
    <s v="Vermont"/>
    <s v="USA"/>
    <x v="2"/>
    <x v="176"/>
  </r>
  <r>
    <x v="177"/>
    <s v="Curtis Lam"/>
    <n v="55"/>
    <x v="0"/>
    <s v="Butlerberg"/>
    <s v="Kentucky"/>
    <s v="USA"/>
    <x v="0"/>
    <x v="177"/>
  </r>
  <r>
    <x v="178"/>
    <s v="Michelle Myers"/>
    <n v="33"/>
    <x v="1"/>
    <s v="West Daniel"/>
    <s v="South Carolina"/>
    <s v="USA"/>
    <x v="1"/>
    <x v="178"/>
  </r>
  <r>
    <x v="179"/>
    <s v="Nicholas Bradshaw"/>
    <n v="43"/>
    <x v="1"/>
    <s v="Murphyfurt"/>
    <s v="Utah"/>
    <s v="USA"/>
    <x v="2"/>
    <x v="179"/>
  </r>
  <r>
    <x v="180"/>
    <s v="Wesley Thompson"/>
    <n v="38"/>
    <x v="0"/>
    <s v="East Davidmouth"/>
    <s v="Maine"/>
    <s v="USA"/>
    <x v="1"/>
    <x v="180"/>
  </r>
  <r>
    <x v="181"/>
    <s v="Erin Ward"/>
    <n v="60"/>
    <x v="0"/>
    <s v="New Brianchester"/>
    <s v="New York"/>
    <s v="USA"/>
    <x v="1"/>
    <x v="181"/>
  </r>
  <r>
    <x v="182"/>
    <s v="Melissa Hamilton"/>
    <n v="23"/>
    <x v="1"/>
    <s v="Hutchinsonville"/>
    <s v="Oklahoma"/>
    <s v="USA"/>
    <x v="2"/>
    <x v="182"/>
  </r>
  <r>
    <x v="183"/>
    <s v="Mario Jacobs"/>
    <n v="18"/>
    <x v="0"/>
    <s v="Port James"/>
    <s v="New York"/>
    <s v="USA"/>
    <x v="0"/>
    <x v="183"/>
  </r>
  <r>
    <x v="184"/>
    <s v="Leonard Cochran"/>
    <n v="46"/>
    <x v="1"/>
    <s v="Port Sherryview"/>
    <s v="North Dakota"/>
    <s v="USA"/>
    <x v="2"/>
    <x v="184"/>
  </r>
  <r>
    <x v="185"/>
    <s v="Brent Rivas"/>
    <n v="54"/>
    <x v="1"/>
    <s v="North Kellyberg"/>
    <s v="New Jersey"/>
    <s v="USA"/>
    <x v="0"/>
    <x v="185"/>
  </r>
  <r>
    <x v="186"/>
    <s v="Jennifer Pruitt"/>
    <n v="53"/>
    <x v="0"/>
    <s v="East Justin"/>
    <s v="Missouri"/>
    <s v="USA"/>
    <x v="2"/>
    <x v="186"/>
  </r>
  <r>
    <x v="187"/>
    <s v="Dr. Suzanne Bullock"/>
    <n v="60"/>
    <x v="1"/>
    <s v="Lake Blaketon"/>
    <s v="Alabama"/>
    <s v="USA"/>
    <x v="0"/>
    <x v="187"/>
  </r>
  <r>
    <x v="188"/>
    <s v="Kimberly Brooks"/>
    <n v="42"/>
    <x v="0"/>
    <s v="Kingfort"/>
    <s v="New Mexico"/>
    <s v="USA"/>
    <x v="2"/>
    <x v="188"/>
  </r>
  <r>
    <x v="189"/>
    <s v="Daniel Austin"/>
    <n v="29"/>
    <x v="0"/>
    <s v="Lake Howardberg"/>
    <s v="Kentucky"/>
    <s v="USA"/>
    <x v="3"/>
    <x v="189"/>
  </r>
  <r>
    <x v="190"/>
    <s v="Christopher Stewart"/>
    <n v="21"/>
    <x v="0"/>
    <s v="Amandaside"/>
    <s v="New York"/>
    <s v="USA"/>
    <x v="1"/>
    <x v="190"/>
  </r>
  <r>
    <x v="191"/>
    <s v="Todd Poole"/>
    <n v="29"/>
    <x v="1"/>
    <s v="Johnsonshire"/>
    <s v="Ohio"/>
    <s v="USA"/>
    <x v="1"/>
    <x v="191"/>
  </r>
  <r>
    <x v="192"/>
    <s v="Jacob Wood"/>
    <n v="26"/>
    <x v="0"/>
    <s v="Lake Samanthafort"/>
    <s v="Idaho"/>
    <s v="USA"/>
    <x v="3"/>
    <x v="192"/>
  </r>
  <r>
    <x v="193"/>
    <s v="David Roberts"/>
    <n v="38"/>
    <x v="0"/>
    <s v="Port Amanda"/>
    <s v="Georgia"/>
    <s v="USA"/>
    <x v="3"/>
    <x v="193"/>
  </r>
  <r>
    <x v="194"/>
    <s v="Ashley Ferguson"/>
    <n v="46"/>
    <x v="0"/>
    <s v="Sarahmouth"/>
    <s v="Pennsylvania"/>
    <s v="USA"/>
    <x v="3"/>
    <x v="194"/>
  </r>
  <r>
    <x v="195"/>
    <s v="Anthony Garcia"/>
    <n v="60"/>
    <x v="0"/>
    <s v="Taraberg"/>
    <s v="Arizona"/>
    <s v="USA"/>
    <x v="2"/>
    <x v="195"/>
  </r>
  <r>
    <x v="196"/>
    <s v="Megan Greer"/>
    <n v="18"/>
    <x v="1"/>
    <s v="West John"/>
    <s v="Alaska"/>
    <s v="USA"/>
    <x v="0"/>
    <x v="196"/>
  </r>
  <r>
    <x v="197"/>
    <s v="Andrea Jacobs"/>
    <n v="45"/>
    <x v="1"/>
    <s v="Christopherland"/>
    <s v="Minnesota"/>
    <s v="USA"/>
    <x v="0"/>
    <x v="197"/>
  </r>
  <r>
    <x v="198"/>
    <s v="Wanda Snyder"/>
    <n v="54"/>
    <x v="0"/>
    <s v="Frostmouth"/>
    <s v="Vermont"/>
    <s v="USA"/>
    <x v="1"/>
    <x v="198"/>
  </r>
  <r>
    <x v="199"/>
    <s v="Carmen Price"/>
    <n v="46"/>
    <x v="0"/>
    <s v="North Briannamouth"/>
    <s v="Tennessee"/>
    <s v="USA"/>
    <x v="1"/>
    <x v="199"/>
  </r>
  <r>
    <x v="200"/>
    <s v="Anna Perez"/>
    <n v="30"/>
    <x v="0"/>
    <s v="South Jerry"/>
    <s v="Maine"/>
    <s v="USA"/>
    <x v="0"/>
    <x v="200"/>
  </r>
  <r>
    <x v="201"/>
    <s v="Mary Boyd"/>
    <n v="25"/>
    <x v="1"/>
    <s v="New Logan"/>
    <s v="Michigan"/>
    <s v="USA"/>
    <x v="1"/>
    <x v="201"/>
  </r>
  <r>
    <x v="202"/>
    <s v="Christina Garcia"/>
    <n v="37"/>
    <x v="1"/>
    <s v="Clarkeside"/>
    <s v="Kansas"/>
    <s v="USA"/>
    <x v="0"/>
    <x v="202"/>
  </r>
  <r>
    <x v="203"/>
    <s v="Sarah Brady"/>
    <n v="47"/>
    <x v="0"/>
    <s v="Johnsonland"/>
    <s v="Iowa"/>
    <s v="USA"/>
    <x v="0"/>
    <x v="203"/>
  </r>
  <r>
    <x v="204"/>
    <s v="Tiffany Herrera"/>
    <n v="52"/>
    <x v="0"/>
    <s v="New Dianebury"/>
    <s v="Virginia"/>
    <s v="USA"/>
    <x v="0"/>
    <x v="204"/>
  </r>
  <r>
    <x v="205"/>
    <s v="Michelle Carpenter"/>
    <n v="44"/>
    <x v="1"/>
    <s v="Lake Danielleton"/>
    <s v="New Jersey"/>
    <s v="USA"/>
    <x v="3"/>
    <x v="205"/>
  </r>
  <r>
    <x v="206"/>
    <s v="Ronald Jones"/>
    <n v="26"/>
    <x v="1"/>
    <s v="Brownshire"/>
    <s v="Tennessee"/>
    <s v="USA"/>
    <x v="2"/>
    <x v="206"/>
  </r>
  <r>
    <x v="207"/>
    <s v="Jacqueline Pacheco"/>
    <n v="28"/>
    <x v="1"/>
    <s v="South Emily"/>
    <s v="New Jersey"/>
    <s v="USA"/>
    <x v="1"/>
    <x v="207"/>
  </r>
  <r>
    <x v="208"/>
    <s v="John Perez"/>
    <n v="54"/>
    <x v="0"/>
    <s v="Kathrynview"/>
    <s v="Louisiana"/>
    <s v="USA"/>
    <x v="0"/>
    <x v="208"/>
  </r>
  <r>
    <x v="209"/>
    <s v="Joan Johnson"/>
    <n v="50"/>
    <x v="1"/>
    <s v="Lake Josephport"/>
    <s v="Maine"/>
    <s v="USA"/>
    <x v="0"/>
    <x v="209"/>
  </r>
  <r>
    <x v="210"/>
    <s v="Antonio Jones"/>
    <n v="48"/>
    <x v="0"/>
    <s v="Matthewborough"/>
    <s v="Georgia"/>
    <s v="USA"/>
    <x v="2"/>
    <x v="210"/>
  </r>
  <r>
    <x v="211"/>
    <s v="Rodney Huffman"/>
    <n v="20"/>
    <x v="1"/>
    <s v="Garzafort"/>
    <s v="Delaware"/>
    <s v="USA"/>
    <x v="2"/>
    <x v="211"/>
  </r>
  <r>
    <x v="212"/>
    <s v="Blake Harrison"/>
    <n v="63"/>
    <x v="1"/>
    <s v="Lyonsfort"/>
    <s v="Washington"/>
    <s v="USA"/>
    <x v="0"/>
    <x v="212"/>
  </r>
  <r>
    <x v="213"/>
    <s v="Stuart Johnson"/>
    <n v="42"/>
    <x v="1"/>
    <s v="West Markport"/>
    <s v="North Dakota"/>
    <s v="USA"/>
    <x v="0"/>
    <x v="213"/>
  </r>
  <r>
    <x v="214"/>
    <s v="Eric Todd"/>
    <n v="61"/>
    <x v="0"/>
    <s v="Danielstad"/>
    <s v="Montana"/>
    <s v="USA"/>
    <x v="3"/>
    <x v="214"/>
  </r>
  <r>
    <x v="215"/>
    <s v="Steve Medina"/>
    <n v="50"/>
    <x v="1"/>
    <s v="East Josephside"/>
    <s v="Oregon"/>
    <s v="USA"/>
    <x v="3"/>
    <x v="215"/>
  </r>
  <r>
    <x v="216"/>
    <s v="Kathryn Garcia"/>
    <n v="44"/>
    <x v="0"/>
    <s v="Morrismouth"/>
    <s v="California"/>
    <s v="USA"/>
    <x v="0"/>
    <x v="216"/>
  </r>
  <r>
    <x v="217"/>
    <s v="Kathy Copeland"/>
    <n v="42"/>
    <x v="0"/>
    <s v="North Christinemouth"/>
    <s v="Missouri"/>
    <s v="USA"/>
    <x v="2"/>
    <x v="217"/>
  </r>
  <r>
    <x v="218"/>
    <s v="Julia Jackson"/>
    <n v="46"/>
    <x v="0"/>
    <s v="Edwardland"/>
    <s v="California"/>
    <s v="USA"/>
    <x v="0"/>
    <x v="218"/>
  </r>
  <r>
    <x v="219"/>
    <s v="Jordan Wells"/>
    <n v="47"/>
    <x v="1"/>
    <s v="Phillipschester   "/>
    <s v="New Jersey"/>
    <s v="USA"/>
    <x v="3"/>
    <x v="219"/>
  </r>
  <r>
    <x v="220"/>
    <s v="George Davis"/>
    <n v="50"/>
    <x v="1"/>
    <s v="    lake lisa"/>
    <s v="Massachusetts"/>
    <s v="USA"/>
    <x v="1"/>
    <x v="220"/>
  </r>
  <r>
    <x v="221"/>
    <s v="Lisa Young"/>
    <n v="38"/>
    <x v="0"/>
    <s v="Maybury"/>
    <s v="Georgia"/>
    <s v="USA"/>
    <x v="0"/>
    <x v="221"/>
  </r>
  <r>
    <x v="222"/>
    <s v="Alejandro Doyle"/>
    <n v="35"/>
    <x v="0"/>
    <s v="East Crystalton"/>
    <s v="New Mexico"/>
    <s v="USA"/>
    <x v="0"/>
    <x v="222"/>
  </r>
  <r>
    <x v="223"/>
    <s v="Robert Harris"/>
    <n v="50"/>
    <x v="0"/>
    <s v="East jeremy"/>
    <s v="Iowa"/>
    <s v="USA"/>
    <x v="0"/>
    <x v="223"/>
  </r>
  <r>
    <x v="224"/>
    <s v="Anthony Morgan"/>
    <n v="29"/>
    <x v="0"/>
    <s v="New Anthonyfurt"/>
    <s v="Missouri"/>
    <s v="USA"/>
    <x v="2"/>
    <x v="224"/>
  </r>
  <r>
    <x v="225"/>
    <s v="Elizabeth Stanley"/>
    <n v="46"/>
    <x v="1"/>
    <s v="Bethanyton"/>
    <s v="Utah"/>
    <s v="USA"/>
    <x v="0"/>
    <x v="225"/>
  </r>
  <r>
    <x v="226"/>
    <s v="Alexis Castaneda"/>
    <n v="54"/>
    <x v="0"/>
    <s v="Morrisbury"/>
    <s v="Alaska"/>
    <s v="USA"/>
    <x v="3"/>
    <x v="226"/>
  </r>
  <r>
    <x v="227"/>
    <s v="Gregory Pham"/>
    <n v="63"/>
    <x v="1"/>
    <s v="Pollardton"/>
    <s v="Kansas"/>
    <s v="USA"/>
    <x v="3"/>
    <x v="227"/>
  </r>
  <r>
    <x v="228"/>
    <s v="Casey Flores"/>
    <n v="52"/>
    <x v="1"/>
    <s v="Lake Michael"/>
    <s v="Utah"/>
    <s v="USA"/>
    <x v="3"/>
    <x v="228"/>
  </r>
  <r>
    <x v="229"/>
    <s v="Tanner Thompson"/>
    <n v="32"/>
    <x v="1"/>
    <s v="Port Lisashire"/>
    <s v="Maryland"/>
    <s v="USA"/>
    <x v="1"/>
    <x v="229"/>
  </r>
  <r>
    <x v="230"/>
    <s v="Timothy Sanders"/>
    <n v="29"/>
    <x v="0"/>
    <s v="Aaronmouth"/>
    <s v="Florida"/>
    <s v="USA"/>
    <x v="1"/>
    <x v="230"/>
  </r>
  <r>
    <x v="231"/>
    <s v="Timothy Juarez"/>
    <n v="22"/>
    <x v="1"/>
    <s v="Grahamstad"/>
    <s v="South Carolina"/>
    <s v="USA"/>
    <x v="1"/>
    <x v="231"/>
  </r>
  <r>
    <x v="232"/>
    <s v="Christy Hill"/>
    <n v="27"/>
    <x v="1"/>
    <s v="Tammyton"/>
    <s v="New Jersey"/>
    <s v="USA"/>
    <x v="0"/>
    <x v="232"/>
  </r>
  <r>
    <x v="233"/>
    <s v="Michelle Gonzalez"/>
    <n v="59"/>
    <x v="0"/>
    <s v="Clarkport"/>
    <s v="West Virginia"/>
    <s v="USA"/>
    <x v="2"/>
    <x v="233"/>
  </r>
  <r>
    <x v="234"/>
    <s v="Nathaniel Hill"/>
    <n v="43"/>
    <x v="1"/>
    <s v="Lake Mark"/>
    <s v="Kansas"/>
    <s v="USA"/>
    <x v="3"/>
    <x v="234"/>
  </r>
  <r>
    <x v="235"/>
    <s v="Jon Ortiz"/>
    <n v="28"/>
    <x v="1"/>
    <s v="South Angelaport"/>
    <s v="Delaware"/>
    <s v="USA"/>
    <x v="1"/>
    <x v="235"/>
  </r>
  <r>
    <x v="236"/>
    <s v="Joshua Wilson"/>
    <n v="42"/>
    <x v="1"/>
    <s v="North Larryport"/>
    <s v="Virginia"/>
    <s v="USA"/>
    <x v="1"/>
    <x v="236"/>
  </r>
  <r>
    <x v="237"/>
    <s v="Wesley Short"/>
    <n v="41"/>
    <x v="1"/>
    <s v="Susanstad"/>
    <s v="Montana"/>
    <s v="USA"/>
    <x v="3"/>
    <x v="237"/>
  </r>
  <r>
    <x v="238"/>
    <s v="Steven Smith"/>
    <n v="40"/>
    <x v="0"/>
    <s v="Port Krista"/>
    <s v="West Virginia"/>
    <s v="USA"/>
    <x v="0"/>
    <x v="238"/>
  </r>
  <r>
    <x v="239"/>
    <s v="Maria Hill"/>
    <n v="58"/>
    <x v="1"/>
    <s v="Zamoraborough"/>
    <s v="Nevada"/>
    <s v="USA"/>
    <x v="0"/>
    <x v="239"/>
  </r>
  <r>
    <x v="240"/>
    <s v="William Hull"/>
    <n v="59"/>
    <x v="1"/>
    <s v="Heathfort"/>
    <s v="Michigan"/>
    <s v="USA"/>
    <x v="0"/>
    <x v="240"/>
  </r>
  <r>
    <x v="241"/>
    <s v="Mr. William Horton"/>
    <n v="31"/>
    <x v="0"/>
    <s v="Dawsonchester"/>
    <s v="Virginia"/>
    <s v="USA"/>
    <x v="0"/>
    <x v="241"/>
  </r>
  <r>
    <x v="242"/>
    <s v="William Jackson"/>
    <n v="58"/>
    <x v="1"/>
    <s v="New Tina"/>
    <s v="Connecticut"/>
    <s v="USA"/>
    <x v="2"/>
    <x v="242"/>
  </r>
  <r>
    <x v="243"/>
    <s v="Brian Hammond"/>
    <n v="56"/>
    <x v="1"/>
    <s v="North Nicholas"/>
    <s v="Texas"/>
    <s v="USA"/>
    <x v="3"/>
    <x v="243"/>
  </r>
  <r>
    <x v="244"/>
    <s v="Nancy Page"/>
    <n v="19"/>
    <x v="0"/>
    <s v="West Julia"/>
    <s v="Utah"/>
    <s v="USA"/>
    <x v="1"/>
    <x v="244"/>
  </r>
  <r>
    <x v="245"/>
    <s v="Laura Soto"/>
    <n v="57"/>
    <x v="1"/>
    <s v="Rodriguezton"/>
    <s v="Michigan"/>
    <s v="USA"/>
    <x v="0"/>
    <x v="245"/>
  </r>
  <r>
    <x v="246"/>
    <s v="Mary Russell"/>
    <n v="58"/>
    <x v="0"/>
    <s v="South Regina"/>
    <s v="Arkansas"/>
    <s v="USA"/>
    <x v="1"/>
    <x v="246"/>
  </r>
  <r>
    <x v="247"/>
    <s v="Douglas Rhodes"/>
    <n v="32"/>
    <x v="0"/>
    <s v="Mikehaven"/>
    <s v="New Hampshire"/>
    <s v="USA"/>
    <x v="0"/>
    <x v="247"/>
  </r>
  <r>
    <x v="248"/>
    <s v="Nicholas Webb"/>
    <n v="19"/>
    <x v="0"/>
    <s v="Lake Timothy"/>
    <s v="Nevada"/>
    <s v="USA"/>
    <x v="3"/>
    <x v="248"/>
  </r>
  <r>
    <x v="249"/>
    <s v="Lauren George"/>
    <n v="41"/>
    <x v="1"/>
    <s v="Garciamouth"/>
    <s v="New York"/>
    <s v="USA"/>
    <x v="3"/>
    <x v="249"/>
  </r>
  <r>
    <x v="250"/>
    <s v="Veronica Newman"/>
    <n v="48"/>
    <x v="0"/>
    <s v="New Daniel"/>
    <s v="Delaware"/>
    <s v="USA"/>
    <x v="0"/>
    <x v="250"/>
  </r>
  <r>
    <x v="251"/>
    <s v="Tyler Garner"/>
    <n v="64"/>
    <x v="0"/>
    <s v="Port Coreyfort"/>
    <s v="Alabama"/>
    <s v="USA"/>
    <x v="2"/>
    <x v="251"/>
  </r>
  <r>
    <x v="252"/>
    <s v="John Mccoy"/>
    <n v="26"/>
    <x v="0"/>
    <s v="Robinborough"/>
    <s v="South Dakota"/>
    <s v="USA"/>
    <x v="2"/>
    <x v="252"/>
  </r>
  <r>
    <x v="253"/>
    <s v="Dr. Ashley Yates MD"/>
    <n v="32"/>
    <x v="0"/>
    <s v="New Maria"/>
    <s v="Wisconsin"/>
    <s v="USA"/>
    <x v="1"/>
    <x v="253"/>
  </r>
  <r>
    <x v="254"/>
    <s v="Linda Kline"/>
    <n v="34"/>
    <x v="0"/>
    <s v="Masseyland"/>
    <s v="Alaska"/>
    <s v="USA"/>
    <x v="2"/>
    <x v="254"/>
  </r>
  <r>
    <x v="255"/>
    <s v="Damon Perez"/>
    <n v="21"/>
    <x v="0"/>
    <s v="Jasonton"/>
    <s v="Ohio"/>
    <s v="USA"/>
    <x v="3"/>
    <x v="255"/>
  </r>
  <r>
    <x v="256"/>
    <s v="Kristen Fischer"/>
    <n v="57"/>
    <x v="0"/>
    <s v="Lake Christopher"/>
    <s v="Arkansas"/>
    <s v="USA"/>
    <x v="0"/>
    <x v="256"/>
  </r>
  <r>
    <x v="257"/>
    <s v="Christopher David"/>
    <n v="42"/>
    <x v="0"/>
    <s v="Karenmouth"/>
    <s v="Massachusetts"/>
    <s v="USA"/>
    <x v="2"/>
    <x v="257"/>
  </r>
  <r>
    <x v="258"/>
    <s v="Sarah Stewart"/>
    <n v="24"/>
    <x v="1"/>
    <s v="East Richard"/>
    <s v="Texas"/>
    <s v="USA"/>
    <x v="0"/>
    <x v="258"/>
  </r>
  <r>
    <x v="259"/>
    <s v="Beth Allen"/>
    <n v="32"/>
    <x v="1"/>
    <s v="South Kathrynmouth"/>
    <s v="Oklahoma"/>
    <s v="USA"/>
    <x v="2"/>
    <x v="259"/>
  </r>
  <r>
    <x v="260"/>
    <s v="Russell Lamb"/>
    <n v="63"/>
    <x v="1"/>
    <s v="North Jonathon"/>
    <s v="Arizona"/>
    <s v="USA"/>
    <x v="0"/>
    <x v="260"/>
  </r>
  <r>
    <x v="261"/>
    <s v="Carol Bishop"/>
    <n v="27"/>
    <x v="1"/>
    <s v="Lake Saramouth"/>
    <s v="Oregon"/>
    <s v="USA"/>
    <x v="2"/>
    <x v="261"/>
  </r>
  <r>
    <x v="262"/>
    <s v="Katherine Cowan"/>
    <n v="60"/>
    <x v="1"/>
    <s v="New Ana"/>
    <s v="Montana"/>
    <s v="USA"/>
    <x v="2"/>
    <x v="262"/>
  </r>
  <r>
    <x v="263"/>
    <s v="Crystal Davis"/>
    <n v="50"/>
    <x v="0"/>
    <s v="Sallymouth"/>
    <s v="Louisiana"/>
    <s v="USA"/>
    <x v="1"/>
    <x v="263"/>
  </r>
  <r>
    <x v="264"/>
    <s v="Matthew Payne"/>
    <n v="25"/>
    <x v="0"/>
    <s v="Grahamfurt"/>
    <s v="Wyoming"/>
    <s v="USA"/>
    <x v="3"/>
    <x v="264"/>
  </r>
  <r>
    <x v="265"/>
    <s v="Tracy Kelly"/>
    <n v="38"/>
    <x v="0"/>
    <s v="West Jamieport"/>
    <s v="Tennessee"/>
    <s v="USA"/>
    <x v="2"/>
    <x v="265"/>
  </r>
  <r>
    <x v="266"/>
    <s v="Cynthia Payne"/>
    <n v="32"/>
    <x v="1"/>
    <s v="South Gina"/>
    <s v="Kentucky"/>
    <s v="USA"/>
    <x v="1"/>
    <x v="266"/>
  </r>
  <r>
    <x v="267"/>
    <s v="Zachary Shelton"/>
    <n v="18"/>
    <x v="0"/>
    <s v="North Nicholas"/>
    <s v="Montana"/>
    <s v="USA"/>
    <x v="1"/>
    <x v="267"/>
  </r>
  <r>
    <x v="268"/>
    <s v="Kevin Orr"/>
    <n v="53"/>
    <x v="1"/>
    <s v="Ryanberg"/>
    <s v="Minnesota"/>
    <s v="USA"/>
    <x v="1"/>
    <x v="268"/>
  </r>
  <r>
    <x v="269"/>
    <s v="Tyrone Olson"/>
    <n v="45"/>
    <x v="1"/>
    <s v="Emilytown"/>
    <s v="California"/>
    <s v="USA"/>
    <x v="2"/>
    <x v="269"/>
  </r>
  <r>
    <x v="270"/>
    <s v="Brian Garcia"/>
    <n v="31"/>
    <x v="1"/>
    <s v="Ramosmouth"/>
    <s v="Louisiana"/>
    <s v="USA"/>
    <x v="3"/>
    <x v="270"/>
  </r>
  <r>
    <x v="271"/>
    <s v="Daisy Johnson DDS"/>
    <n v="64"/>
    <x v="0"/>
    <s v="North Stephanie"/>
    <s v="Nebraska"/>
    <s v="USA"/>
    <x v="0"/>
    <x v="271"/>
  </r>
  <r>
    <x v="272"/>
    <s v="Adam Rowland"/>
    <n v="48"/>
    <x v="1"/>
    <s v="Welchview"/>
    <s v="California"/>
    <s v="USA"/>
    <x v="3"/>
    <x v="272"/>
  </r>
  <r>
    <x v="273"/>
    <s v="Samantha Robinson"/>
    <n v="23"/>
    <x v="0"/>
    <s v="North Roy"/>
    <s v="Mississippi"/>
    <s v="USA"/>
    <x v="1"/>
    <x v="273"/>
  </r>
  <r>
    <x v="274"/>
    <s v="Sarah Lane"/>
    <n v="38"/>
    <x v="0"/>
    <s v="Edwardborough"/>
    <s v="Vermont"/>
    <s v="USA"/>
    <x v="2"/>
    <x v="274"/>
  </r>
  <r>
    <x v="275"/>
    <s v="Shannon Miller"/>
    <n v="22"/>
    <x v="0"/>
    <s v="North Austinport"/>
    <s v="Kentucky"/>
    <s v="USA"/>
    <x v="3"/>
    <x v="275"/>
  </r>
  <r>
    <x v="276"/>
    <s v="Arthur Warren"/>
    <n v="38"/>
    <x v="0"/>
    <s v="Ericshire"/>
    <s v="Nevada"/>
    <s v="USA"/>
    <x v="3"/>
    <x v="276"/>
  </r>
  <r>
    <x v="277"/>
    <s v="Jeffrey Gomez"/>
    <n v="22"/>
    <x v="1"/>
    <s v="Lake Nicole"/>
    <s v="Colorado"/>
    <s v="USA"/>
    <x v="0"/>
    <x v="277"/>
  </r>
  <r>
    <x v="278"/>
    <s v="Stephen Fowler"/>
    <n v="42"/>
    <x v="1"/>
    <s v="Port Mariastad"/>
    <s v="Rhode Island"/>
    <s v="USA"/>
    <x v="0"/>
    <x v="278"/>
  </r>
  <r>
    <x v="279"/>
    <s v="Aaron Luna"/>
    <n v="21"/>
    <x v="1"/>
    <s v="Gilltown"/>
    <s v="Ohio"/>
    <s v="USA"/>
    <x v="1"/>
    <x v="279"/>
  </r>
  <r>
    <x v="280"/>
    <s v="Antonio Leon"/>
    <n v="48"/>
    <x v="0"/>
    <s v="Morrisville"/>
    <s v="Hawaii"/>
    <s v="USA"/>
    <x v="1"/>
    <x v="280"/>
  </r>
  <r>
    <x v="281"/>
    <s v="Brittany Watson"/>
    <n v="59"/>
    <x v="0"/>
    <s v="North Joshualand"/>
    <s v="Connecticut"/>
    <s v="USA"/>
    <x v="0"/>
    <x v="281"/>
  </r>
  <r>
    <x v="282"/>
    <s v="Kristi Lopez"/>
    <n v="46"/>
    <x v="1"/>
    <s v="Spencermouth"/>
    <s v="New Jersey"/>
    <s v="USA"/>
    <x v="3"/>
    <x v="282"/>
  </r>
  <r>
    <x v="283"/>
    <s v="Bryan Garcia"/>
    <n v="54"/>
    <x v="1"/>
    <s v="Garciaborough"/>
    <s v="Wyoming"/>
    <s v="USA"/>
    <x v="2"/>
    <x v="283"/>
  </r>
  <r>
    <x v="284"/>
    <s v="Hunter Sutton"/>
    <n v="54"/>
    <x v="0"/>
    <s v="Patrickshire"/>
    <s v="Connecticut"/>
    <s v="USA"/>
    <x v="3"/>
    <x v="284"/>
  </r>
  <r>
    <x v="285"/>
    <s v="Donna Guerra"/>
    <n v="46"/>
    <x v="1"/>
    <s v="North Robert"/>
    <s v="Massachusetts"/>
    <s v="USA"/>
    <x v="2"/>
    <x v="285"/>
  </r>
  <r>
    <x v="286"/>
    <s v="Tommy Roberts"/>
    <n v="22"/>
    <x v="0"/>
    <s v="Port Tonyfort"/>
    <s v="South Dakota"/>
    <s v="USA"/>
    <x v="2"/>
    <x v="286"/>
  </r>
  <r>
    <x v="287"/>
    <s v="Cynthia Roberts"/>
    <n v="22"/>
    <x v="1"/>
    <s v="Millerfort"/>
    <s v="Vermont"/>
    <s v="USA"/>
    <x v="3"/>
    <x v="287"/>
  </r>
  <r>
    <x v="288"/>
    <s v="Misty Ferguson"/>
    <n v="58"/>
    <x v="0"/>
    <s v="North Joseside"/>
    <s v="Connecticut"/>
    <s v="USA"/>
    <x v="3"/>
    <x v="288"/>
  </r>
  <r>
    <x v="289"/>
    <s v="Jennifer Figueroa"/>
    <n v="45"/>
    <x v="0"/>
    <s v="North Brookestad"/>
    <s v="Ohio"/>
    <s v="USA"/>
    <x v="1"/>
    <x v="289"/>
  </r>
  <r>
    <x v="290"/>
    <s v="Chase Williams MD"/>
    <n v="52"/>
    <x v="1"/>
    <s v="Sherimouth"/>
    <s v="Virginia"/>
    <s v="USA"/>
    <x v="2"/>
    <x v="290"/>
  </r>
  <r>
    <x v="291"/>
    <s v="James Powell"/>
    <n v="40"/>
    <x v="1"/>
    <s v="West Beverlymouth"/>
    <s v="Missouri"/>
    <s v="USA"/>
    <x v="1"/>
    <x v="291"/>
  </r>
  <r>
    <x v="292"/>
    <s v="Ricardo Jones"/>
    <n v="30"/>
    <x v="0"/>
    <s v="Danielland"/>
    <s v="Minnesota"/>
    <s v="USA"/>
    <x v="2"/>
    <x v="292"/>
  </r>
  <r>
    <x v="293"/>
    <s v="Gloria Taylor"/>
    <n v="56"/>
    <x v="1"/>
    <s v="North Daniel"/>
    <s v="Louisiana"/>
    <s v="USA"/>
    <x v="0"/>
    <x v="293"/>
  </r>
  <r>
    <x v="294"/>
    <s v="Lisa Chandler"/>
    <n v="29"/>
    <x v="0"/>
    <s v="Port Richard"/>
    <s v="Montana"/>
    <s v="USA"/>
    <x v="0"/>
    <x v="294"/>
  </r>
  <r>
    <x v="295"/>
    <s v="Crystal Waters"/>
    <n v="19"/>
    <x v="1"/>
    <s v="North Michelleport"/>
    <s v="Kansas"/>
    <s v="USA"/>
    <x v="1"/>
    <x v="295"/>
  </r>
  <r>
    <x v="296"/>
    <s v="Jared Moran"/>
    <n v="28"/>
    <x v="1"/>
    <s v="South David"/>
    <s v="West Virginia"/>
    <s v="USA"/>
    <x v="1"/>
    <x v="296"/>
  </r>
  <r>
    <x v="297"/>
    <s v="Jennifer Carr"/>
    <n v="47"/>
    <x v="1"/>
    <s v="Lake Brett"/>
    <s v="Missouri"/>
    <s v="USA"/>
    <x v="2"/>
    <x v="297"/>
  </r>
  <r>
    <x v="298"/>
    <s v="Tracy Stephens"/>
    <n v="64"/>
    <x v="0"/>
    <s v="New Joshuatown"/>
    <s v="Maine"/>
    <s v="USA"/>
    <x v="0"/>
    <x v="298"/>
  </r>
  <r>
    <x v="299"/>
    <s v="Stephanie Jacobs"/>
    <n v="48"/>
    <x v="1"/>
    <s v="West Robinmouth"/>
    <s v="Louisiana"/>
    <s v="USA"/>
    <x v="0"/>
    <x v="299"/>
  </r>
  <r>
    <x v="300"/>
    <s v="Matthew Avery"/>
    <n v="29"/>
    <x v="0"/>
    <s v="Lake Melissashire"/>
    <s v="Oregon"/>
    <s v="USA"/>
    <x v="2"/>
    <x v="300"/>
  </r>
  <r>
    <x v="301"/>
    <s v="Ryan Kane"/>
    <n v="50"/>
    <x v="0"/>
    <s v="West Bruceburgh"/>
    <s v="Virginia"/>
    <s v="USA"/>
    <x v="3"/>
    <x v="301"/>
  </r>
  <r>
    <x v="302"/>
    <s v="Edward Cole"/>
    <n v="36"/>
    <x v="0"/>
    <s v="Lake Charlotte"/>
    <s v="Arizona"/>
    <s v="USA"/>
    <x v="3"/>
    <x v="302"/>
  </r>
  <r>
    <x v="303"/>
    <s v="John Sloan"/>
    <n v="23"/>
    <x v="1"/>
    <s v="East Johntown"/>
    <s v="Delaware"/>
    <s v="USA"/>
    <x v="0"/>
    <x v="303"/>
  </r>
  <r>
    <x v="304"/>
    <s v="Miss Alexandria Li DVM"/>
    <n v="41"/>
    <x v="0"/>
    <s v="Port Jenniferton"/>
    <s v="Kansas"/>
    <s v="USA"/>
    <x v="2"/>
    <x v="304"/>
  </r>
  <r>
    <x v="305"/>
    <s v="Roberta Green"/>
    <n v="64"/>
    <x v="0"/>
    <s v="West Joseph"/>
    <s v="Washington"/>
    <s v="USA"/>
    <x v="0"/>
    <x v="305"/>
  </r>
  <r>
    <x v="306"/>
    <s v="Angela Robinson"/>
    <n v="44"/>
    <x v="0"/>
    <s v="New Nicholasstad"/>
    <s v="Tennessee"/>
    <s v="USA"/>
    <x v="0"/>
    <x v="306"/>
  </r>
  <r>
    <x v="307"/>
    <s v="Brandy Thompson"/>
    <n v="56"/>
    <x v="1"/>
    <s v="West Patriciaview"/>
    <s v="Alabama"/>
    <s v="USA"/>
    <x v="1"/>
    <x v="307"/>
  </r>
  <r>
    <x v="308"/>
    <s v="Jennifer Zamora"/>
    <n v="60"/>
    <x v="1"/>
    <s v="Sarahland"/>
    <s v="Iowa"/>
    <s v="USA"/>
    <x v="3"/>
    <x v="308"/>
  </r>
  <r>
    <x v="309"/>
    <s v="Stacy Collins"/>
    <n v="41"/>
    <x v="1"/>
    <s v="Randychester"/>
    <s v="California"/>
    <s v="USA"/>
    <x v="1"/>
    <x v="309"/>
  </r>
  <r>
    <x v="310"/>
    <s v="Kara Dodson"/>
    <n v="20"/>
    <x v="0"/>
    <s v="Joelside"/>
    <s v="Vermont"/>
    <s v="USA"/>
    <x v="2"/>
    <x v="310"/>
  </r>
  <r>
    <x v="311"/>
    <s v="Kevin Larson"/>
    <n v="35"/>
    <x v="0"/>
    <s v="Port Edwardmouth"/>
    <s v="Oregon"/>
    <s v="USA"/>
    <x v="0"/>
    <x v="311"/>
  </r>
  <r>
    <x v="312"/>
    <s v="Jason Mullins"/>
    <n v="47"/>
    <x v="1"/>
    <s v="Brianchester"/>
    <s v="Delaware"/>
    <s v="USA"/>
    <x v="2"/>
    <x v="312"/>
  </r>
  <r>
    <x v="313"/>
    <s v="Elizabeth Jones"/>
    <n v="62"/>
    <x v="0"/>
    <s v="Brownburgh"/>
    <s v="Maryland"/>
    <s v="USA"/>
    <x v="0"/>
    <x v="313"/>
  </r>
  <r>
    <x v="314"/>
    <s v="Elizabeth Johnson"/>
    <n v="53"/>
    <x v="1"/>
    <s v="Anitaland"/>
    <s v="Washington"/>
    <s v="USA"/>
    <x v="2"/>
    <x v="314"/>
  </r>
  <r>
    <x v="315"/>
    <s v="William Rodriguez"/>
    <n v="49"/>
    <x v="0"/>
    <s v="Port Chad"/>
    <s v="Massachusetts"/>
    <s v="USA"/>
    <x v="2"/>
    <x v="315"/>
  </r>
  <r>
    <x v="316"/>
    <s v="Robert House"/>
    <n v="34"/>
    <x v="0"/>
    <s v="Lake James"/>
    <s v="Maryland"/>
    <s v="USA"/>
    <x v="3"/>
    <x v="316"/>
  </r>
  <r>
    <x v="317"/>
    <s v="Tiffany Williams"/>
    <n v="64"/>
    <x v="1"/>
    <s v="Richardsport"/>
    <s v="New Hampshire"/>
    <s v="USA"/>
    <x v="3"/>
    <x v="317"/>
  </r>
  <r>
    <x v="318"/>
    <s v="Madison Wright"/>
    <n v="25"/>
    <x v="0"/>
    <s v="Monicaview"/>
    <s v="Kansas"/>
    <s v="USA"/>
    <x v="0"/>
    <x v="318"/>
  </r>
  <r>
    <x v="319"/>
    <s v="Casey Simpson"/>
    <n v="54"/>
    <x v="0"/>
    <s v="West Mathewside"/>
    <s v="Mississippi"/>
    <s v="USA"/>
    <x v="0"/>
    <x v="319"/>
  </r>
  <r>
    <x v="320"/>
    <s v="Jessica Gonzalez"/>
    <n v="34"/>
    <x v="1"/>
    <s v="South Darrenland"/>
    <s v="Iowa"/>
    <s v="USA"/>
    <x v="1"/>
    <x v="320"/>
  </r>
  <r>
    <x v="321"/>
    <s v="Darren Burton"/>
    <n v="21"/>
    <x v="1"/>
    <s v="Lake Alice"/>
    <s v="Tennessee"/>
    <s v="USA"/>
    <x v="1"/>
    <x v="321"/>
  </r>
  <r>
    <x v="322"/>
    <s v="Samuel Arias"/>
    <n v="54"/>
    <x v="0"/>
    <s v="North Nicole"/>
    <s v="Wyoming"/>
    <s v="USA"/>
    <x v="1"/>
    <x v="322"/>
  </r>
  <r>
    <x v="323"/>
    <s v="Kristy Dunlap"/>
    <n v="64"/>
    <x v="1"/>
    <s v="Whiteport"/>
    <s v="North Carolina"/>
    <s v="USA"/>
    <x v="0"/>
    <x v="323"/>
  </r>
  <r>
    <x v="324"/>
    <s v="Alex Mann II"/>
    <n v="58"/>
    <x v="0"/>
    <s v="South Zacharychester"/>
    <s v="Oklahoma"/>
    <s v="USA"/>
    <x v="1"/>
    <x v="324"/>
  </r>
  <r>
    <x v="325"/>
    <s v="Andrew Smith"/>
    <n v="60"/>
    <x v="0"/>
    <s v="East Matthew"/>
    <s v="Wisconsin"/>
    <s v="USA"/>
    <x v="1"/>
    <x v="325"/>
  </r>
  <r>
    <x v="326"/>
    <s v="Robert King"/>
    <n v="58"/>
    <x v="1"/>
    <s v="Cindyton"/>
    <s v="Rhode Island"/>
    <s v="USA"/>
    <x v="3"/>
    <x v="326"/>
  </r>
  <r>
    <x v="327"/>
    <s v="Reginald Willis"/>
    <n v="62"/>
    <x v="1"/>
    <s v="Kellybury"/>
    <s v="New York"/>
    <s v="USA"/>
    <x v="1"/>
    <x v="327"/>
  </r>
  <r>
    <x v="328"/>
    <s v="Mario Harvey Jr."/>
    <n v="46"/>
    <x v="0"/>
    <s v="Jessicaport"/>
    <s v="Minnesota"/>
    <s v="USA"/>
    <x v="0"/>
    <x v="328"/>
  </r>
  <r>
    <x v="329"/>
    <s v="Victor Mcintosh"/>
    <n v="62"/>
    <x v="1"/>
    <s v="Tiffanyshire"/>
    <s v="Minnesota"/>
    <s v="USA"/>
    <x v="1"/>
    <x v="329"/>
  </r>
  <r>
    <x v="330"/>
    <s v="Pamela Mcguire"/>
    <n v="54"/>
    <x v="0"/>
    <s v="South Jasontown"/>
    <s v="Illinois"/>
    <s v="USA"/>
    <x v="0"/>
    <x v="330"/>
  </r>
  <r>
    <x v="331"/>
    <s v="Maria Phillips"/>
    <n v="38"/>
    <x v="1"/>
    <s v="North Kathytown"/>
    <s v="Montana"/>
    <s v="USA"/>
    <x v="1"/>
    <x v="331"/>
  </r>
  <r>
    <x v="332"/>
    <s v="Dr. Lindsay Hanna"/>
    <n v="34"/>
    <x v="1"/>
    <s v="New Paulstad"/>
    <s v="Hawaii"/>
    <s v="USA"/>
    <x v="1"/>
    <x v="332"/>
  </r>
  <r>
    <x v="333"/>
    <s v="Teresa Johnson"/>
    <n v="64"/>
    <x v="1"/>
    <s v="Johnsonbury"/>
    <s v="Georgia"/>
    <s v="USA"/>
    <x v="3"/>
    <x v="333"/>
  </r>
  <r>
    <x v="334"/>
    <s v="Mr. Christopher Sims"/>
    <n v="50"/>
    <x v="1"/>
    <s v="Donaldsontown"/>
    <s v="Connecticut"/>
    <s v="USA"/>
    <x v="2"/>
    <x v="334"/>
  </r>
  <r>
    <x v="335"/>
    <s v="Jennifer Woods"/>
    <n v="37"/>
    <x v="0"/>
    <s v="West Brendamouth"/>
    <s v="North Carolina"/>
    <s v="USA"/>
    <x v="0"/>
    <x v="335"/>
  </r>
  <r>
    <x v="336"/>
    <s v="John Jones"/>
    <n v="58"/>
    <x v="1"/>
    <s v="North Michaelborough"/>
    <s v="Oregon"/>
    <s v="USA"/>
    <x v="2"/>
    <x v="336"/>
  </r>
  <r>
    <x v="337"/>
    <s v="Carol Lewis"/>
    <n v="40"/>
    <x v="1"/>
    <s v="Ryanport"/>
    <s v="North Carolina"/>
    <s v="USA"/>
    <x v="1"/>
    <x v="337"/>
  </r>
  <r>
    <x v="338"/>
    <s v="Jasmine Snyder"/>
    <n v="46"/>
    <x v="1"/>
    <s v="Hudsonfort"/>
    <s v="Connecticut"/>
    <s v="USA"/>
    <x v="2"/>
    <x v="338"/>
  </r>
  <r>
    <x v="339"/>
    <s v="Mrs. Susan Buckley"/>
    <n v="52"/>
    <x v="1"/>
    <s v="Stevensbury"/>
    <s v="Arizona"/>
    <s v="USA"/>
    <x v="0"/>
    <x v="339"/>
  </r>
  <r>
    <x v="340"/>
    <s v="Eric Davis"/>
    <n v="27"/>
    <x v="0"/>
    <s v="Johntown"/>
    <s v="Colorado"/>
    <s v="USA"/>
    <x v="1"/>
    <x v="340"/>
  </r>
  <r>
    <x v="341"/>
    <s v="Angela Williams"/>
    <n v="56"/>
    <x v="1"/>
    <s v="Lake Alyssaburgh"/>
    <s v="Illinois"/>
    <s v="USA"/>
    <x v="1"/>
    <x v="341"/>
  </r>
  <r>
    <x v="342"/>
    <s v="Michelle Cunningham"/>
    <n v="30"/>
    <x v="1"/>
    <s v="Amandaborough"/>
    <s v="Connecticut"/>
    <s v="USA"/>
    <x v="1"/>
    <x v="342"/>
  </r>
  <r>
    <x v="343"/>
    <s v="Ryan Moore"/>
    <n v="38"/>
    <x v="0"/>
    <s v="Cartershire"/>
    <s v="Virginia"/>
    <s v="USA"/>
    <x v="1"/>
    <x v="343"/>
  </r>
  <r>
    <x v="344"/>
    <s v="Evelyn Brown"/>
    <n v="39"/>
    <x v="0"/>
    <s v="West Victoriaborough"/>
    <s v="New Mexico"/>
    <s v="USA"/>
    <x v="3"/>
    <x v="344"/>
  </r>
  <r>
    <x v="345"/>
    <s v="Daniel Nelson"/>
    <n v="33"/>
    <x v="0"/>
    <s v="North Jonathan"/>
    <s v="Oklahoma"/>
    <s v="USA"/>
    <x v="1"/>
    <x v="345"/>
  </r>
  <r>
    <x v="346"/>
    <s v="John Jordan"/>
    <n v="58"/>
    <x v="1"/>
    <s v="Port Crystalberg"/>
    <s v="Tennessee"/>
    <s v="USA"/>
    <x v="0"/>
    <x v="346"/>
  </r>
  <r>
    <x v="347"/>
    <s v="Justin Mason DDS"/>
    <n v="39"/>
    <x v="1"/>
    <s v="Peggystad"/>
    <s v="Connecticut"/>
    <s v="USA"/>
    <x v="3"/>
    <x v="347"/>
  </r>
  <r>
    <x v="348"/>
    <s v="Sherry Cabrera"/>
    <n v="55"/>
    <x v="0"/>
    <s v="Shannonview"/>
    <s v="Pennsylvania"/>
    <s v="USA"/>
    <x v="2"/>
    <x v="348"/>
  </r>
  <r>
    <x v="349"/>
    <s v="Heather Valenzuela"/>
    <n v="31"/>
    <x v="0"/>
    <s v="New Angiefurt"/>
    <s v="Alaska"/>
    <s v="USA"/>
    <x v="1"/>
    <x v="349"/>
  </r>
  <r>
    <x v="350"/>
    <s v="Charles Miller"/>
    <n v="26"/>
    <x v="0"/>
    <s v="Lake Allisonborough"/>
    <s v="Iowa"/>
    <s v="USA"/>
    <x v="2"/>
    <x v="350"/>
  </r>
  <r>
    <x v="351"/>
    <s v="Jeffrey Mccarthy"/>
    <n v="25"/>
    <x v="1"/>
    <s v="North Samuel"/>
    <s v="Nebraska"/>
    <s v="USA"/>
    <x v="1"/>
    <x v="351"/>
  </r>
  <r>
    <x v="352"/>
    <s v="Michael Greene"/>
    <n v="52"/>
    <x v="1"/>
    <s v="Port Saramouth"/>
    <s v="Wisconsin"/>
    <s v="USA"/>
    <x v="2"/>
    <x v="352"/>
  </r>
  <r>
    <x v="353"/>
    <s v="   laura green"/>
    <n v="56"/>
    <x v="1"/>
    <s v="Westbury"/>
    <s v="Oregon"/>
    <s v="USA"/>
    <x v="0"/>
    <x v="353"/>
  </r>
  <r>
    <x v="354"/>
    <s v="Ryan Torres"/>
    <n v="38"/>
    <x v="0"/>
    <s v="Guerreroport"/>
    <s v="Connecticut"/>
    <s v="USA"/>
    <x v="2"/>
    <x v="354"/>
  </r>
  <r>
    <x v="355"/>
    <s v="Carlos Flores"/>
    <n v="20"/>
    <x v="0"/>
    <s v="North Johnfurt"/>
    <s v="Washington"/>
    <s v="USA"/>
    <x v="3"/>
    <x v="355"/>
  </r>
  <r>
    <x v="356"/>
    <s v="Steve Hunt"/>
    <n v="54"/>
    <x v="0"/>
    <s v="North Richard"/>
    <s v="Virginia"/>
    <s v="USA"/>
    <x v="1"/>
    <x v="356"/>
  </r>
  <r>
    <x v="357"/>
    <s v="Manuel Castillo"/>
    <n v="41"/>
    <x v="0"/>
    <s v="Nealview"/>
    <s v="Tennessee"/>
    <s v="USA"/>
    <x v="3"/>
    <x v="357"/>
  </r>
  <r>
    <x v="358"/>
    <s v="Ashley Anderson"/>
    <n v="60"/>
    <x v="1"/>
    <s v="West Johnmouth"/>
    <s v="Mississippi"/>
    <s v="USA"/>
    <x v="3"/>
    <x v="358"/>
  </r>
  <r>
    <x v="359"/>
    <s v="Melanie Lam"/>
    <n v="32"/>
    <x v="0"/>
    <s v="East Michaelton"/>
    <s v="Kansas"/>
    <s v="USA"/>
    <x v="2"/>
    <x v="359"/>
  </r>
  <r>
    <x v="360"/>
    <s v="Denise Tate"/>
    <n v="34"/>
    <x v="0"/>
    <s v="Andersonside"/>
    <s v="Arkansas"/>
    <s v="USA"/>
    <x v="0"/>
    <x v="360"/>
  </r>
  <r>
    <x v="361"/>
    <s v="Natalie Johnson"/>
    <n v="64"/>
    <x v="0"/>
    <s v="New Jessechester"/>
    <s v="Indiana"/>
    <s v="USA"/>
    <x v="0"/>
    <x v="361"/>
  </r>
  <r>
    <x v="362"/>
    <s v="Joshua Smith DVM"/>
    <n v="60"/>
    <x v="0"/>
    <s v="Melvinton"/>
    <s v="Alaska"/>
    <s v="USA"/>
    <x v="3"/>
    <x v="362"/>
  </r>
  <r>
    <x v="363"/>
    <s v="Elizabeth Smith"/>
    <n v="23"/>
    <x v="0"/>
    <s v="Murphytown"/>
    <s v="Ohio"/>
    <s v="USA"/>
    <x v="1"/>
    <x v="363"/>
  </r>
  <r>
    <x v="364"/>
    <s v="Chloe Aguilar"/>
    <n v="58"/>
    <x v="0"/>
    <s v="Lake Johnside"/>
    <s v="Arizona"/>
    <s v="USA"/>
    <x v="1"/>
    <x v="364"/>
  </r>
  <r>
    <x v="365"/>
    <s v="Brandon Mcbride"/>
    <n v="63"/>
    <x v="1"/>
    <s v="Kellyside"/>
    <s v="Alaska"/>
    <s v="USA"/>
    <x v="0"/>
    <x v="365"/>
  </r>
  <r>
    <x v="366"/>
    <s v="Mallory Allen"/>
    <n v="40"/>
    <x v="1"/>
    <s v="North Theresa"/>
    <s v="Alabama"/>
    <s v="USA"/>
    <x v="0"/>
    <x v="366"/>
  </r>
  <r>
    <x v="367"/>
    <s v="Melinda Johnson"/>
    <n v="51"/>
    <x v="0"/>
    <s v="Kaufmanfurt"/>
    <s v="Ohio"/>
    <s v="USA"/>
    <x v="1"/>
    <x v="367"/>
  </r>
  <r>
    <x v="368"/>
    <s v="Miranda King"/>
    <n v="34"/>
    <x v="1"/>
    <s v="West Mathew"/>
    <s v="New York"/>
    <s v="USA"/>
    <x v="0"/>
    <x v="368"/>
  </r>
  <r>
    <x v="369"/>
    <s v="Gregory Allen"/>
    <n v="20"/>
    <x v="1"/>
    <s v="West Bruce"/>
    <s v="Vermont"/>
    <s v="USA"/>
    <x v="0"/>
    <x v="369"/>
  </r>
  <r>
    <x v="370"/>
    <s v="James Holloway Jr."/>
    <n v="45"/>
    <x v="0"/>
    <s v="Millston"/>
    <s v="Indiana"/>
    <s v="USA"/>
    <x v="2"/>
    <x v="370"/>
  </r>
  <r>
    <x v="371"/>
    <s v="Michael Garner"/>
    <n v="21"/>
    <x v="1"/>
    <s v="Port Crystal"/>
    <s v="New Hampshire"/>
    <s v="USA"/>
    <x v="0"/>
    <x v="371"/>
  </r>
  <r>
    <x v="372"/>
    <s v="Jacqueline Anthony"/>
    <n v="28"/>
    <x v="0"/>
    <s v="Vincentside"/>
    <s v="Ohio"/>
    <s v="USA"/>
    <x v="1"/>
    <x v="372"/>
  </r>
  <r>
    <x v="373"/>
    <s v="James Orozco"/>
    <n v="37"/>
    <x v="1"/>
    <s v="Simpsonfort"/>
    <s v="Maine"/>
    <s v="USA"/>
    <x v="3"/>
    <x v="373"/>
  </r>
  <r>
    <x v="374"/>
    <s v="Emma Wilson"/>
    <n v="60"/>
    <x v="0"/>
    <s v="Andersonburgh"/>
    <s v="Hawaii"/>
    <s v="USA"/>
    <x v="0"/>
    <x v="374"/>
  </r>
  <r>
    <x v="375"/>
    <s v="Joshua Bell"/>
    <n v="26"/>
    <x v="0"/>
    <s v="Port Richardshire"/>
    <s v="Minnesota"/>
    <s v="USA"/>
    <x v="0"/>
    <x v="375"/>
  </r>
  <r>
    <x v="376"/>
    <s v="Michele Burke"/>
    <n v="30"/>
    <x v="0"/>
    <s v="Chambersberg"/>
    <s v="Connecticut"/>
    <s v="USA"/>
    <x v="1"/>
    <x v="376"/>
  </r>
  <r>
    <x v="377"/>
    <s v="Charles Conley"/>
    <n v="39"/>
    <x v="1"/>
    <s v="Nathanshire"/>
    <s v="Maine"/>
    <s v="USA"/>
    <x v="3"/>
    <x v="377"/>
  </r>
  <r>
    <x v="378"/>
    <s v="Frank Stewart"/>
    <n v="44"/>
    <x v="1"/>
    <s v="Fischerborough"/>
    <s v="Delaware"/>
    <s v="USA"/>
    <x v="1"/>
    <x v="378"/>
  </r>
  <r>
    <x v="379"/>
    <s v="Tanya Lopez"/>
    <n v="34"/>
    <x v="1"/>
    <s v="West Jeffreyburgh"/>
    <s v="Iowa"/>
    <s v="USA"/>
    <x v="3"/>
    <x v="379"/>
  </r>
  <r>
    <x v="380"/>
    <s v="Shelley Ponce"/>
    <n v="23"/>
    <x v="0"/>
    <s v="South Cassandrachester"/>
    <s v="Rhode Island"/>
    <s v="USA"/>
    <x v="3"/>
    <x v="380"/>
  </r>
  <r>
    <x v="381"/>
    <s v="Erika Padilla"/>
    <n v="50"/>
    <x v="0"/>
    <s v="Andrewsland"/>
    <s v="Alabama"/>
    <s v="USA"/>
    <x v="2"/>
    <x v="381"/>
  </r>
  <r>
    <x v="382"/>
    <s v="Martha Brown"/>
    <n v="20"/>
    <x v="1"/>
    <s v="Novakstad"/>
    <s v="California"/>
    <s v="USA"/>
    <x v="3"/>
    <x v="382"/>
  </r>
  <r>
    <x v="383"/>
    <s v="Kristine Higgins"/>
    <n v="27"/>
    <x v="1"/>
    <s v="Jennifertown"/>
    <s v="South Carolina"/>
    <s v="USA"/>
    <x v="2"/>
    <x v="383"/>
  </r>
  <r>
    <x v="384"/>
    <s v="Andrew Mason"/>
    <n v="52"/>
    <x v="1"/>
    <s v="North Michael"/>
    <s v="Iowa"/>
    <s v="USA"/>
    <x v="1"/>
    <x v="384"/>
  </r>
  <r>
    <x v="385"/>
    <s v="Tammy Brennan"/>
    <n v="60"/>
    <x v="0"/>
    <s v="Lake Brandontown"/>
    <s v="South Carolina"/>
    <s v="USA"/>
    <x v="3"/>
    <x v="385"/>
  </r>
  <r>
    <x v="386"/>
    <s v="Melanie Mitchell"/>
    <n v="18"/>
    <x v="1"/>
    <s v="West Laura"/>
    <s v="Maryland"/>
    <s v="USA"/>
    <x v="1"/>
    <x v="386"/>
  </r>
  <r>
    <x v="387"/>
    <s v="Timothy Gardner"/>
    <n v="28"/>
    <x v="1"/>
    <s v="New Dawn"/>
    <s v="New Jersey"/>
    <s v="USA"/>
    <x v="2"/>
    <x v="387"/>
  </r>
  <r>
    <x v="388"/>
    <s v="Timothy Valenzuela"/>
    <n v="53"/>
    <x v="0"/>
    <s v="Stevensshire"/>
    <s v="Missouri"/>
    <s v="USA"/>
    <x v="0"/>
    <x v="388"/>
  </r>
  <r>
    <x v="389"/>
    <s v="Cynthia Lopez"/>
    <n v="50"/>
    <x v="0"/>
    <s v="Joseland"/>
    <s v="Nebraska"/>
    <s v="USA"/>
    <x v="0"/>
    <x v="389"/>
  </r>
  <r>
    <x v="390"/>
    <s v="Daniel Bell"/>
    <n v="56"/>
    <x v="0"/>
    <s v="Deniseberg"/>
    <s v="Arkansas"/>
    <s v="USA"/>
    <x v="2"/>
    <x v="390"/>
  </r>
  <r>
    <x v="391"/>
    <s v="Heidi Tyler"/>
    <n v="40"/>
    <x v="1"/>
    <s v="Dawnstad"/>
    <s v="Oregon"/>
    <s v="USA"/>
    <x v="1"/>
    <x v="391"/>
  </r>
  <r>
    <x v="392"/>
    <s v="Jacqueline Payne"/>
    <n v="46"/>
    <x v="0"/>
    <s v="Gutierrezstad"/>
    <s v="Missouri"/>
    <s v="USA"/>
    <x v="3"/>
    <x v="392"/>
  </r>
  <r>
    <x v="393"/>
    <s v="Michael Mcneil"/>
    <n v="46"/>
    <x v="0"/>
    <s v="Stewartchester"/>
    <s v="Utah"/>
    <s v="USA"/>
    <x v="1"/>
    <x v="393"/>
  </r>
  <r>
    <x v="394"/>
    <s v="Alejandro Evans"/>
    <n v="43"/>
    <x v="1"/>
    <s v="Cannonberg"/>
    <s v="Connecticut"/>
    <s v="USA"/>
    <x v="1"/>
    <x v="394"/>
  </r>
  <r>
    <x v="395"/>
    <s v="Brandon Mcguire"/>
    <n v="50"/>
    <x v="0"/>
    <s v="Lake Morganland"/>
    <s v="Kansas"/>
    <s v="USA"/>
    <x v="3"/>
    <x v="395"/>
  </r>
  <r>
    <x v="396"/>
    <s v="Alexander Byrd"/>
    <n v="25"/>
    <x v="1"/>
    <s v="Parkerview"/>
    <s v="New York"/>
    <s v="USA"/>
    <x v="2"/>
    <x v="396"/>
  </r>
  <r>
    <x v="397"/>
    <s v="Charles Norman PhD"/>
    <n v="62"/>
    <x v="1"/>
    <s v="East Jennifer"/>
    <s v="Kansas"/>
    <s v="USA"/>
    <x v="0"/>
    <x v="397"/>
  </r>
  <r>
    <x v="398"/>
    <s v="Jennifer Johnson"/>
    <n v="54"/>
    <x v="0"/>
    <s v="Cheyenneborough"/>
    <s v="New Hampshire"/>
    <s v="USA"/>
    <x v="1"/>
    <x v="398"/>
  </r>
  <r>
    <x v="399"/>
    <s v="John Donaldson"/>
    <n v="27"/>
    <x v="0"/>
    <s v="New Edward"/>
    <s v="Maine"/>
    <s v="USA"/>
    <x v="1"/>
    <x v="399"/>
  </r>
  <r>
    <x v="400"/>
    <s v="Mark Rogers"/>
    <n v="57"/>
    <x v="1"/>
    <s v="Bookertown"/>
    <s v="Oklahoma"/>
    <s v="USA"/>
    <x v="0"/>
    <x v="400"/>
  </r>
  <r>
    <x v="401"/>
    <s v="Terry Moses"/>
    <n v="51"/>
    <x v="1"/>
    <s v="Leahmouth"/>
    <s v="Nevada"/>
    <s v="USA"/>
    <x v="0"/>
    <x v="401"/>
  </r>
  <r>
    <x v="402"/>
    <s v="Cassandra Perez"/>
    <n v="31"/>
    <x v="0"/>
    <s v="Brandonville"/>
    <s v="Mississippi"/>
    <s v="USA"/>
    <x v="1"/>
    <x v="402"/>
  </r>
  <r>
    <x v="403"/>
    <s v="Justin Ingram"/>
    <n v="34"/>
    <x v="0"/>
    <s v="Lake Lisaland"/>
    <s v="Louisiana"/>
    <s v="USA"/>
    <x v="1"/>
    <x v="403"/>
  </r>
  <r>
    <x v="404"/>
    <s v="David Ross"/>
    <n v="22"/>
    <x v="1"/>
    <s v="South Angela"/>
    <s v="Arkansas"/>
    <s v="USA"/>
    <x v="2"/>
    <x v="404"/>
  </r>
  <r>
    <x v="405"/>
    <s v="Eric Wolfe"/>
    <n v="18"/>
    <x v="1"/>
    <s v="Garciaview"/>
    <s v="Louisiana"/>
    <s v="USA"/>
    <x v="3"/>
    <x v="405"/>
  </r>
  <r>
    <x v="406"/>
    <s v="David Lozano"/>
    <n v="23"/>
    <x v="1"/>
    <s v="North Michaelfurt"/>
    <s v="Wisconsin"/>
    <s v="USA"/>
    <x v="3"/>
    <x v="406"/>
  </r>
  <r>
    <x v="407"/>
    <s v="Joseph Mendoza"/>
    <n v="33"/>
    <x v="0"/>
    <s v="Ashleymouth"/>
    <s v="Maryland"/>
    <s v="USA"/>
    <x v="3"/>
    <x v="407"/>
  </r>
  <r>
    <x v="408"/>
    <s v="Isabel Foster"/>
    <n v="36"/>
    <x v="0"/>
    <s v="Port Joshuaville"/>
    <s v="New Jersey"/>
    <s v="USA"/>
    <x v="3"/>
    <x v="408"/>
  </r>
  <r>
    <x v="409"/>
    <s v="Sarah Smith"/>
    <n v="55"/>
    <x v="0"/>
    <s v="Kathleenport"/>
    <s v="Wyoming"/>
    <s v="USA"/>
    <x v="3"/>
    <x v="409"/>
  </r>
  <r>
    <x v="410"/>
    <s v="Jackie Thompson"/>
    <n v="48"/>
    <x v="1"/>
    <s v="South Edwin"/>
    <s v="New Jersey"/>
    <s v="USA"/>
    <x v="1"/>
    <x v="410"/>
  </r>
  <r>
    <x v="411"/>
    <s v="Katrina Perez"/>
    <n v="63"/>
    <x v="0"/>
    <s v="West Rebecca"/>
    <s v="Ohio"/>
    <s v="USA"/>
    <x v="2"/>
    <x v="411"/>
  </r>
  <r>
    <x v="412"/>
    <s v="Shane Brown"/>
    <n v="23"/>
    <x v="1"/>
    <s v="East Andrea"/>
    <s v="Michigan"/>
    <s v="USA"/>
    <x v="3"/>
    <x v="412"/>
  </r>
  <r>
    <x v="413"/>
    <s v="Megan Ryan"/>
    <n v="59"/>
    <x v="1"/>
    <s v="Andrewsfurt"/>
    <s v="Idaho"/>
    <s v="USA"/>
    <x v="1"/>
    <x v="413"/>
  </r>
  <r>
    <x v="414"/>
    <s v="Melissa Valentine"/>
    <n v="35"/>
    <x v="1"/>
    <s v="East Patriciafort"/>
    <s v="Missouri"/>
    <s v="USA"/>
    <x v="3"/>
    <x v="414"/>
  </r>
  <r>
    <x v="415"/>
    <s v="Tyler Cook"/>
    <n v="26"/>
    <x v="1"/>
    <s v="Kramerview"/>
    <s v="Alaska"/>
    <s v="USA"/>
    <x v="2"/>
    <x v="415"/>
  </r>
  <r>
    <x v="416"/>
    <s v="Jennifer Myers"/>
    <n v="46"/>
    <x v="0"/>
    <s v="Marthaborough"/>
    <s v="Wisconsin"/>
    <s v="USA"/>
    <x v="0"/>
    <x v="416"/>
  </r>
  <r>
    <x v="417"/>
    <s v="Karen King"/>
    <n v="64"/>
    <x v="1"/>
    <s v="Kimburgh"/>
    <s v="North Carolina"/>
    <s v="USA"/>
    <x v="1"/>
    <x v="417"/>
  </r>
  <r>
    <x v="418"/>
    <s v="Luke Parks"/>
    <n v="60"/>
    <x v="1"/>
    <s v="West Mario"/>
    <s v="New Hampshire"/>
    <s v="USA"/>
    <x v="2"/>
    <x v="418"/>
  </r>
  <r>
    <x v="419"/>
    <s v="Monica Miller"/>
    <n v="33"/>
    <x v="0"/>
    <s v="Lake David"/>
    <s v="Mississippi"/>
    <s v="USA"/>
    <x v="3"/>
    <x v="419"/>
  </r>
  <r>
    <x v="420"/>
    <s v="Dr. Tamara White MD"/>
    <n v="60"/>
    <x v="0"/>
    <s v="New Benjamin"/>
    <s v="North Carolina"/>
    <s v="USA"/>
    <x v="1"/>
    <x v="420"/>
  </r>
  <r>
    <x v="421"/>
    <s v="Holly Robinson"/>
    <n v="45"/>
    <x v="1"/>
    <s v="East Amy"/>
    <s v="Washington"/>
    <s v="USA"/>
    <x v="0"/>
    <x v="421"/>
  </r>
  <r>
    <x v="422"/>
    <s v="Brittany Edwards DDS"/>
    <n v="42"/>
    <x v="1"/>
    <s v="Aliciahaven"/>
    <s v="Kansas"/>
    <s v="USA"/>
    <x v="0"/>
    <x v="422"/>
  </r>
  <r>
    <x v="423"/>
    <s v="Rebecca Baker"/>
    <n v="35"/>
    <x v="0"/>
    <s v="New Katherine"/>
    <s v="Kansas"/>
    <s v="USA"/>
    <x v="2"/>
    <x v="423"/>
  </r>
  <r>
    <x v="424"/>
    <s v="Edwin Barnes"/>
    <n v="53"/>
    <x v="0"/>
    <s v="Lake Alexandra"/>
    <s v="North Carolina"/>
    <s v="USA"/>
    <x v="1"/>
    <x v="424"/>
  </r>
  <r>
    <x v="425"/>
    <s v="Bryce Hawkins"/>
    <n v="40"/>
    <x v="0"/>
    <s v="Lake Monique"/>
    <s v="Utah"/>
    <s v="USA"/>
    <x v="1"/>
    <x v="425"/>
  </r>
  <r>
    <x v="426"/>
    <s v="Jeanette Nichols"/>
    <n v="28"/>
    <x v="0"/>
    <s v="Aguilarland"/>
    <s v="North Carolina"/>
    <s v="USA"/>
    <x v="0"/>
    <x v="426"/>
  </r>
  <r>
    <x v="427"/>
    <s v="Jose Stewart"/>
    <n v="18"/>
    <x v="1"/>
    <s v="South Robert"/>
    <s v="Maine"/>
    <s v="USA"/>
    <x v="3"/>
    <x v="427"/>
  </r>
  <r>
    <x v="428"/>
    <s v="Samuel Mullins"/>
    <n v="27"/>
    <x v="1"/>
    <s v="Hartmouth"/>
    <s v="Louisiana"/>
    <s v="USA"/>
    <x v="1"/>
    <x v="428"/>
  </r>
  <r>
    <x v="429"/>
    <s v="Sean Vang"/>
    <n v="43"/>
    <x v="0"/>
    <s v="Davidchester"/>
    <s v="Idaho"/>
    <s v="USA"/>
    <x v="0"/>
    <x v="429"/>
  </r>
  <r>
    <x v="430"/>
    <s v="Kimberly Roberts"/>
    <n v="36"/>
    <x v="1"/>
    <s v="Josephchester"/>
    <s v="New Jersey"/>
    <s v="USA"/>
    <x v="3"/>
    <x v="430"/>
  </r>
  <r>
    <x v="431"/>
    <s v="John Smith"/>
    <n v="27"/>
    <x v="0"/>
    <s v="South Andrewport"/>
    <s v="California"/>
    <s v="USA"/>
    <x v="0"/>
    <x v="431"/>
  </r>
  <r>
    <x v="432"/>
    <s v="Summer Weiss"/>
    <n v="37"/>
    <x v="0"/>
    <s v="Phyllisport"/>
    <s v="New Jersey"/>
    <s v="USA"/>
    <x v="1"/>
    <x v="432"/>
  </r>
  <r>
    <x v="433"/>
    <s v="Thomas Moore"/>
    <n v="51"/>
    <x v="1"/>
    <s v="Williamsberg"/>
    <s v="New York"/>
    <s v="USA"/>
    <x v="2"/>
    <x v="433"/>
  </r>
  <r>
    <x v="434"/>
    <s v="Monique Castro"/>
    <n v="48"/>
    <x v="1"/>
    <s v="New Sarah"/>
    <s v="Indiana"/>
    <s v="USA"/>
    <x v="3"/>
    <x v="434"/>
  </r>
  <r>
    <x v="435"/>
    <s v="Lindsay Beasley"/>
    <n v="37"/>
    <x v="1"/>
    <s v="Wesleyhaven"/>
    <s v="Idaho"/>
    <s v="USA"/>
    <x v="2"/>
    <x v="435"/>
  </r>
  <r>
    <x v="436"/>
    <s v="Sharon Simpson"/>
    <n v="61"/>
    <x v="0"/>
    <s v="South Michellebury"/>
    <s v="South Dakota"/>
    <s v="USA"/>
    <x v="3"/>
    <x v="436"/>
  </r>
  <r>
    <x v="437"/>
    <s v="Melinda Rivera"/>
    <n v="47"/>
    <x v="1"/>
    <s v="East Davidmouth"/>
    <s v="New Hampshire"/>
    <s v="USA"/>
    <x v="0"/>
    <x v="437"/>
  </r>
  <r>
    <x v="438"/>
    <s v="Monica Flynn"/>
    <n v="59"/>
    <x v="1"/>
    <s v="Amberburgh"/>
    <s v="Tennessee"/>
    <s v="USA"/>
    <x v="0"/>
    <x v="438"/>
  </r>
  <r>
    <x v="439"/>
    <s v="John Compton"/>
    <n v="53"/>
    <x v="0"/>
    <s v="North Daniel"/>
    <s v="Michigan"/>
    <s v="USA"/>
    <x v="2"/>
    <x v="439"/>
  </r>
  <r>
    <x v="440"/>
    <s v="Tammy Trevino"/>
    <n v="60"/>
    <x v="0"/>
    <s v="Justinberg"/>
    <s v="North Dakota"/>
    <s v="USA"/>
    <x v="2"/>
    <x v="440"/>
  </r>
  <r>
    <x v="441"/>
    <s v="Dalton Walters"/>
    <n v="31"/>
    <x v="0"/>
    <s v="Jonesstad"/>
    <s v="Wisconsin"/>
    <s v="USA"/>
    <x v="2"/>
    <x v="441"/>
  </r>
  <r>
    <x v="442"/>
    <s v="Kelli Smith"/>
    <n v="42"/>
    <x v="1"/>
    <s v="North Maryfort"/>
    <s v="Oregon"/>
    <s v="USA"/>
    <x v="1"/>
    <x v="442"/>
  </r>
  <r>
    <x v="443"/>
    <s v="Adam Castro"/>
    <n v="51"/>
    <x v="0"/>
    <s v="New Donnabury"/>
    <s v="Texas"/>
    <s v="USA"/>
    <x v="2"/>
    <x v="443"/>
  </r>
  <r>
    <x v="444"/>
    <s v="Cheryl Carr"/>
    <n v="19"/>
    <x v="0"/>
    <s v="Jessicaland"/>
    <s v="Wyoming"/>
    <s v="USA"/>
    <x v="3"/>
    <x v="444"/>
  </r>
  <r>
    <x v="445"/>
    <s v="Gene Lee"/>
    <n v="41"/>
    <x v="1"/>
    <s v="Mcfarlandmouth"/>
    <s v="Virginia"/>
    <s v="USA"/>
    <x v="0"/>
    <x v="445"/>
  </r>
  <r>
    <x v="446"/>
    <s v="Shannon Turner"/>
    <n v="35"/>
    <x v="0"/>
    <s v="West Jorge"/>
    <s v="Oklahoma"/>
    <s v="USA"/>
    <x v="2"/>
    <x v="446"/>
  </r>
  <r>
    <x v="447"/>
    <s v="Monica Wright"/>
    <n v="45"/>
    <x v="0"/>
    <s v="Paulside"/>
    <s v="North Carolina"/>
    <s v="USA"/>
    <x v="3"/>
    <x v="447"/>
  </r>
  <r>
    <x v="448"/>
    <s v="Eric Holmes"/>
    <n v="64"/>
    <x v="1"/>
    <s v="Smithville"/>
    <s v="Wyoming"/>
    <s v="USA"/>
    <x v="1"/>
    <x v="448"/>
  </r>
  <r>
    <x v="449"/>
    <s v="William Cortez"/>
    <n v="29"/>
    <x v="0"/>
    <s v="Port Hannahport"/>
    <s v="Ohio"/>
    <s v="USA"/>
    <x v="1"/>
    <x v="449"/>
  </r>
  <r>
    <x v="450"/>
    <s v="Shane Mills"/>
    <n v="59"/>
    <x v="0"/>
    <s v="Lake Meganstad"/>
    <s v="Nebraska"/>
    <s v="USA"/>
    <x v="1"/>
    <x v="450"/>
  </r>
  <r>
    <x v="451"/>
    <s v="Ashley Roberts"/>
    <n v="46"/>
    <x v="0"/>
    <s v="Josephmouth"/>
    <s v="New Mexico"/>
    <s v="USA"/>
    <x v="3"/>
    <x v="451"/>
  </r>
  <r>
    <x v="452"/>
    <s v="Jeffery Wolf"/>
    <n v="60"/>
    <x v="1"/>
    <s v="New Laura"/>
    <s v="Mississippi"/>
    <s v="USA"/>
    <x v="1"/>
    <x v="452"/>
  </r>
  <r>
    <x v="453"/>
    <s v="April Phillips"/>
    <n v="62"/>
    <x v="1"/>
    <s v="Lake Carolyn"/>
    <s v="Hawaii"/>
    <s v="USA"/>
    <x v="0"/>
    <x v="453"/>
  </r>
  <r>
    <x v="454"/>
    <s v="John Berg"/>
    <n v="60"/>
    <x v="0"/>
    <s v="Johnsonville"/>
    <s v="Oklahoma"/>
    <s v="USA"/>
    <x v="3"/>
    <x v="454"/>
  </r>
  <r>
    <x v="455"/>
    <s v="Tyler Weber"/>
    <n v="54"/>
    <x v="0"/>
    <s v="East Yvette"/>
    <s v="Illinois"/>
    <s v="USA"/>
    <x v="3"/>
    <x v="455"/>
  </r>
  <r>
    <x v="456"/>
    <s v="Julie Powell"/>
    <n v="59"/>
    <x v="1"/>
    <s v="South Barbara"/>
    <s v="Arkansas"/>
    <s v="USA"/>
    <x v="3"/>
    <x v="456"/>
  </r>
  <r>
    <x v="457"/>
    <s v="Christina Robertson"/>
    <n v="59"/>
    <x v="0"/>
    <s v="Hubbardborough"/>
    <s v="Kentucky"/>
    <s v="USA"/>
    <x v="0"/>
    <x v="457"/>
  </r>
  <r>
    <x v="458"/>
    <s v="Kelly Garrett"/>
    <n v="62"/>
    <x v="1"/>
    <s v="Port Taylorberg"/>
    <s v="Pennsylvania"/>
    <s v="USA"/>
    <x v="2"/>
    <x v="458"/>
  </r>
  <r>
    <x v="459"/>
    <s v="John Perez"/>
    <n v="29"/>
    <x v="1"/>
    <s v="Brandontown"/>
    <s v="South Carolina"/>
    <s v="USA"/>
    <x v="3"/>
    <x v="208"/>
  </r>
  <r>
    <x v="460"/>
    <s v="Justin Johnson"/>
    <n v="35"/>
    <x v="0"/>
    <s v="Hughesview"/>
    <s v="Iowa"/>
    <s v="USA"/>
    <x v="3"/>
    <x v="459"/>
  </r>
  <r>
    <x v="461"/>
    <s v="Paul Cox"/>
    <n v="60"/>
    <x v="1"/>
    <s v="East Julie"/>
    <s v="Kansas"/>
    <s v="USA"/>
    <x v="2"/>
    <x v="460"/>
  </r>
  <r>
    <x v="462"/>
    <s v="Beth Martin"/>
    <n v="34"/>
    <x v="1"/>
    <s v="Burkefurt"/>
    <s v="West Virginia"/>
    <s v="USA"/>
    <x v="2"/>
    <x v="461"/>
  </r>
  <r>
    <x v="463"/>
    <s v="Samantha Lee"/>
    <n v="36"/>
    <x v="1"/>
    <s v="Port Anthony"/>
    <s v="Connecticut"/>
    <s v="USA"/>
    <x v="1"/>
    <x v="462"/>
  </r>
  <r>
    <x v="464"/>
    <s v="David Pierce"/>
    <n v="45"/>
    <x v="1"/>
    <s v="Grayland"/>
    <s v="Washington"/>
    <s v="USA"/>
    <x v="0"/>
    <x v="463"/>
  </r>
  <r>
    <x v="465"/>
    <s v="Ronald Ross"/>
    <n v="28"/>
    <x v="1"/>
    <s v="Hartmanside"/>
    <s v="North Carolina"/>
    <s v="USA"/>
    <x v="2"/>
    <x v="464"/>
  </r>
  <r>
    <x v="466"/>
    <s v="Cynthia Parrish"/>
    <n v="18"/>
    <x v="0"/>
    <s v="Espinozaberg"/>
    <s v="Minnesota"/>
    <s v="USA"/>
    <x v="2"/>
    <x v="465"/>
  </r>
  <r>
    <x v="467"/>
    <s v="Michael Foley"/>
    <n v="63"/>
    <x v="1"/>
    <s v="Oneillfurt"/>
    <s v="Vermont"/>
    <s v="USA"/>
    <x v="3"/>
    <x v="466"/>
  </r>
  <r>
    <x v="468"/>
    <s v="Gregory Curtis"/>
    <n v="45"/>
    <x v="0"/>
    <s v="Bergermouth"/>
    <s v="Vermont"/>
    <s v="USA"/>
    <x v="1"/>
    <x v="467"/>
  </r>
  <r>
    <x v="469"/>
    <s v="James Foster"/>
    <n v="19"/>
    <x v="0"/>
    <s v="East Audrey"/>
    <s v="Utah"/>
    <s v="USA"/>
    <x v="3"/>
    <x v="468"/>
  </r>
  <r>
    <x v="470"/>
    <s v="Manuel Fisher"/>
    <n v="21"/>
    <x v="1"/>
    <s v="Kanebury"/>
    <s v="New Hampshire"/>
    <s v="USA"/>
    <x v="3"/>
    <x v="469"/>
  </r>
  <r>
    <x v="471"/>
    <s v="Debra Mccullough"/>
    <n v="42"/>
    <x v="0"/>
    <s v="Mcdanielfurt"/>
    <s v="Montana"/>
    <s v="USA"/>
    <x v="0"/>
    <x v="470"/>
  </r>
  <r>
    <x v="472"/>
    <s v="Philip Mendoza"/>
    <n v="42"/>
    <x v="0"/>
    <s v="Tylermouth"/>
    <s v="Massachusetts"/>
    <s v="USA"/>
    <x v="2"/>
    <x v="471"/>
  </r>
  <r>
    <x v="473"/>
    <s v="Laura Mathews"/>
    <n v="53"/>
    <x v="0"/>
    <s v="Chambersfurt"/>
    <s v="Wisconsin"/>
    <s v="USA"/>
    <x v="1"/>
    <x v="472"/>
  </r>
  <r>
    <x v="474"/>
    <s v="Joshua Howard"/>
    <n v="32"/>
    <x v="1"/>
    <s v="East Christopherhaven"/>
    <s v="South Dakota"/>
    <s v="USA"/>
    <x v="0"/>
    <x v="473"/>
  </r>
  <r>
    <x v="475"/>
    <s v="Barbara Berry"/>
    <n v="18"/>
    <x v="1"/>
    <s v="Lake Michael"/>
    <s v="Vermont"/>
    <s v="USA"/>
    <x v="0"/>
    <x v="474"/>
  </r>
  <r>
    <x v="476"/>
    <s v="Elizabeth Foster"/>
    <n v="33"/>
    <x v="1"/>
    <s v="Anthonymouth"/>
    <s v="Oklahoma"/>
    <s v="USA"/>
    <x v="3"/>
    <x v="475"/>
  </r>
  <r>
    <x v="477"/>
    <s v="Andrea Harris"/>
    <n v="41"/>
    <x v="1"/>
    <s v="West Kelseyberg"/>
    <s v="Kansas"/>
    <s v="USA"/>
    <x v="0"/>
    <x v="476"/>
  </r>
  <r>
    <x v="478"/>
    <s v="Earl Smith DDS"/>
    <n v="59"/>
    <x v="0"/>
    <s v="West Sarah"/>
    <s v="South Dakota"/>
    <s v="USA"/>
    <x v="3"/>
    <x v="477"/>
  </r>
  <r>
    <x v="479"/>
    <s v="Dylan Gutierrez"/>
    <n v="40"/>
    <x v="0"/>
    <s v="New Jamesview"/>
    <s v="West Virginia"/>
    <s v="USA"/>
    <x v="1"/>
    <x v="478"/>
  </r>
  <r>
    <x v="480"/>
    <s v="Jordan Medina"/>
    <n v="33"/>
    <x v="0"/>
    <s v="Robinchester"/>
    <s v="Florida"/>
    <s v="USA"/>
    <x v="1"/>
    <x v="479"/>
  </r>
  <r>
    <x v="481"/>
    <s v="Bryan Tran"/>
    <n v="21"/>
    <x v="0"/>
    <s v="Kelseybury"/>
    <s v="Georgia"/>
    <s v="USA"/>
    <x v="3"/>
    <x v="480"/>
  </r>
  <r>
    <x v="482"/>
    <s v="Sheri Joyce"/>
    <n v="26"/>
    <x v="0"/>
    <s v="West Tylerfort"/>
    <s v="Kentucky"/>
    <s v="USA"/>
    <x v="0"/>
    <x v="481"/>
  </r>
  <r>
    <x v="483"/>
    <s v="Sarah Smith"/>
    <n v="48"/>
    <x v="0"/>
    <s v="East Rodney"/>
    <s v="Nevada"/>
    <s v="USA"/>
    <x v="3"/>
    <x v="409"/>
  </r>
  <r>
    <x v="484"/>
    <s v="Jessica Castro"/>
    <n v="32"/>
    <x v="0"/>
    <s v="West Markton"/>
    <s v="Massachusetts"/>
    <s v="USA"/>
    <x v="1"/>
    <x v="482"/>
  </r>
  <r>
    <x v="485"/>
    <s v="Sara Ingram"/>
    <n v="46"/>
    <x v="1"/>
    <s v="East Dillonview"/>
    <s v="Virginia"/>
    <s v="USA"/>
    <x v="1"/>
    <x v="483"/>
  </r>
  <r>
    <x v="486"/>
    <s v="Eric Lee"/>
    <n v="22"/>
    <x v="1"/>
    <s v="Lake April"/>
    <s v="Vermont"/>
    <s v="USA"/>
    <x v="1"/>
    <x v="484"/>
  </r>
  <r>
    <x v="487"/>
    <s v="Amanda Medina"/>
    <n v="36"/>
    <x v="1"/>
    <s v="East Patriciastad"/>
    <s v="Utah"/>
    <s v="USA"/>
    <x v="0"/>
    <x v="485"/>
  </r>
  <r>
    <x v="488"/>
    <s v="Zachary Andrade"/>
    <n v="23"/>
    <x v="1"/>
    <s v="South Davidport"/>
    <s v="California"/>
    <s v="USA"/>
    <x v="0"/>
    <x v="486"/>
  </r>
  <r>
    <x v="489"/>
    <s v="Melinda Thomas"/>
    <n v="42"/>
    <x v="1"/>
    <s v="Lake Elizabethside"/>
    <s v="Indiana"/>
    <s v="USA"/>
    <x v="2"/>
    <x v="487"/>
  </r>
  <r>
    <x v="490"/>
    <s v="Scott Harris"/>
    <n v="23"/>
    <x v="0"/>
    <s v="North Nataliemouth"/>
    <s v="Maryland"/>
    <s v="USA"/>
    <x v="0"/>
    <x v="488"/>
  </r>
  <r>
    <x v="491"/>
    <s v="Kaitlin Brown"/>
    <n v="52"/>
    <x v="1"/>
    <s v="Kellyberg"/>
    <s v="South Dakota"/>
    <s v="USA"/>
    <x v="3"/>
    <x v="489"/>
  </r>
  <r>
    <x v="492"/>
    <s v="Darrell Miller"/>
    <n v="59"/>
    <x v="1"/>
    <s v="Port Carol"/>
    <s v="Florida"/>
    <s v="USA"/>
    <x v="0"/>
    <x v="490"/>
  </r>
  <r>
    <x v="493"/>
    <s v="Amanda Powell"/>
    <n v="28"/>
    <x v="0"/>
    <s v="South William"/>
    <s v="Alabama"/>
    <s v="USA"/>
    <x v="2"/>
    <x v="491"/>
  </r>
  <r>
    <x v="494"/>
    <s v="Justin Lopez"/>
    <n v="21"/>
    <x v="0"/>
    <s v="Port Cheryl"/>
    <s v="Texas"/>
    <s v="USA"/>
    <x v="3"/>
    <x v="492"/>
  </r>
  <r>
    <x v="495"/>
    <s v="James Berger"/>
    <n v="23"/>
    <x v="1"/>
    <s v="Bryanmouth"/>
    <s v="Delaware"/>
    <s v="USA"/>
    <x v="1"/>
    <x v="493"/>
  </r>
  <r>
    <x v="496"/>
    <s v="Christopher Ford"/>
    <n v="56"/>
    <x v="0"/>
    <s v="North Seanfurt"/>
    <s v="Ohio"/>
    <s v="USA"/>
    <x v="1"/>
    <x v="494"/>
  </r>
  <r>
    <x v="497"/>
    <s v="Sarah Marsh"/>
    <n v="47"/>
    <x v="1"/>
    <s v="Port William"/>
    <s v="New York"/>
    <s v="USA"/>
    <x v="3"/>
    <x v="495"/>
  </r>
  <r>
    <x v="498"/>
    <s v="Traci Gonzalez"/>
    <n v="35"/>
    <x v="0"/>
    <s v="Snyderfurt"/>
    <s v="New Mexico"/>
    <s v="USA"/>
    <x v="2"/>
    <x v="4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00">
  <r>
    <s v="SALE0"/>
    <d v="2024-07-07T00:00:00"/>
    <s v="CUST1409"/>
    <s v="PROD97"/>
    <s v="STORE3"/>
    <n v="1"/>
    <n v="218.04"/>
    <n v="0.09"/>
    <s v="Credit Card"/>
    <n v="198.41640000000001"/>
    <n v="689782.6076318844"/>
    <n v="669"/>
    <x v="0"/>
    <n v="0.15297104933183395"/>
    <n v="2.49270015848102"/>
    <n v="491.38943513557399"/>
    <n v="104.3866"/>
    <x v="0"/>
  </r>
  <r>
    <s v="SALE1"/>
    <d v="2023-12-25T00:00:00"/>
    <s v="CUST1467"/>
    <s v="PROD74"/>
    <s v="STORE17"/>
    <n v="3"/>
    <n v="104.47"/>
    <n v="0.27"/>
    <s v="PayPal"/>
    <n v="228.7893"/>
    <n v="689584.19123188441"/>
    <n v="668"/>
    <x v="1"/>
    <n v="0.15300259795374371"/>
    <n v="2.4934476297671897"/>
    <n v="491.52631517319827"/>
    <n v="84.132324999999994"/>
    <x v="1"/>
  </r>
  <r>
    <s v="SALE2"/>
    <d v="2024-06-03T00:00:00"/>
    <s v="CUST1056"/>
    <s v="PROD49"/>
    <s v="STORE8"/>
    <n v="4"/>
    <n v="914.05"/>
    <n v="0.25"/>
    <s v="Credit Card"/>
    <n v="2742.15"/>
    <n v="689584.19123188441"/>
    <n v="668"/>
    <x v="2"/>
    <n v="0.15294395263943478"/>
    <n v="2.4931938460145679"/>
    <n v="491.72023116276404"/>
    <n v="915.11249999999995"/>
    <x v="2"/>
  </r>
  <r>
    <s v="SALE3"/>
    <d v="2023-11-29T00:00:00"/>
    <s v="CUST1346"/>
    <s v="PROD76"/>
    <s v="STORE8"/>
    <n v="1"/>
    <n v="921.51"/>
    <n v="0.16"/>
    <s v="COD"/>
    <n v="774.0684"/>
    <n v="686842.04123188427"/>
    <n v="667"/>
    <x v="3"/>
    <n v="0.15289527859361704"/>
    <n v="2.4924385547093122"/>
    <n v="491.50853704304609"/>
    <n v="424.18459999999999"/>
    <x v="3"/>
  </r>
  <r>
    <s v="SALE4"/>
    <d v="2024-01-06T00:00:00"/>
    <s v="CUST1493"/>
    <s v="PROD59"/>
    <s v="STORE5"/>
    <n v="3"/>
    <n v="745.3"/>
    <n v="0.18"/>
    <s v="Credit Card"/>
    <n v="1833.4380000000001"/>
    <n v="686842.04123188427"/>
    <n v="667"/>
    <x v="4"/>
    <n v="0.15289171375598218"/>
    <n v="2.4931870193806809"/>
    <n v="491.29288936854408"/>
    <n v="645.47950000000003"/>
    <x v="4"/>
  </r>
  <r>
    <s v="SALE5"/>
    <d v="2024-07-26T00:00:00"/>
    <s v="CUST1116"/>
    <s v="PROD15"/>
    <s v="STORE7"/>
    <n v="3"/>
    <n v="147.01"/>
    <n v="0.19"/>
    <s v="COD"/>
    <n v="357.23430000000002"/>
    <n v="685008.60323188431"/>
    <n v="666"/>
    <x v="5"/>
    <n v="0.15287810517855041"/>
    <n v="2.4929327228525229"/>
    <n v="491.16543973952685"/>
    <n v="126.858575"/>
    <x v="0"/>
  </r>
  <r>
    <s v="SALE6"/>
    <d v="2025-07-12T00:00:00"/>
    <s v="CUST1016"/>
    <s v="PROD56"/>
    <s v="STORE4"/>
    <n v="2"/>
    <n v="785.31"/>
    <n v="0.15"/>
    <s v="PayPal"/>
    <n v="1335.027"/>
    <n v="685008.60323188431"/>
    <n v="666"/>
    <x v="6"/>
    <n v="0.15285946032931813"/>
    <n v="2.4926781710065651"/>
    <n v="491.33820853457678"/>
    <n v="530.62175000000002"/>
    <x v="0"/>
  </r>
  <r>
    <s v="SALE7"/>
    <d v="2023-11-18T00:00:00"/>
    <s v="CUST1152"/>
    <s v="PROD70"/>
    <s v="STORE8"/>
    <n v="4"/>
    <n v="342.39"/>
    <n v="0.23"/>
    <s v="PayPal"/>
    <n v="1054.5612000000001"/>
    <n v="685008.60323188431"/>
    <n v="666"/>
    <x v="7"/>
    <n v="0.15286089724405647"/>
    <n v="2.492925623628869"/>
    <n v="491.19055821239425"/>
    <n v="350.2953"/>
    <x v="3"/>
  </r>
  <r>
    <s v="SALE8"/>
    <d v="2025-05-04T00:00:00"/>
    <s v="CUST1187"/>
    <s v="PROD99"/>
    <s v="STORE5"/>
    <n v="2"/>
    <n v="448.25"/>
    <n v="7.0000000000000007E-2"/>
    <s v="PayPal"/>
    <n v="1250.6175000000001"/>
    <n v="685008.60323188431"/>
    <n v="666"/>
    <x v="8"/>
    <n v="0.1528221143869645"/>
    <n v="2.492168299821647"/>
    <n v="491.26533236224969"/>
    <n v="425.234375"/>
    <x v="5"/>
  </r>
  <r>
    <s v="SALE9"/>
    <d v="2025-07-31T00:00:00"/>
    <s v="CUST1464"/>
    <s v="PROD33"/>
    <s v="STORE0"/>
    <n v="2"/>
    <n v="873.17"/>
    <n v="0.23"/>
    <s v="PayPal"/>
    <n v="1344.6818000000001"/>
    <n v="685008.60323188431"/>
    <n v="666"/>
    <x v="9"/>
    <n v="0.15286377541029797"/>
    <n v="2.4924157449195969"/>
    <n v="491.28695897479986"/>
    <n v="555.02044999999998"/>
    <x v="0"/>
  </r>
  <r>
    <s v="SALE10"/>
    <d v="2024-02-13T00:00:00"/>
    <s v="CUST1065"/>
    <s v="PROD24"/>
    <s v="STORE14"/>
    <n v="1"/>
    <n v="278.63"/>
    <n v="7.0000000000000007E-2"/>
    <s v="Credit Card"/>
    <n v="259.1259"/>
    <n v="685008.60323188431"/>
    <n v="666"/>
    <x v="10"/>
    <n v="0.15282495496510942"/>
    <n v="2.4926634389562765"/>
    <n v="491.09486488977717"/>
    <n v="134.70647500000001"/>
    <x v="6"/>
  </r>
  <r>
    <s v="SALE11"/>
    <d v="2025-05-24T00:00:00"/>
    <s v="CUST1320"/>
    <s v="PROD39"/>
    <s v="STORE1"/>
    <n v="4"/>
    <n v="286.92"/>
    <n v="0.17"/>
    <s v="Credit Card"/>
    <n v="952.57439999999997"/>
    <n v="684749.47733188432"/>
    <n v="665"/>
    <x v="11"/>
    <n v="0.1528666593734504"/>
    <n v="2.4934146535707487"/>
    <n v="491.20179235071816"/>
    <n v="310.91610000000003"/>
    <x v="5"/>
  </r>
  <r>
    <s v="SALE12"/>
    <d v="2024-08-24T00:00:00"/>
    <s v="CUST1237"/>
    <s v="PROD88"/>
    <s v="STORE4"/>
    <n v="4"/>
    <n v="644.58000000000004"/>
    <n v="0.01"/>
    <s v="Credit Card"/>
    <n v="2552.5367999999999"/>
    <n v="683796.9029318844"/>
    <n v="664"/>
    <x v="12"/>
    <n v="0.15285802796759315"/>
    <n v="2.4926560506772799"/>
    <n v="491.30465327335196"/>
    <n v="800.2817"/>
    <x v="7"/>
  </r>
  <r>
    <s v="SALE13"/>
    <d v="2025-08-06T00:00:00"/>
    <s v="CUST1443"/>
    <s v="PROD34"/>
    <s v="STORE16"/>
    <n v="2"/>
    <n v="316.89999999999998"/>
    <n v="0.3"/>
    <s v="PayPal"/>
    <n v="443.66"/>
    <n v="681244.3661318844"/>
    <n v="663"/>
    <x v="13"/>
    <n v="0.1529300330220123"/>
    <n v="2.491896683448402"/>
    <n v="491.22743647399341"/>
    <n v="190.715"/>
    <x v="7"/>
  </r>
  <r>
    <s v="SALE14"/>
    <d v="2025-06-21T00:00:00"/>
    <s v="CUST1348"/>
    <s v="PROD24"/>
    <s v="STORE15"/>
    <n v="4"/>
    <n v="403.47"/>
    <n v="0.28999999999999998"/>
    <s v="PayPal"/>
    <n v="1145.8548000000001"/>
    <n v="681244.3661318844"/>
    <n v="663"/>
    <x v="14"/>
    <n v="0.1528558676327143"/>
    <n v="2.492144615244495"/>
    <n v="491.31530312544203"/>
    <n v="388.40370000000001"/>
    <x v="2"/>
  </r>
  <r>
    <s v="SALE15"/>
    <d v="2024-12-10T00:00:00"/>
    <s v="CUST1435"/>
    <s v="PROD36"/>
    <s v="STORE9"/>
    <n v="2"/>
    <n v="871.34"/>
    <n v="0.04"/>
    <s v="COD"/>
    <n v="2509.4591999999998"/>
    <n v="681244.3661318844"/>
    <n v="663"/>
    <x v="15"/>
    <n v="0.15278667281315461"/>
    <n v="2.4913842242284812"/>
    <n v="491.35960232015981"/>
    <n v="845.70979999999997"/>
    <x v="1"/>
  </r>
  <r>
    <s v="SALE16"/>
    <d v="2025-09-13T00:00:00"/>
    <s v="CUST1276"/>
    <s v="PROD65"/>
    <s v="STORE19"/>
    <n v="2"/>
    <n v="451.98"/>
    <n v="0.25"/>
    <s v="Credit Card"/>
    <n v="677.97"/>
    <n v="681244.3661318844"/>
    <n v="663"/>
    <x v="16"/>
    <n v="0.15284360702456962"/>
    <n v="2.4916321476514014"/>
    <n v="491.16788668056358"/>
    <n v="283.05"/>
    <x v="8"/>
  </r>
  <r>
    <s v="SALE17"/>
    <d v="2024-12-11T00:00:00"/>
    <s v="CUST1079"/>
    <s v="PROD27"/>
    <s v="STORE4"/>
    <n v="2"/>
    <n v="502.69"/>
    <n v="0.23"/>
    <s v="Credit Card"/>
    <n v="774.14260000000002"/>
    <n v="680566.39613188442"/>
    <n v="662"/>
    <x v="17"/>
    <n v="0.15279453813922853"/>
    <n v="2.4918803213756071"/>
    <n v="491.18766855167945"/>
    <n v="319.76564999999999"/>
    <x v="1"/>
  </r>
  <r>
    <s v="SALE18"/>
    <d v="2024-08-13T00:00:00"/>
    <s v="CUST1094"/>
    <s v="PROD39"/>
    <s v="STORE4"/>
    <n v="2"/>
    <n v="559.23"/>
    <n v="0.25"/>
    <s v="COD"/>
    <n v="838.84500000000003"/>
    <n v="679792.2535318844"/>
    <n v="661"/>
    <x v="18"/>
    <n v="0.15275552577851062"/>
    <n v="2.4921287457803425"/>
    <n v="491.18185929337221"/>
    <n v="350.08125000000001"/>
    <x v="7"/>
  </r>
  <r>
    <s v="SALE19"/>
    <d v="2024-03-18T00:00:00"/>
    <s v="CUST1239"/>
    <s v="PROD60"/>
    <s v="STORE13"/>
    <n v="4"/>
    <n v="513.96"/>
    <n v="0.04"/>
    <s v="COD"/>
    <n v="1782.4512"/>
    <n v="679792.2535318844"/>
    <n v="661"/>
    <x v="19"/>
    <n v="0.15270636274806493"/>
    <n v="2.4923774212456178"/>
    <n v="491.14747417932136"/>
    <n v="575.11279999999999"/>
    <x v="9"/>
  </r>
  <r>
    <s v="SALE20"/>
    <d v="2025-07-05T00:00:00"/>
    <s v="CUST1144"/>
    <s v="PROD72"/>
    <s v="STORE17"/>
    <n v="3"/>
    <n v="986.04"/>
    <n v="0.27"/>
    <s v="COD"/>
    <n v="2159.4276"/>
    <n v="679792.2535318844"/>
    <n v="661"/>
    <x v="20"/>
    <n v="0.15276337153043623"/>
    <n v="2.4916152258064095"/>
    <n v="491.13594105201071"/>
    <n v="787.18439999999998"/>
    <x v="0"/>
  </r>
  <r>
    <s v="SALE21"/>
    <d v="2024-06-04T00:00:00"/>
    <s v="CUST1396"/>
    <s v="PROD43"/>
    <s v="STORE18"/>
    <n v="1"/>
    <n v="589.55999999999995"/>
    <n v="0.22"/>
    <s v="Credit Card"/>
    <n v="459.85680000000002"/>
    <n v="679792.2535318844"/>
    <n v="661"/>
    <x v="21"/>
    <n v="0.15270404125287065"/>
    <n v="2.4913580761988254"/>
    <n v="490.88561021794493"/>
    <n v="262.6592"/>
    <x v="2"/>
  </r>
  <r>
    <s v="SALE22"/>
    <d v="2024-04-12T00:00:00"/>
    <s v="CUST1476"/>
    <s v="PROD69"/>
    <s v="STORE10"/>
    <n v="3"/>
    <n v="979.42"/>
    <n v="0.03"/>
    <s v="PayPal"/>
    <n v="2850.1122"/>
    <n v="679332.39673188434"/>
    <n v="660"/>
    <x v="22"/>
    <n v="0.15266996734970756"/>
    <n v="2.4921128120673472"/>
    <n v="490.83567378586895"/>
    <n v="958.14054999999996"/>
    <x v="10"/>
  </r>
  <r>
    <s v="SALE23"/>
    <d v="2024-06-23T00:00:00"/>
    <s v="CUST1368"/>
    <s v="PROD12"/>
    <s v="STORE8"/>
    <n v="1"/>
    <n v="719.28"/>
    <n v="0.08"/>
    <s v="Credit Card"/>
    <n v="661.73760000000004"/>
    <n v="679332.39673188434"/>
    <n v="660"/>
    <x v="23"/>
    <n v="0.15273211019031022"/>
    <n v="2.4918556539975079"/>
    <n v="490.58828931689982"/>
    <n v="345.52440000000001"/>
    <x v="2"/>
  </r>
  <r>
    <s v="SALE24"/>
    <d v="2025-09-08T00:00:00"/>
    <s v="CUST1186"/>
    <s v="PROD67"/>
    <s v="STORE6"/>
    <n v="3"/>
    <n v="77.599999999999994"/>
    <n v="7.0000000000000007E-2"/>
    <s v="Credit Card"/>
    <n v="216.50399999999999"/>
    <n v="678670.65913188434"/>
    <n v="659"/>
    <x v="24"/>
    <n v="0.15276897390556129"/>
    <n v="2.4926114066084488"/>
    <n v="490.47243738646256"/>
    <n v="74.293499999999995"/>
    <x v="8"/>
  </r>
  <r>
    <s v="SALE25"/>
    <d v="2024-09-17T00:00:00"/>
    <s v="CUST1381"/>
    <s v="PROD5"/>
    <s v="STORE3"/>
    <n v="4"/>
    <n v="852.71"/>
    <n v="0.14000000000000001"/>
    <s v="PayPal"/>
    <n v="2933.3224"/>
    <n v="678454.15513188438"/>
    <n v="658"/>
    <x v="25"/>
    <n v="0.15281094600186232"/>
    <n v="2.4923542405702372"/>
    <n v="490.68169863197016"/>
    <n v="947.54309999999998"/>
    <x v="8"/>
  </r>
  <r>
    <s v="SALE26"/>
    <d v="2024-01-03T00:00:00"/>
    <s v="CUST1213"/>
    <s v="PROD98"/>
    <s v="STORE8"/>
    <n v="4"/>
    <n v="156.16"/>
    <n v="0.15"/>
    <s v="Credit Card"/>
    <n v="599.65440000000001"/>
    <n v="678454.15513188438"/>
    <n v="658"/>
    <x v="26"/>
    <n v="0.15281744572078765"/>
    <n v="2.4915897143230619"/>
    <n v="490.49811430064761"/>
    <n v="189.99110000000002"/>
    <x v="4"/>
  </r>
  <r>
    <s v="SALE27"/>
    <d v="2025-02-22T00:00:00"/>
    <s v="CUST1200"/>
    <s v="PROD77"/>
    <s v="STORE8"/>
    <n v="3"/>
    <n v="815.49"/>
    <n v="0.17"/>
    <s v="Credit Card"/>
    <n v="2030.5700999999999"/>
    <n v="677854.50073188439"/>
    <n v="657"/>
    <x v="27"/>
    <n v="0.1528188758962804"/>
    <n v="2.4908244123009022"/>
    <n v="490.66774297355511"/>
    <n v="712.30752499999994"/>
    <x v="6"/>
  </r>
  <r>
    <s v="SALE28"/>
    <d v="2025-09-23T00:00:00"/>
    <s v="CUST1148"/>
    <s v="PROD13"/>
    <s v="STORE2"/>
    <n v="2"/>
    <n v="74.209999999999994"/>
    <n v="0.11"/>
    <s v="PayPal"/>
    <n v="132.09379999999999"/>
    <n v="675823.93063188437"/>
    <n v="656"/>
    <x v="28"/>
    <n v="0.15281015008414037"/>
    <n v="2.4905659475355724"/>
    <n v="490.50285857912553"/>
    <n v="52.103449999999995"/>
    <x v="8"/>
  </r>
  <r>
    <s v="SALE29"/>
    <d v="2024-01-11T00:00:00"/>
    <s v="CUST1348"/>
    <s v="PROD99"/>
    <s v="STORE3"/>
    <n v="2"/>
    <n v="451.67"/>
    <n v="0.15"/>
    <s v="Credit Card"/>
    <n v="1535.6780000000001"/>
    <n v="675823.93063188437"/>
    <n v="656"/>
    <x v="29"/>
    <n v="0.15283190320918311"/>
    <n v="2.4908150922524519"/>
    <n v="490.71428207256332"/>
    <n v="497.37450000000001"/>
    <x v="4"/>
  </r>
  <r>
    <s v="SALE30"/>
    <d v="2023-10-18T00:00:00"/>
    <s v="CUST1028"/>
    <s v="PROD5"/>
    <s v="STORE19"/>
    <n v="1"/>
    <n v="429.38"/>
    <n v="0.13"/>
    <s v="PayPal"/>
    <n v="373.56060000000002"/>
    <n v="674288.2526318843"/>
    <n v="655"/>
    <x v="30"/>
    <n v="0.15283334291594936"/>
    <n v="2.4910644901651819"/>
    <n v="490.73412164678717"/>
    <n v="201.01765"/>
    <x v="11"/>
  </r>
  <r>
    <s v="SALE31"/>
    <d v="2024-10-28T00:00:00"/>
    <s v="CUST1412"/>
    <s v="PROD53"/>
    <s v="STORE12"/>
    <n v="2"/>
    <n v="148.96"/>
    <n v="0.03"/>
    <s v="COD"/>
    <n v="288.98239999999998"/>
    <n v="674288.2526318843"/>
    <n v="655"/>
    <x v="31"/>
    <n v="0.1528449570273003"/>
    <n v="2.491822530068672"/>
    <n v="490.7653133710611"/>
    <n v="109.9931"/>
    <x v="11"/>
  </r>
  <r>
    <s v="SALE32"/>
    <d v="2024-11-01T00:00:00"/>
    <s v="CUST1398"/>
    <s v="PROD75"/>
    <s v="STORE8"/>
    <n v="4"/>
    <n v="313.83"/>
    <n v="0.08"/>
    <s v="Credit Card"/>
    <n v="1154.8943999999999"/>
    <n v="674288.2526318843"/>
    <n v="655"/>
    <x v="32"/>
    <n v="0.15290747354487147"/>
    <n v="2.4920726941226237"/>
    <n v="490.93917161794354"/>
    <n v="368.2011"/>
    <x v="3"/>
  </r>
  <r>
    <s v="SALE33"/>
    <d v="2024-11-24T00:00:00"/>
    <s v="CUST1453"/>
    <s v="PROD12"/>
    <s v="STORE6"/>
    <n v="2"/>
    <n v="717.31"/>
    <n v="0.15"/>
    <s v="Credit Card"/>
    <n v="1219.4269999999999"/>
    <n v="673133.35823188431"/>
    <n v="654"/>
    <x v="33"/>
    <n v="0.15294459547641159"/>
    <n v="2.4913053010916428"/>
    <n v="491.02930351189673"/>
    <n v="484.72174999999993"/>
    <x v="3"/>
  </r>
  <r>
    <s v="SALE34"/>
    <d v="2023-10-16T00:00:00"/>
    <s v="CUST1344"/>
    <s v="PROD79"/>
    <s v="STORE1"/>
    <n v="2"/>
    <n v="873.22"/>
    <n v="0.18"/>
    <s v="Credit Card"/>
    <n v="2148.1212"/>
    <n v="671913.93123188429"/>
    <n v="653"/>
    <x v="34"/>
    <n v="0.15294609552504965"/>
    <n v="2.4915554565402638"/>
    <n v="490.91408930798224"/>
    <n v="755.88030000000003"/>
    <x v="11"/>
  </r>
  <r>
    <s v="SALE35"/>
    <d v="2025-08-09T00:00:00"/>
    <s v="CUST1218"/>
    <s v="PROD16"/>
    <s v="STORE3"/>
    <n v="4"/>
    <n v="109.36"/>
    <n v="0.19"/>
    <s v="COD"/>
    <n v="354.32639999999998"/>
    <n v="669765.81003188435"/>
    <n v="652"/>
    <x v="35"/>
    <n v="0.15293230658291154"/>
    <n v="2.4918058668594387"/>
    <n v="490.71933336774174"/>
    <n v="116.9691"/>
    <x v="7"/>
  </r>
  <r>
    <s v="SALE36"/>
    <d v="2024-12-09T00:00:00"/>
    <s v="CUST1086"/>
    <s v="PROD5"/>
    <s v="STORE7"/>
    <n v="3"/>
    <n v="559.52"/>
    <n v="0.16"/>
    <s v="PayPal"/>
    <n v="1409.9903999999999"/>
    <n v="669765.81003188435"/>
    <n v="652"/>
    <x v="36"/>
    <n v="0.15291340413853768"/>
    <n v="2.4910371644470324"/>
    <n v="490.91370611665496"/>
    <n v="493.16759999999999"/>
    <x v="1"/>
  </r>
  <r>
    <s v="SALE37"/>
    <d v="2024-02-07T00:00:00"/>
    <s v="CUST1492"/>
    <s v="PROD10"/>
    <s v="STORE17"/>
    <n v="3"/>
    <n v="121.76"/>
    <n v="0.27"/>
    <s v="PayPal"/>
    <n v="266.65440000000001"/>
    <n v="669765.81003188435"/>
    <n v="652"/>
    <x v="37"/>
    <n v="0.15290978852840431"/>
    <n v="2.4907776219505751"/>
    <n v="490.87872075516424"/>
    <n v="97.921099999999996"/>
    <x v="6"/>
  </r>
  <r>
    <s v="SALE38"/>
    <d v="2024-03-27T00:00:00"/>
    <s v="CUST1189"/>
    <s v="PROD33"/>
    <s v="STORE13"/>
    <n v="4"/>
    <n v="735.32"/>
    <n v="0.06"/>
    <s v="COD"/>
    <n v="2764.8031999999998"/>
    <n v="669765.81003188435"/>
    <n v="652"/>
    <x v="38"/>
    <n v="0.15285001812949076"/>
    <n v="2.4905178146148357"/>
    <n v="491.06704663310052"/>
    <n v="876.04579999999999"/>
    <x v="9"/>
  </r>
  <r>
    <s v="SALE39"/>
    <d v="2023-12-04T00:00:00"/>
    <s v="CUST1431"/>
    <s v="PROD94"/>
    <s v="STORE3"/>
    <n v="2"/>
    <n v="600.73"/>
    <n v="0.08"/>
    <s v="Credit Card"/>
    <n v="1105.3432"/>
    <n v="669765.81003188435"/>
    <n v="652"/>
    <x v="39"/>
    <n v="0.15289743897633931"/>
    <n v="2.4897472775115252"/>
    <n v="490.94236416583823"/>
    <n v="427.03830000000005"/>
    <x v="1"/>
  </r>
  <r>
    <s v="SALE40"/>
    <d v="2024-07-13T00:00:00"/>
    <s v="CUST1072"/>
    <s v="PROD26"/>
    <s v="STORE19"/>
    <n v="2"/>
    <n v="873.86"/>
    <n v="7.0000000000000007E-2"/>
    <s v="COD"/>
    <n v="1625.3796"/>
    <n v="668660.46683188435"/>
    <n v="651"/>
    <x v="40"/>
    <n v="0.15293468856191741"/>
    <n v="2.4899974038023891"/>
    <n v="490.88629285029475"/>
    <n v="625.32740000000001"/>
    <x v="0"/>
  </r>
  <r>
    <s v="SALE41"/>
    <d v="2023-11-11T00:00:00"/>
    <s v="CUST1302"/>
    <s v="PROD23"/>
    <s v="STORE8"/>
    <n v="3"/>
    <n v="342.47"/>
    <n v="0.08"/>
    <s v="PayPal"/>
    <n v="945.21720000000016"/>
    <n v="668660.46683188435"/>
    <n v="651"/>
    <x v="41"/>
    <n v="0.15297708870944399"/>
    <n v="2.4902477857154204"/>
    <n v="490.69059856968681"/>
    <n v="322.69180000000006"/>
    <x v="3"/>
  </r>
  <r>
    <s v="SALE42"/>
    <d v="2024-12-23T00:00:00"/>
    <s v="CUST1335"/>
    <s v="PROD29"/>
    <s v="STORE9"/>
    <n v="2"/>
    <n v="915.15"/>
    <n v="0.16"/>
    <s v="PayPal"/>
    <n v="1537.452"/>
    <n v="668660.46683188435"/>
    <n v="651"/>
    <x v="42"/>
    <n v="0.15301441714356645"/>
    <n v="2.4899871761989152"/>
    <n v="490.76637597181855"/>
    <n v="613.69049999999993"/>
    <x v="1"/>
  </r>
  <r>
    <s v="SALE43"/>
    <d v="2025-01-20T00:00:00"/>
    <s v="CUST1084"/>
    <s v="PROD33"/>
    <s v="STORE17"/>
    <n v="2"/>
    <n v="863.11"/>
    <n v="0.28000000000000003"/>
    <s v="PayPal"/>
    <n v="1864.3176000000001"/>
    <n v="668660.46683188435"/>
    <n v="651"/>
    <x v="43"/>
    <n v="0.15301084212675151"/>
    <n v="2.4902378090256154"/>
    <n v="490.54929994929773"/>
    <n v="682.42690000000005"/>
    <x v="4"/>
  </r>
  <r>
    <s v="SALE44"/>
    <d v="2024-09-03T00:00:00"/>
    <s v="CUST1203"/>
    <s v="PROD43"/>
    <s v="STORE12"/>
    <n v="2"/>
    <n v="209.32"/>
    <n v="0.23"/>
    <s v="COD"/>
    <n v="322.3528"/>
    <n v="668660.46683188435"/>
    <n v="651"/>
    <x v="44"/>
    <n v="0.15294581951647335"/>
    <n v="2.4904886983854033"/>
    <n v="490.35863428908755"/>
    <n v="133.47569999999999"/>
    <x v="8"/>
  </r>
  <r>
    <s v="SALE45"/>
    <d v="2024-11-10T00:00:00"/>
    <s v="CUST1470"/>
    <s v="PROD59"/>
    <s v="STORE8"/>
    <n v="4"/>
    <n v="288.60000000000002"/>
    <n v="0.09"/>
    <s v="PayPal"/>
    <n v="1050.5039999999999"/>
    <n v="668660.46683188435"/>
    <n v="651"/>
    <x v="45"/>
    <n v="0.1529063450387666"/>
    <n v="2.4907398446723388"/>
    <n v="490.5025352795069"/>
    <n v="335.79849999999999"/>
    <x v="3"/>
  </r>
  <r>
    <s v="SALE46"/>
    <d v="2024-10-05T00:00:00"/>
    <s v="CUST1070"/>
    <s v="PROD78"/>
    <s v="STORE16"/>
    <n v="1"/>
    <n v="418.69"/>
    <n v="0.06"/>
    <s v="PayPal"/>
    <n v="393.5686"/>
    <n v="668660.46683188435"/>
    <n v="651"/>
    <x v="46"/>
    <n v="0.152938588167951"/>
    <n v="2.4899666581173556"/>
    <n v="490.6059689553673"/>
    <n v="203.32965000000002"/>
    <x v="11"/>
  </r>
  <r>
    <s v="SALE47"/>
    <d v="2024-06-23T00:00:00"/>
    <s v="CUST1008"/>
    <s v="PROD30"/>
    <s v="STORE11"/>
    <n v="1"/>
    <n v="135.78"/>
    <n v="0.14000000000000001"/>
    <s v="PayPal"/>
    <n v="116.77079999999999"/>
    <n v="668660.46683188435"/>
    <n v="651"/>
    <x v="23"/>
    <n v="0.1529862489823961"/>
    <n v="2.4907303519451962"/>
    <n v="490.64283003632852"/>
    <n v="63.422699999999992"/>
    <x v="2"/>
  </r>
  <r>
    <s v="SALE48"/>
    <d v="2023-10-19T00:00:00"/>
    <s v="CUST1203"/>
    <s v="PROD44"/>
    <s v="STORE17"/>
    <n v="1"/>
    <n v="517.13"/>
    <n v="0.28000000000000003"/>
    <s v="Credit Card"/>
    <n v="372.33359999999999"/>
    <n v="668660.46683188435"/>
    <n v="651"/>
    <x v="47"/>
    <n v="0.15299291201419826"/>
    <n v="2.491494829048758"/>
    <n v="490.82481097480866"/>
    <n v="222.6859"/>
    <x v="11"/>
  </r>
  <r>
    <s v="SALE49"/>
    <d v="2024-11-11T00:00:00"/>
    <s v="CUST1420"/>
    <s v="PROD21"/>
    <s v="STORE16"/>
    <n v="2"/>
    <n v="384.66"/>
    <n v="0.08"/>
    <s v="COD"/>
    <n v="707.77440000000013"/>
    <n v="668288.13323188422"/>
    <n v="650"/>
    <x v="48"/>
    <n v="0.15292771330373328"/>
    <n v="2.4922600906336982"/>
    <n v="490.81131421286659"/>
    <n v="273.62860000000001"/>
    <x v="3"/>
  </r>
  <r>
    <s v="SALE50"/>
    <d v="2023-12-31T00:00:00"/>
    <s v="CUST1070"/>
    <s v="PROD52"/>
    <s v="STORE9"/>
    <n v="3"/>
    <n v="83.7"/>
    <n v="0.24"/>
    <s v="PayPal"/>
    <n v="190.83600000000001"/>
    <n v="668288.13323188422"/>
    <n v="650"/>
    <x v="49"/>
    <n v="0.1529651697563803"/>
    <n v="2.4925127908855638"/>
    <n v="490.86580667396152"/>
    <n v="69.444000000000003"/>
    <x v="1"/>
  </r>
  <r>
    <s v="SALE51"/>
    <d v="2025-02-01T00:00:00"/>
    <s v="CUST1142"/>
    <s v="PROD69"/>
    <s v="STORE7"/>
    <n v="3"/>
    <n v="76.569999999999993"/>
    <n v="0.26"/>
    <s v="Credit Card"/>
    <n v="169.9854"/>
    <n v="668288.13323188422"/>
    <n v="650"/>
    <x v="50"/>
    <n v="0.15292044476653258"/>
    <n v="2.4922521400334245"/>
    <n v="491.0749313820632"/>
    <n v="62.453850000000003"/>
    <x v="6"/>
  </r>
  <r>
    <s v="SALE52"/>
    <d v="2025-08-25T00:00:00"/>
    <s v="CUST1148"/>
    <s v="PROD89"/>
    <s v="STORE6"/>
    <n v="3"/>
    <n v="514.49"/>
    <n v="0.15"/>
    <s v="Credit Card"/>
    <n v="486.06330000000003"/>
    <n v="668118.14783188421"/>
    <n v="649"/>
    <x v="51"/>
    <n v="0.15286539101062846"/>
    <n v="2.4919912212975737"/>
    <n v="491.28793494392448"/>
    <n v="250.925825"/>
    <x v="7"/>
  </r>
  <r>
    <s v="SALE53"/>
    <d v="2025-01-20T00:00:00"/>
    <s v="CUST1324"/>
    <s v="PROD20"/>
    <s v="STORE8"/>
    <n v="1"/>
    <n v="900.35"/>
    <n v="0.13"/>
    <s v="COD"/>
    <n v="783.30449999999996"/>
    <n v="667632.08453188429"/>
    <n v="648"/>
    <x v="43"/>
    <n v="0.15286686497719773"/>
    <n v="2.4917300342648216"/>
    <n v="491.27600586163339"/>
    <n v="421.19612499999999"/>
    <x v="4"/>
  </r>
  <r>
    <s v="SALE54"/>
    <d v="2025-02-18T00:00:00"/>
    <s v="CUST1095"/>
    <s v="PROD40"/>
    <s v="STORE10"/>
    <n v="4"/>
    <n v="428.09"/>
    <n v="7.0000000000000007E-2"/>
    <s v="Credit Card"/>
    <n v="1592.4947999999999"/>
    <n v="667632.08453188429"/>
    <n v="648"/>
    <x v="52"/>
    <n v="0.15287863382175626"/>
    <n v="2.4924973851054926"/>
    <n v="491.06557685230291"/>
    <n v="506.16369999999995"/>
    <x v="6"/>
  </r>
  <r>
    <s v="SALE55"/>
    <d v="2024-10-24T00:00:00"/>
    <s v="CUST1416"/>
    <s v="PROD49"/>
    <s v="STORE11"/>
    <n v="2"/>
    <n v="559.71"/>
    <n v="0.3"/>
    <s v="COD"/>
    <n v="783.59400000000005"/>
    <n v="666039.58973188431"/>
    <n v="647"/>
    <x v="53"/>
    <n v="0.15292131077017121"/>
    <n v="2.4917215216907245"/>
    <n v="491.09798836895362"/>
    <n v="336.40100000000001"/>
    <x v="11"/>
  </r>
  <r>
    <s v="SALE56"/>
    <d v="2023-12-22T00:00:00"/>
    <s v="CUST1080"/>
    <s v="PROD34"/>
    <s v="STORE6"/>
    <n v="2"/>
    <n v="833.7"/>
    <n v="0.06"/>
    <s v="PayPal"/>
    <n v="1567.356"/>
    <n v="666039.58973188431"/>
    <n v="647"/>
    <x v="54"/>
    <n v="0.15284553607195903"/>
    <n v="2.4919747253579185"/>
    <n v="491.06265777594075"/>
    <n v="600.779"/>
    <x v="1"/>
  </r>
  <r>
    <s v="SALE57"/>
    <d v="2024-06-19T00:00:00"/>
    <s v="CUST1467"/>
    <s v="PROD47"/>
    <s v="STORE14"/>
    <n v="2"/>
    <n v="680.16"/>
    <n v="0.28000000000000003"/>
    <s v="Credit Card"/>
    <n v="979.43039999999996"/>
    <n v="666039.58973188431"/>
    <n v="647"/>
    <x v="55"/>
    <n v="0.15289339459570742"/>
    <n v="2.4922281899253362"/>
    <n v="490.88613158211069"/>
    <n v="415.46759999999995"/>
    <x v="2"/>
  </r>
  <r>
    <s v="SALE58"/>
    <d v="2024-12-07T00:00:00"/>
    <s v="CUST1404"/>
    <s v="PROD15"/>
    <s v="STORE7"/>
    <n v="4"/>
    <n v="733.42"/>
    <n v="0.15"/>
    <s v="PayPal"/>
    <n v="2552.3015999999998"/>
    <n v="665060.15933188424"/>
    <n v="646"/>
    <x v="56"/>
    <n v="0.15282784193691204"/>
    <n v="2.4924819157964317"/>
    <n v="490.7885677324108"/>
    <n v="822.46789999999987"/>
    <x v="1"/>
  </r>
  <r>
    <s v="SALE59"/>
    <d v="2023-11-27T00:00:00"/>
    <s v="CUST1367"/>
    <s v="PROD89"/>
    <s v="STORE11"/>
    <n v="1"/>
    <n v="996.33"/>
    <n v="0.23"/>
    <s v="PayPal"/>
    <n v="767.17410000000007"/>
    <n v="665060.15933188424"/>
    <n v="646"/>
    <x v="57"/>
    <n v="0.15282930109167822"/>
    <n v="2.4917044438602778"/>
    <n v="490.66343548265957"/>
    <n v="441.18352500000003"/>
    <x v="3"/>
  </r>
  <r>
    <s v="SALE60"/>
    <d v="2025-07-16T00:00:00"/>
    <s v="CUST1408"/>
    <s v="PROD31"/>
    <s v="STORE10"/>
    <n v="1"/>
    <n v="198.83"/>
    <n v="0.09"/>
    <s v="COD"/>
    <n v="180.93530000000001"/>
    <n v="665060.15933188424"/>
    <n v="646"/>
    <x v="58"/>
    <n v="0.15278946077215924"/>
    <n v="2.4924741571956033"/>
    <n v="490.40251362274347"/>
    <n v="95.213825000000014"/>
    <x v="0"/>
  </r>
  <r>
    <s v="SALE61"/>
    <d v="2025-02-28T00:00:00"/>
    <s v="CUST1239"/>
    <s v="PROD19"/>
    <s v="STORE7"/>
    <n v="1"/>
    <n v="374.92"/>
    <n v="0.18"/>
    <s v="PayPal"/>
    <n v="307.43439999999998"/>
    <n v="665060.15933188424"/>
    <n v="646"/>
    <x v="59"/>
    <n v="0.15282189334487215"/>
    <n v="2.4932446652788225"/>
    <n v="490.55304150793847"/>
    <n v="170.8836"/>
    <x v="6"/>
  </r>
  <r>
    <s v="SALE62"/>
    <d v="2024-08-11T00:00:00"/>
    <s v="CUST1464"/>
    <s v="PROD93"/>
    <s v="STORE16"/>
    <n v="1"/>
    <n v="468.94"/>
    <n v="0.12"/>
    <s v="Credit Card"/>
    <n v="412.66719999999998"/>
    <n v="665060.15933188424"/>
    <n v="646"/>
    <x v="60"/>
    <n v="0.15280784781171702"/>
    <n v="2.4940159693414663"/>
    <n v="490.61276931863466"/>
    <n v="220.68180000000001"/>
    <x v="7"/>
  </r>
  <r>
    <s v="SALE63"/>
    <d v="2025-09-27T00:00:00"/>
    <s v="CUST1126"/>
    <s v="PROD89"/>
    <s v="STORE12"/>
    <n v="2"/>
    <n v="121.37"/>
    <n v="0.05"/>
    <s v="Credit Card"/>
    <n v="230.60300000000001"/>
    <n v="664647.49213188421"/>
    <n v="645"/>
    <x v="61"/>
    <n v="0.15282481153861036"/>
    <n v="2.4947880706176115"/>
    <n v="490.62396971621541"/>
    <n v="88.505750000000006"/>
    <x v="8"/>
  </r>
  <r>
    <s v="SALE64"/>
    <d v="2025-09-14T00:00:00"/>
    <s v="CUST1255"/>
    <s v="PROD53"/>
    <s v="STORE10"/>
    <n v="3"/>
    <n v="480.06"/>
    <n v="0.01"/>
    <s v="Credit Card"/>
    <m/>
    <n v="664416.88913188421"/>
    <n v="644"/>
    <x v="62"/>
    <n v="0.15287800595740941"/>
    <n v="2.4950439072621915"/>
    <n v="490.81489731172536"/>
    <n v="161.02333333333334"/>
    <x v="8"/>
  </r>
  <r>
    <s v="SALE65"/>
    <d v="2023-12-30T00:00:00"/>
    <s v="CUST1162"/>
    <s v="PROD99"/>
    <s v="STORE17"/>
    <n v="2"/>
    <n v="856.57"/>
    <n v="0.24"/>
    <s v="Credit Card"/>
    <n v="1301.9864"/>
    <n v="664416.88913188421"/>
    <n v="643"/>
    <x v="63"/>
    <n v="0.15295195937664202"/>
    <n v="2.494782678036771"/>
    <n v="490.82046114892751"/>
    <n v="540.19910000000004"/>
    <x v="1"/>
  </r>
  <r>
    <s v="SALE66"/>
    <d v="2023-10-14T00:00:00"/>
    <s v="CUST1269"/>
    <s v="PROD77"/>
    <s v="STORE2"/>
    <n v="4"/>
    <n v="814.25"/>
    <n v="0.18"/>
    <s v="Credit Card"/>
    <n v="2670.74"/>
    <n v="663114.90273188415"/>
    <n v="642"/>
    <x v="64"/>
    <n v="0.15290688012204681"/>
    <n v="2.4950387767314068"/>
    <n v="490.63114979341447"/>
    <n v="872.2924999999999"/>
    <x v="11"/>
  </r>
  <r>
    <s v="SALE67"/>
    <d v="2023-11-25T00:00:00"/>
    <s v="CUST1483"/>
    <s v="PROD12"/>
    <s v="STORE2"/>
    <n v="1"/>
    <n v="989.17"/>
    <n v="0.2"/>
    <s v="PayPal"/>
    <n v="791.33600000000001"/>
    <n v="660444.16273188416"/>
    <n v="641"/>
    <x v="65"/>
    <n v="0.15289284223609967"/>
    <n v="2.4942594078949134"/>
    <n v="490.46355846756956"/>
    <n v="445.42650000000003"/>
    <x v="3"/>
  </r>
  <r>
    <s v="SALE68"/>
    <d v="2023-12-10T00:00:00"/>
    <s v="CUST1372"/>
    <s v="PROD72"/>
    <s v="STORE10"/>
    <n v="4"/>
    <n v="62.48"/>
    <n v="0.18"/>
    <s v="Credit Card"/>
    <n v="204.93440000000001"/>
    <n v="660444.16273188416"/>
    <n v="641"/>
    <x v="66"/>
    <n v="0.15286842172922363"/>
    <n v="2.4950336355673981"/>
    <n v="490.20516134760453"/>
    <n v="67.898600000000002"/>
    <x v="1"/>
  </r>
  <r>
    <s v="SALE69"/>
    <d v="2025-08-28T00:00:00"/>
    <s v="CUST1423"/>
    <s v="PROD13"/>
    <s v="STORE16"/>
    <n v="4"/>
    <n v="561.24"/>
    <n v="0.24"/>
    <s v="Credit Card"/>
    <n v="1706.1695999999999"/>
    <n v="660239.22833188414"/>
    <n v="640"/>
    <x v="67"/>
    <n v="0.152854349333855"/>
    <n v="2.4942534560109273"/>
    <n v="490.42689549034566"/>
    <n v="567.91239999999993"/>
    <x v="7"/>
  </r>
  <r>
    <s v="SALE70"/>
    <d v="2025-07-11T00:00:00"/>
    <s v="CUST1058"/>
    <s v="PROD60"/>
    <s v="STORE5"/>
    <n v="3"/>
    <n v="92.24"/>
    <n v="0.28000000000000003"/>
    <s v="COD"/>
    <m/>
    <n v="658533.058731884"/>
    <n v="639"/>
    <x v="68"/>
    <n v="0.15280912585141274"/>
    <n v="2.4934724671395632"/>
    <n v="490.39016670169957"/>
    <n v="31.84"/>
    <x v="0"/>
  </r>
  <r>
    <s v="SALE71"/>
    <d v="2025-08-20T00:00:00"/>
    <s v="CUST1168"/>
    <s v="PROD72"/>
    <s v="STORE1"/>
    <n v="2"/>
    <n v="668.3"/>
    <n v="7.0000000000000007E-2"/>
    <s v="Credit Card"/>
    <n v="1243.038"/>
    <n v="658533.058731884"/>
    <n v="639"/>
    <x v="69"/>
    <n v="0.15274308697594619"/>
    <n v="2.4932096090529723"/>
    <n v="490.59678329054321"/>
    <n v="478.35199999999998"/>
    <x v="7"/>
  </r>
  <r>
    <s v="SALE72"/>
    <d v="2024-08-29T00:00:00"/>
    <s v="CUST1409"/>
    <s v="PROD38"/>
    <s v="STORE5"/>
    <n v="1"/>
    <n v="553.82000000000005"/>
    <n v="0.09"/>
    <s v="Credit Card"/>
    <n v="503.97620000000012"/>
    <n v="657290.02073188405"/>
    <n v="638"/>
    <x v="70"/>
    <n v="0.15278607039775186"/>
    <n v="2.4934656888084517"/>
    <n v="490.50451786130674"/>
    <n v="264.72155000000004"/>
    <x v="7"/>
  </r>
  <r>
    <s v="SALE73"/>
    <d v="2024-11-30T00:00:00"/>
    <s v="CUST1037"/>
    <s v="PROD45"/>
    <s v="STORE11"/>
    <n v="2"/>
    <n v="556.42999999999995"/>
    <n v="0.13"/>
    <s v="Credit Card"/>
    <n v="968.18819999999994"/>
    <n v="656786.04453188402"/>
    <n v="637"/>
    <x v="71"/>
    <n v="0.15281870349047416"/>
    <n v="2.4942415151403003"/>
    <n v="490.47162670175413"/>
    <n v="381.68705"/>
    <x v="3"/>
  </r>
  <r>
    <s v="SALE74"/>
    <d v="2025-10-12T00:00:00"/>
    <s v="CUST1273"/>
    <s v="PROD20"/>
    <s v="STORE8"/>
    <n v="1"/>
    <n v="184.98"/>
    <n v="0.1"/>
    <s v="COD"/>
    <n v="166.482"/>
    <n v="655817.85633188405"/>
    <n v="636"/>
    <x v="72"/>
    <n v="0.15283056969093725"/>
    <n v="2.4944983974246768"/>
    <n v="490.43734480295046"/>
    <n v="88.140500000000003"/>
    <x v="11"/>
  </r>
  <r>
    <s v="SALE75"/>
    <d v="2024-07-27T00:00:00"/>
    <s v="CUST1035"/>
    <s v="PROD97"/>
    <s v="STORE12"/>
    <n v="4"/>
    <n v="700.18"/>
    <n v="0.23"/>
    <s v="Credit Card"/>
    <n v="2156.5544"/>
    <n v="655817.85633188405"/>
    <n v="636"/>
    <x v="73"/>
    <n v="0.15285805698005844"/>
    <n v="2.4952755676781475"/>
    <n v="490.59618897601496"/>
    <n v="715.24109999999996"/>
    <x v="0"/>
  </r>
  <r>
    <s v="SALE76"/>
    <d v="2023-12-25T00:00:00"/>
    <s v="CUST1019"/>
    <s v="PROD76"/>
    <s v="STORE10"/>
    <n v="2"/>
    <n v="686.31"/>
    <n v="0.25"/>
    <s v="Credit Card"/>
    <n v="1029.4649999999999"/>
    <n v="653661.30193188391"/>
    <n v="635"/>
    <x v="1"/>
    <n v="0.15281789979993354"/>
    <n v="2.4944926725520697"/>
    <n v="490.48714432928023"/>
    <n v="429.50624999999997"/>
    <x v="1"/>
  </r>
  <r>
    <s v="SALE77"/>
    <d v="2025-05-23T00:00:00"/>
    <s v="CUST1007"/>
    <s v="PROD67"/>
    <s v="STORE15"/>
    <n v="1"/>
    <n v="687.82"/>
    <n v="0.27"/>
    <s v="COD"/>
    <n v="502.10860000000002"/>
    <n v="652631.83693188394"/>
    <n v="634"/>
    <x v="74"/>
    <n v="0.15276728412274604"/>
    <n v="2.4947500867491299"/>
    <n v="490.38520635131533"/>
    <n v="297.79965000000004"/>
    <x v="5"/>
  </r>
  <r>
    <s v="SALE78"/>
    <d v="2024-11-13T00:00:00"/>
    <s v="CUST1221"/>
    <s v="PROD83"/>
    <s v="STORE8"/>
    <n v="2"/>
    <n v="900.55"/>
    <n v="0.16"/>
    <s v="Credit Card"/>
    <n v="1512.924"/>
    <n v="652631.83693188394"/>
    <n v="634"/>
    <x v="75"/>
    <n v="0.15270619359857862"/>
    <n v="2.495528602419312"/>
    <n v="490.28237572962331"/>
    <n v="603.9085"/>
    <x v="3"/>
  </r>
  <r>
    <s v="SALE79"/>
    <d v="2023-12-08T00:00:00"/>
    <s v="CUST1115"/>
    <s v="PROD21"/>
    <s v="STORE2"/>
    <n v="1"/>
    <n v="341.17"/>
    <n v="0.15"/>
    <s v="Credit Card"/>
    <n v="289.99450000000002"/>
    <n v="651118.91293188394"/>
    <n v="633"/>
    <x v="76"/>
    <n v="0.15270239077980829"/>
    <n v="2.4957868247238557"/>
    <n v="490.06858332510501"/>
    <n v="158.07862499999999"/>
    <x v="1"/>
  </r>
  <r>
    <s v="SALE80"/>
    <d v="2025-08-16T00:00:00"/>
    <s v="CUST1176"/>
    <s v="PROD52"/>
    <s v="STORE8"/>
    <n v="1"/>
    <n v="442.27"/>
    <n v="0.06"/>
    <s v="COD"/>
    <n v="415.73379999999997"/>
    <n v="650828.91843188391"/>
    <n v="632"/>
    <x v="77"/>
    <n v="0.15270380047765902"/>
    <n v="2.4965666927242331"/>
    <n v="490.14621553747469"/>
    <n v="214.76594999999998"/>
    <x v="7"/>
  </r>
  <r>
    <s v="SALE81"/>
    <d v="2024-11-20T00:00:00"/>
    <s v="CUST1253"/>
    <s v="PROD71"/>
    <s v="STORE9"/>
    <n v="1"/>
    <n v="363.73"/>
    <n v="0.25"/>
    <s v="PayPal"/>
    <n v="272.79750000000001"/>
    <n v="650828.91843188391"/>
    <n v="632"/>
    <x v="78"/>
    <n v="0.15275218450713587"/>
    <n v="2.4973473743584131"/>
    <n v="490.1711900891375"/>
    <n v="159.44437500000001"/>
    <x v="3"/>
  </r>
  <r>
    <s v="SALE82"/>
    <d v="2024-08-14T00:00:00"/>
    <s v="CUST1378"/>
    <s v="PROD91"/>
    <s v="STORE17"/>
    <n v="2"/>
    <n v="601.33000000000004"/>
    <n v="0.16"/>
    <s v="PayPal"/>
    <n v="1010.2344000000001"/>
    <n v="650828.91843188391"/>
    <n v="632"/>
    <x v="79"/>
    <n v="0.15270140235805346"/>
    <n v="2.498128870900354"/>
    <n v="490.23718235953891"/>
    <n v="403.43110000000001"/>
    <x v="7"/>
  </r>
  <r>
    <s v="SALE83"/>
    <d v="2024-05-15T00:00:00"/>
    <s v="CUST1403"/>
    <s v="PROD17"/>
    <s v="STORE18"/>
    <n v="4"/>
    <n v="34.39"/>
    <n v="0.03"/>
    <s v="PayPal"/>
    <n v="133.4332"/>
    <n v="650828.91843188391"/>
    <n v="632"/>
    <x v="80"/>
    <n v="0.15269758908864806"/>
    <n v="2.4983889904151844"/>
    <n v="490.17917044432198"/>
    <n v="42.963300000000004"/>
    <x v="5"/>
  </r>
  <r>
    <s v="SALE84"/>
    <d v="2023-12-08T00:00:00"/>
    <s v="CUST1423"/>
    <s v="PROD46"/>
    <s v="STORE17"/>
    <n v="1"/>
    <n v="773.57"/>
    <n v="0.05"/>
    <s v="COD"/>
    <m/>
    <n v="650828.91843188391"/>
    <n v="632"/>
    <x v="76"/>
    <n v="0.15276172792246334"/>
    <n v="2.4976044496578256"/>
    <n v="490.41730480714551"/>
    <n v="258.20666666666665"/>
    <x v="1"/>
  </r>
  <r>
    <s v="SALE85"/>
    <d v="2023-12-22T00:00:00"/>
    <s v="CUST1054"/>
    <s v="PROD88"/>
    <s v="STORE7"/>
    <n v="4"/>
    <n v="127.1"/>
    <n v="0.24"/>
    <s v="COD"/>
    <n v="386.38400000000001"/>
    <n v="650828.91843188391"/>
    <n v="632"/>
    <x v="54"/>
    <n v="0.15281547359606293"/>
    <n v="2.498387306139612"/>
    <n v="490.26928980704463"/>
    <n v="129.43100000000001"/>
    <x v="1"/>
  </r>
  <r>
    <s v="SALE86"/>
    <d v="2024-09-10T00:00:00"/>
    <s v="CUST1303"/>
    <s v="PROD20"/>
    <s v="STORE3"/>
    <n v="3"/>
    <n v="899.58"/>
    <n v="0.28000000000000003"/>
    <s v="PayPal"/>
    <n v="1943.0927999999999"/>
    <n v="650828.91843188391"/>
    <n v="632"/>
    <x v="81"/>
    <n v="0.15276985113326652"/>
    <n v="2.4976019438520281"/>
    <n v="490.45923190422405"/>
    <n v="711.48820000000001"/>
    <x v="8"/>
  </r>
  <r>
    <s v="SALE87"/>
    <d v="2025-04-08T00:00:00"/>
    <s v="CUST1327"/>
    <s v="PROD1"/>
    <s v="STORE10"/>
    <n v="3"/>
    <n v="964.39"/>
    <n v="0.04"/>
    <s v="Credit Card"/>
    <n v="2777.4432000000002"/>
    <n v="650828.91843188391"/>
    <n v="632"/>
    <x v="82"/>
    <n v="0.15270323848988082"/>
    <n v="2.497339045863463"/>
    <n v="490.24514463677468"/>
    <n v="936.2183"/>
    <x v="10"/>
  </r>
  <r>
    <s v="SALE88"/>
    <d v="2024-10-23T00:00:00"/>
    <s v="CUST1183"/>
    <s v="PROD38"/>
    <s v="STORE0"/>
    <n v="2"/>
    <n v="217.83"/>
    <n v="0.14000000000000001"/>
    <s v="PayPal"/>
    <n v="374.66759999999999"/>
    <n v="648051.47523188393"/>
    <n v="631"/>
    <x v="83"/>
    <n v="0.15276227633089173"/>
    <n v="2.4970758725890465"/>
    <n v="489.99690125700334"/>
    <n v="148.65940000000001"/>
    <x v="11"/>
  </r>
  <r>
    <s v="SALE89"/>
    <d v="2025-07-10T00:00:00"/>
    <s v="CUST1143"/>
    <s v="PROD17"/>
    <s v="STORE1"/>
    <n v="4"/>
    <n v="187.71"/>
    <n v="0.06"/>
    <s v="COD"/>
    <n v="705.78959999999995"/>
    <n v="648051.47523188393"/>
    <n v="631"/>
    <x v="84"/>
    <n v="0.15276896515496458"/>
    <n v="2.4973362580644731"/>
    <n v="490.13947166101434"/>
    <n v="224.38989999999998"/>
    <x v="0"/>
  </r>
  <r>
    <s v="SALE90"/>
    <d v="2024-10-12T00:00:00"/>
    <s v="CUST1010"/>
    <s v="PROD33"/>
    <s v="STORE18"/>
    <n v="2"/>
    <n v="350.12"/>
    <n v="0.12"/>
    <s v="COD"/>
    <n v="616.21119999999996"/>
    <n v="648051.47523188393"/>
    <n v="631"/>
    <x v="85"/>
    <n v="0.15281761170197819"/>
    <n v="2.4965486984512988"/>
    <n v="490.29797767341529"/>
    <n v="242.11279999999999"/>
    <x v="11"/>
  </r>
  <r>
    <s v="SALE91"/>
    <d v="2024-01-21T00:00:00"/>
    <s v="CUST1406"/>
    <s v="PROD16"/>
    <s v="STORE1"/>
    <n v="4"/>
    <n v="102.19"/>
    <n v="0.17"/>
    <s v="PayPal"/>
    <n v="339.27080000000001"/>
    <n v="648051.47523188393"/>
    <n v="631"/>
    <x v="86"/>
    <n v="0.15283482975638635"/>
    <n v="2.496809080568998"/>
    <n v="490.37148474088957"/>
    <n v="111.40770000000001"/>
    <x v="4"/>
  </r>
  <r>
    <s v="SALE92"/>
    <d v="2024-02-28T00:00:00"/>
    <s v="CUST1007"/>
    <s v="PROD86"/>
    <s v="STORE4"/>
    <n v="1"/>
    <n v="696.53"/>
    <n v="0.17"/>
    <s v="Credit Card"/>
    <n v="578.11989999999992"/>
    <n v="648051.47523188393"/>
    <n v="631"/>
    <x v="87"/>
    <n v="0.15282581916833196"/>
    <n v="2.4960204179669878"/>
    <n v="490.57514763949445"/>
    <n v="318.95497499999999"/>
    <x v="6"/>
  </r>
  <r>
    <s v="SALE93"/>
    <d v="2024-12-31T00:00:00"/>
    <s v="CUST1065"/>
    <s v="PROD19"/>
    <s v="STORE4"/>
    <n v="2"/>
    <n v="327.52"/>
    <n v="0.15"/>
    <s v="PayPal"/>
    <n v="556.78399999999999"/>
    <n v="647473.35533188388"/>
    <n v="630"/>
    <x v="88"/>
    <n v="0.15281679911537413"/>
    <n v="2.4968057305223512"/>
    <n v="490.46703485610311"/>
    <n v="221.61349999999999"/>
    <x v="1"/>
  </r>
  <r>
    <s v="SALE94"/>
    <d v="2024-08-26T00:00:00"/>
    <s v="CUST1298"/>
    <s v="PROD97"/>
    <s v="STORE19"/>
    <n v="2"/>
    <n v="569.36"/>
    <n v="0.01"/>
    <s v="PayPal"/>
    <m/>
    <n v="647473.35533188388"/>
    <n v="630"/>
    <x v="89"/>
    <n v="0.15281827930408429"/>
    <n v="2.497066657901827"/>
    <n v="490.55261628197286"/>
    <n v="190.45666666666668"/>
    <x v="7"/>
  </r>
  <r>
    <s v="SALE95"/>
    <d v="2024-09-21T00:00:00"/>
    <s v="CUST1321"/>
    <s v="PROD99"/>
    <s v="STORE6"/>
    <n v="2"/>
    <n v="68.290000000000006"/>
    <n v="0.14000000000000001"/>
    <s v="COD"/>
    <n v="117.4588"/>
    <n v="647473.35533188388"/>
    <n v="630"/>
    <x v="90"/>
    <n v="0.15289336777900758"/>
    <n v="2.4973278595087121"/>
    <n v="490.51120409925187"/>
    <n v="46.972200000000001"/>
    <x v="8"/>
  </r>
  <r>
    <s v="SALE96"/>
    <d v="2024-08-19T00:00:00"/>
    <s v="CUST1244"/>
    <s v="PROD50"/>
    <s v="STORE10"/>
    <n v="1"/>
    <n v="842.9"/>
    <n v="0.06"/>
    <s v="COD"/>
    <n v="792.32599999999991"/>
    <n v="647473.35533188388"/>
    <n v="630"/>
    <x v="91"/>
    <n v="0.15290015019235792"/>
    <n v="2.4975893357755408"/>
    <n v="490.73319211402537"/>
    <n v="409.07149999999996"/>
    <x v="7"/>
  </r>
  <r>
    <s v="SALE97"/>
    <d v="2024-10-22T00:00:00"/>
    <s v="CUST1287"/>
    <s v="PROD3"/>
    <s v="STORE3"/>
    <n v="3"/>
    <n v="751.94"/>
    <n v="0.26"/>
    <s v="PayPal"/>
    <n v="1669.3068000000001"/>
    <n v="647473.35533188388"/>
    <n v="630"/>
    <x v="92"/>
    <n v="0.15294904500824863"/>
    <n v="2.49837712606264"/>
    <n v="490.54793866432203"/>
    <n v="606.12670000000003"/>
    <x v="11"/>
  </r>
  <r>
    <s v="SALE98"/>
    <d v="2024-10-15T00:00:00"/>
    <s v="CUST1131"/>
    <s v="PROD56"/>
    <s v="STORE7"/>
    <n v="4"/>
    <n v="476.28"/>
    <n v="0.17"/>
    <s v="Credit Card"/>
    <n v="1581.2496000000001"/>
    <n v="647473.35533188388"/>
    <n v="630"/>
    <x v="93"/>
    <n v="0.15289267273073848"/>
    <n v="2.4981131140237252"/>
    <n v="490.41036389519797"/>
    <n v="515.42489999999998"/>
    <x v="11"/>
  </r>
  <r>
    <s v="SALE99"/>
    <d v="2024-07-06T00:00:00"/>
    <s v="CUST1325"/>
    <s v="PROD54"/>
    <s v="STORE3"/>
    <n v="3"/>
    <n v="541.99"/>
    <n v="0.24"/>
    <s v="COD"/>
    <n v="1235.7372"/>
    <n v="645892.10573188378"/>
    <n v="629"/>
    <x v="94"/>
    <n v="0.1528836593865503"/>
    <n v="2.497322230987403"/>
    <n v="490.41780484511651"/>
    <n v="445.24180000000001"/>
    <x v="0"/>
  </r>
  <r>
    <s v="SALE100"/>
    <d v="2025-01-20T00:00:00"/>
    <s v="CUST1369"/>
    <s v="PROD33"/>
    <s v="STORE5"/>
    <n v="2"/>
    <n v="401.5"/>
    <n v="0.18"/>
    <s v="Credit Card"/>
    <n v="658.46"/>
    <n v="645892.10573188378"/>
    <n v="629"/>
    <x v="43"/>
    <n v="0.1528377361706233"/>
    <n v="2.4970573849552578"/>
    <n v="490.39063298254808"/>
    <n v="265.53500000000003"/>
    <x v="4"/>
  </r>
  <r>
    <s v="SALE101"/>
    <d v="2024-06-10T00:00:00"/>
    <s v="CUST1084"/>
    <s v="PROD25"/>
    <s v="STORE13"/>
    <n v="3"/>
    <n v="359.56"/>
    <n v="0.17"/>
    <s v="PayPal"/>
    <n v="895.30439999999999"/>
    <n v="645233.64573188382"/>
    <n v="628"/>
    <x v="95"/>
    <n v="0.15282341008210568"/>
    <n v="2.4973194078255556"/>
    <n v="490.43749151337698"/>
    <n v="314.5086"/>
    <x v="2"/>
  </r>
  <r>
    <s v="SALE102"/>
    <d v="2024-09-17T00:00:00"/>
    <s v="CUST1097"/>
    <s v="PROD80"/>
    <s v="STORE12"/>
    <n v="2"/>
    <n v="471.88"/>
    <n v="0.24"/>
    <s v="PayPal"/>
    <n v="717.25760000000002"/>
    <n v="645233.64573188382"/>
    <n v="628"/>
    <x v="25"/>
    <n v="0.15281434591856063"/>
    <n v="2.4970542809309486"/>
    <n v="490.50651972620051"/>
    <n v="297.84440000000001"/>
    <x v="8"/>
  </r>
  <r>
    <s v="SALE103"/>
    <d v="2025-09-07T00:00:00"/>
    <s v="CUST1182"/>
    <s v="PROD34"/>
    <s v="STORE4"/>
    <n v="4"/>
    <n v="925.19"/>
    <n v="0.19"/>
    <s v="PayPal"/>
    <n v="2997.615600000001"/>
    <n v="645233.64573188382"/>
    <n v="628"/>
    <x v="96"/>
    <n v="0.15276831336624735"/>
    <n v="2.4973165787045271"/>
    <n v="490.51634902420909"/>
    <n v="981.74890000000028"/>
    <x v="8"/>
  </r>
  <r>
    <s v="SALE104"/>
    <d v="2024-02-08T00:00:00"/>
    <s v="CUST1029"/>
    <s v="PROD86"/>
    <s v="STORE11"/>
    <n v="2"/>
    <n v="879.63"/>
    <n v="7.0000000000000007E-2"/>
    <s v="COD"/>
    <n v="1636.1117999999999"/>
    <n v="645233.64573188382"/>
    <n v="628"/>
    <x v="97"/>
    <n v="0.15274864528033411"/>
    <n v="2.4965231872466096"/>
    <n v="490.28684868050487"/>
    <n v="629.45294999999999"/>
    <x v="6"/>
  </r>
  <r>
    <s v="SALE105"/>
    <d v="2023-10-15T00:00:00"/>
    <s v="CUST1002"/>
    <s v="PROD79"/>
    <s v="STORE17"/>
    <n v="2"/>
    <n v="418.23"/>
    <n v="0.28000000000000003"/>
    <s v="Credit Card"/>
    <n v="602.25120000000004"/>
    <n v="645233.64573188382"/>
    <n v="628"/>
    <x v="98"/>
    <n v="0.15279238135077824"/>
    <n v="2.4967854815874686"/>
    <n v="490.08117348170958"/>
    <n v="255.69030000000001"/>
    <x v="11"/>
  </r>
  <r>
    <s v="SALE106"/>
    <d v="2025-08-22T00:00:00"/>
    <s v="CUST1269"/>
    <s v="PROD19"/>
    <s v="STORE18"/>
    <n v="3"/>
    <n v="551.72"/>
    <n v="0.03"/>
    <s v="COD"/>
    <n v="1605.5052000000001"/>
    <n v="644631.39453188388"/>
    <n v="627"/>
    <x v="99"/>
    <n v="0.15272511132505154"/>
    <n v="2.4970480531950727"/>
    <n v="490.11914978904667"/>
    <n v="540.06380000000001"/>
    <x v="7"/>
  </r>
  <r>
    <s v="SALE107"/>
    <d v="2024-02-01T00:00:00"/>
    <s v="CUST1338"/>
    <s v="PROD86"/>
    <s v="STORE7"/>
    <n v="4"/>
    <n v="525.61"/>
    <n v="0.02"/>
    <s v="PayPal"/>
    <n v="2060.3912"/>
    <n v="644631.39453188388"/>
    <n v="627"/>
    <x v="100"/>
    <n v="0.15279004524638756"/>
    <n v="2.4967820817795237"/>
    <n v="490.08657398248357"/>
    <n v="647.50530000000003"/>
    <x v="6"/>
  </r>
  <r>
    <s v="SALE108"/>
    <d v="2025-05-08T00:00:00"/>
    <s v="CUST1041"/>
    <s v="PROD22"/>
    <s v="STORE13"/>
    <n v="3"/>
    <n v="815.3"/>
    <n v="0.03"/>
    <s v="Credit Card"/>
    <n v="2372.5230000000001"/>
    <n v="644631.39453188388"/>
    <n v="627"/>
    <x v="101"/>
    <n v="0.15286034172348995"/>
    <n v="2.4959867283836394"/>
    <n v="490.06777851898215"/>
    <n v="797.71325000000002"/>
    <x v="5"/>
  </r>
  <r>
    <s v="SALE109"/>
    <d v="2025-03-22T00:00:00"/>
    <s v="CUST1214"/>
    <s v="PROD91"/>
    <s v="STORE0"/>
    <n v="3"/>
    <n v="376.46"/>
    <n v="0.09"/>
    <s v="COD"/>
    <n v="1027.7357999999999"/>
    <n v="642258.87153188384"/>
    <n v="626"/>
    <x v="102"/>
    <n v="0.15292541605702992"/>
    <n v="2.4957199135230699"/>
    <n v="489.89560688241204"/>
    <n v="351.82144999999997"/>
    <x v="9"/>
  </r>
  <r>
    <s v="SALE110"/>
    <d v="2025-07-13T00:00:00"/>
    <s v="CUST1007"/>
    <s v="PROD42"/>
    <s v="STORE8"/>
    <n v="4"/>
    <n v="239.83"/>
    <n v="0.08"/>
    <s v="Credit Card"/>
    <n v="882.57440000000008"/>
    <n v="642258.87153188384"/>
    <n v="626"/>
    <x v="103"/>
    <n v="0.15295876285939189"/>
    <n v="2.4954528160196392"/>
    <n v="489.95568930131168"/>
    <n v="281.62110000000001"/>
    <x v="0"/>
  </r>
  <r>
    <s v="SALE111"/>
    <d v="2025-05-21T00:00:00"/>
    <s v="CUST1119"/>
    <s v="PROD90"/>
    <s v="STORE3"/>
    <n v="2"/>
    <n v="845.71"/>
    <n v="0.01"/>
    <s v="PayPal"/>
    <n v="1674.5057999999999"/>
    <n v="641376.2971318838"/>
    <n v="625"/>
    <x v="104"/>
    <n v="0.15299744725115191"/>
    <n v="2.4946554937175827"/>
    <n v="490.08824133591753"/>
    <n v="630.55645000000004"/>
    <x v="5"/>
  </r>
  <r>
    <s v="SALE112"/>
    <d v="2025-02-17T00:00:00"/>
    <s v="CUST1087"/>
    <s v="PROD76"/>
    <s v="STORE13"/>
    <n v="3"/>
    <n v="948.69"/>
    <n v="0.28999999999999998"/>
    <s v="Credit Card"/>
    <n v="2020.7097000000001"/>
    <n v="641376.2971318838"/>
    <n v="625"/>
    <x v="105"/>
    <n v="0.15307330796587398"/>
    <n v="2.4949177712858313"/>
    <n v="489.89968260916032"/>
    <n v="743.17242499999998"/>
    <x v="6"/>
  </r>
  <r>
    <s v="SALE113"/>
    <d v="2024-05-01T00:00:00"/>
    <s v="CUST1467"/>
    <s v="PROD27"/>
    <s v="STORE10"/>
    <n v="1"/>
    <n v="281.97000000000003"/>
    <n v="0.2"/>
    <s v="PayPal"/>
    <n v="225.57599999999999"/>
    <n v="639355.58743188379"/>
    <n v="624"/>
    <x v="106"/>
    <n v="0.1530006292546032"/>
    <n v="2.4946498231538876"/>
    <n v="489.65629252035887"/>
    <n v="127.1865"/>
    <x v="5"/>
  </r>
  <r>
    <s v="SALE114"/>
    <d v="2024-07-09T00:00:00"/>
    <s v="CUST1152"/>
    <s v="PROD91"/>
    <s v="STORE4"/>
    <n v="2"/>
    <n v="731.01"/>
    <n v="0.05"/>
    <s v="PayPal"/>
    <n v="1388.9190000000001"/>
    <n v="639355.58743188379"/>
    <n v="624"/>
    <x v="107"/>
    <n v="0.15297566941883831"/>
    <n v="2.4954431617012096"/>
    <n v="489.7665294059853"/>
    <n v="530.49475000000007"/>
    <x v="0"/>
  </r>
  <r>
    <s v="SALE115"/>
    <d v="2025-09-25T00:00:00"/>
    <s v="CUST1257"/>
    <s v="PROD85"/>
    <s v="STORE7"/>
    <n v="4"/>
    <n v="930.85"/>
    <n v="0.13"/>
    <s v="PayPal"/>
    <n v="3239.3580000000002"/>
    <n v="639355.58743188379"/>
    <n v="624"/>
    <x v="108"/>
    <n v="0.15303038550248277"/>
    <n v="2.4957062754355173"/>
    <n v="489.63841285229762"/>
    <n v="1043.5844999999999"/>
    <x v="8"/>
  </r>
  <r>
    <s v="SALE116"/>
    <d v="2024-05-08T00:00:00"/>
    <s v="CUST1419"/>
    <s v="PROD3"/>
    <s v="STORE8"/>
    <n v="4"/>
    <n v="770.77"/>
    <n v="0.22"/>
    <s v="Credit Card"/>
    <n v="2404.8024"/>
    <n v="639355.58743188379"/>
    <n v="624"/>
    <x v="109"/>
    <n v="0.15304262919493491"/>
    <n v="2.4949069695244841"/>
    <n v="489.40397523957296"/>
    <n v="794.94810000000007"/>
    <x v="5"/>
  </r>
  <r>
    <s v="SALE117"/>
    <d v="2024-09-19T00:00:00"/>
    <s v="CUST1067"/>
    <s v="PROD46"/>
    <s v="STORE4"/>
    <n v="3"/>
    <n v="479.63"/>
    <n v="0.3"/>
    <s v="PayPal"/>
    <n v="1007.223"/>
    <n v="636950.78503188398"/>
    <n v="623"/>
    <x v="110"/>
    <n v="0.1530070135721662"/>
    <n v="2.4941068137400739"/>
    <n v="489.25439202598432"/>
    <n v="372.53825000000001"/>
    <x v="8"/>
  </r>
  <r>
    <s v="SALE118"/>
    <d v="2024-04-23T00:00:00"/>
    <s v="CUST1105"/>
    <s v="PROD39"/>
    <s v="STORE11"/>
    <n v="1"/>
    <n v="165"/>
    <n v="0.3"/>
    <s v="COD"/>
    <n v="115.5"/>
    <n v="636950.78503188398"/>
    <n v="623"/>
    <x v="111"/>
    <n v="0.15292878420206091"/>
    <n v="2.4938377216197227"/>
    <n v="489.25951138344493"/>
    <n v="70.45"/>
    <x v="10"/>
  </r>
  <r>
    <s v="SALE119"/>
    <d v="2024-07-30T00:00:00"/>
    <s v="CUST1158"/>
    <s v="PROD19"/>
    <s v="STORE8"/>
    <n v="2"/>
    <n v="151.51"/>
    <n v="0.28999999999999998"/>
    <s v="COD"/>
    <n v="215.14420000000001"/>
    <n v="636950.78503188398"/>
    <n v="623"/>
    <x v="112"/>
    <n v="0.15285047152059236"/>
    <n v="2.4946327390341025"/>
    <n v="489.43208163963624"/>
    <n v="92.236050000000006"/>
    <x v="0"/>
  </r>
  <r>
    <s v="SALE120"/>
    <d v="2023-12-14T00:00:00"/>
    <s v="CUST1231"/>
    <s v="PROD31"/>
    <s v="STORE17"/>
    <n v="2"/>
    <n v="872.93"/>
    <n v="0.28999999999999998"/>
    <s v="COD"/>
    <n v="1239.5606"/>
    <n v="636950.78503188398"/>
    <n v="623"/>
    <x v="113"/>
    <n v="0.1527774030451105"/>
    <n v="2.4948961217492429"/>
    <n v="489.61201885030698"/>
    <n v="528.69515000000001"/>
    <x v="1"/>
  </r>
  <r>
    <s v="SALE121"/>
    <d v="2024-09-23T00:00:00"/>
    <s v="CUST1264"/>
    <s v="PROD22"/>
    <s v="STORE10"/>
    <n v="3"/>
    <n v="432.4"/>
    <n v="0.04"/>
    <s v="Credit Card"/>
    <n v="1245.3119999999999"/>
    <n v="636950.78503188398"/>
    <n v="623"/>
    <x v="114"/>
    <n v="0.15270425667146717"/>
    <n v="2.4951597851065945"/>
    <n v="489.40780042667899"/>
    <n v="420.18799999999999"/>
    <x v="8"/>
  </r>
  <r>
    <s v="SALE122"/>
    <d v="2025-08-17T00:00:00"/>
    <s v="CUST1338"/>
    <s v="PROD50"/>
    <s v="STORE7"/>
    <n v="2"/>
    <n v="197.76"/>
    <n v="0.04"/>
    <s v="Credit Card"/>
    <n v="379.69920000000002"/>
    <n v="635705.47303188383"/>
    <n v="622"/>
    <x v="115"/>
    <n v="0.1527643656083586"/>
    <n v="2.4948906805144344"/>
    <n v="489.43818837999811"/>
    <n v="144.87479999999999"/>
    <x v="7"/>
  </r>
  <r>
    <s v="SALE123"/>
    <d v="2025-01-17T00:00:00"/>
    <s v="CUST1476"/>
    <s v="PROD40"/>
    <s v="STORE2"/>
    <n v="3"/>
    <n v="334.6"/>
    <n v="0.11"/>
    <s v="PayPal"/>
    <n v="893.38200000000006"/>
    <n v="635325.77383188379"/>
    <n v="621"/>
    <x v="116"/>
    <n v="0.15282453869566298"/>
    <n v="2.4951546222107086"/>
    <n v="489.59375008046749"/>
    <n v="307.77300000000002"/>
    <x v="4"/>
  </r>
  <r>
    <s v="SALE124"/>
    <d v="2025-04-30T00:00:00"/>
    <s v="CUST1087"/>
    <s v="PROD14"/>
    <s v="STORE3"/>
    <n v="2"/>
    <n v="44.35"/>
    <n v="0.2"/>
    <s v="COD"/>
    <n v="70.960000000000008"/>
    <n v="635325.77383188379"/>
    <n v="621"/>
    <x v="117"/>
    <n v="0.15284740283805254"/>
    <n v="2.4948852276654638"/>
    <n v="489.6764575244805"/>
    <n v="29.377500000000005"/>
    <x v="10"/>
  </r>
  <r>
    <s v="SALE125"/>
    <d v="2024-11-02T00:00:00"/>
    <s v="CUST1498"/>
    <s v="PROD8"/>
    <s v="STORE6"/>
    <n v="1"/>
    <n v="846.31"/>
    <n v="0.05"/>
    <s v="PayPal"/>
    <n v="803.9944999999999"/>
    <n v="635325.77383188379"/>
    <n v="621"/>
    <x v="118"/>
    <n v="0.15282221448486771"/>
    <n v="2.4951494482888834"/>
    <n v="489.91421858028644"/>
    <n v="412.83862499999998"/>
    <x v="3"/>
  </r>
  <r>
    <s v="SALE126"/>
    <d v="2025-08-15T00:00:00"/>
    <s v="CUST1131"/>
    <s v="PROD35"/>
    <s v="STORE12"/>
    <n v="1"/>
    <n v="996.48"/>
    <n v="7.0000000000000007E-2"/>
    <s v="COD"/>
    <n v="926.7263999999999"/>
    <n v="635325.77383188379"/>
    <n v="621"/>
    <x v="119"/>
    <n v="0.15287717023820008"/>
    <n v="2.4959481392334824"/>
    <n v="489.72383621841698"/>
    <n v="481.06909999999999"/>
    <x v="7"/>
  </r>
  <r>
    <s v="SALE127"/>
    <d v="2025-09-16T00:00:00"/>
    <s v="CUST1277"/>
    <s v="PROD93"/>
    <s v="STORE6"/>
    <n v="3"/>
    <n v="949.19"/>
    <n v="0.03"/>
    <s v="COD"/>
    <n v="2762.1428999999998"/>
    <n v="635325.77383188379"/>
    <n v="621"/>
    <x v="120"/>
    <n v="0.15292148958057344"/>
    <n v="2.49674768393644"/>
    <n v="489.45298845583989"/>
    <n v="928.59072500000002"/>
    <x v="8"/>
  </r>
  <r>
    <s v="SALE128"/>
    <d v="2024-02-25T00:00:00"/>
    <s v="CUST1397"/>
    <s v="PROD94"/>
    <s v="STORE9"/>
    <n v="2"/>
    <n v="724.97"/>
    <n v="0.1"/>
    <s v="Credit Card"/>
    <n v="1304.9459999999999"/>
    <n v="635325.77383188379"/>
    <n v="621"/>
    <x v="121"/>
    <n v="0.15298725816782899"/>
    <n v="2.4964785650508436"/>
    <n v="489.20713978656499"/>
    <n v="508.00400000000002"/>
    <x v="6"/>
  </r>
  <r>
    <s v="SALE129"/>
    <d v="2025-03-07T00:00:00"/>
    <s v="CUST1315"/>
    <s v="PROD1"/>
    <s v="STORE16"/>
    <n v="1"/>
    <n v="783.25"/>
    <n v="0.3"/>
    <s v="Credit Card"/>
    <n v="548.27499999999998"/>
    <n v="634020.82783188403"/>
    <n v="620"/>
    <x v="122"/>
    <n v="0.15301562393772614"/>
    <n v="2.4967442036624279"/>
    <n v="489.08099593412345"/>
    <n v="333.20624999999995"/>
    <x v="9"/>
  </r>
  <r>
    <s v="SALE130"/>
    <d v="2024-07-22T00:00:00"/>
    <s v="CUST1343"/>
    <s v="PROD17"/>
    <s v="STORE3"/>
    <n v="1"/>
    <n v="942.38"/>
    <n v="0.17"/>
    <s v="Credit Card"/>
    <n v="782.17539999999997"/>
    <n v="633472.55283188401"/>
    <n v="619"/>
    <x v="123"/>
    <n v="0.15293689636618765"/>
    <n v="2.4975454585894421"/>
    <n v="488.92351788055493"/>
    <n v="431.43134999999995"/>
    <x v="0"/>
  </r>
  <r>
    <s v="SALE131"/>
    <d v="2024-06-01T00:00:00"/>
    <s v="CUST1496"/>
    <s v="PROD51"/>
    <s v="STORE11"/>
    <n v="3"/>
    <n v="298.35000000000002"/>
    <n v="0.05"/>
    <s v="COD"/>
    <n v="850.29750000000001"/>
    <n v="632690.37743188394"/>
    <n v="618"/>
    <x v="124"/>
    <n v="0.15292775215202165"/>
    <n v="2.4983475718506041"/>
    <n v="488.68063813651668"/>
    <n v="287.924375"/>
    <x v="2"/>
  </r>
  <r>
    <s v="SALE132"/>
    <d v="2025-01-05T00:00:00"/>
    <s v="CUST1164"/>
    <s v="PROD48"/>
    <s v="STORE12"/>
    <n v="4"/>
    <n v="950.04"/>
    <n v="0.13"/>
    <s v="PayPal"/>
    <n v="3306.1392000000001"/>
    <n v="632690.37743188394"/>
    <n v="618"/>
    <x v="125"/>
    <n v="0.15298294129526668"/>
    <n v="2.4980787334646726"/>
    <n v="488.78263740668632"/>
    <n v="1065.0772999999999"/>
    <x v="4"/>
  </r>
  <r>
    <s v="SALE133"/>
    <d v="2025-09-10T00:00:00"/>
    <s v="CUST1329"/>
    <s v="PROD57"/>
    <s v="STORE4"/>
    <n v="2"/>
    <n v="267.19"/>
    <n v="7.0000000000000007E-2"/>
    <s v="Credit Card"/>
    <n v="496.97340000000003"/>
    <n v="632690.37743188394"/>
    <n v="618"/>
    <x v="126"/>
    <n v="0.15299527119939502"/>
    <n v="2.4972734137507127"/>
    <n v="488.53531442406256"/>
    <n v="191.55835000000002"/>
    <x v="8"/>
  </r>
  <r>
    <s v="SALE134"/>
    <d v="2025-06-19T00:00:00"/>
    <s v="CUST1201"/>
    <s v="PROD87"/>
    <s v="STORE15"/>
    <n v="4"/>
    <n v="72.63"/>
    <n v="0.06"/>
    <s v="PayPal"/>
    <n v="273.08879999999999"/>
    <n v="632193.40403188393"/>
    <n v="617"/>
    <x v="127"/>
    <n v="0.15303982045929809"/>
    <n v="2.4975401913331967"/>
    <n v="488.65406191034157"/>
    <n v="87.444699999999997"/>
    <x v="2"/>
  </r>
  <r>
    <s v="SALE135"/>
    <d v="2024-09-09T00:00:00"/>
    <s v="CUST1427"/>
    <s v="PROD53"/>
    <s v="STORE5"/>
    <n v="3"/>
    <n v="576.52"/>
    <n v="0.22"/>
    <s v="COD"/>
    <n v="1349.0568000000001"/>
    <n v="632193.40403188393"/>
    <n v="617"/>
    <x v="128"/>
    <n v="0.15308978813945884"/>
    <n v="2.4967337180059466"/>
    <n v="488.87737058554842"/>
    <n v="482.19920000000002"/>
    <x v="8"/>
  </r>
  <r>
    <s v="SALE136"/>
    <d v="2025-04-04T00:00:00"/>
    <s v="CUST1349"/>
    <s v="PROD71"/>
    <s v="STORE9"/>
    <n v="3"/>
    <n v="849.36"/>
    <n v="0.03"/>
    <s v="Credit Card"/>
    <n v="2471.6376"/>
    <n v="632193.40403188393"/>
    <n v="617"/>
    <x v="129"/>
    <n v="0.15305383423733063"/>
    <n v="2.4964634353625552"/>
    <n v="488.83030150423025"/>
    <n v="831.00689999999997"/>
    <x v="10"/>
  </r>
  <r>
    <s v="SALE137"/>
    <d v="2024-04-10T00:00:00"/>
    <s v="CUST1473"/>
    <s v="PROD50"/>
    <s v="STORE6"/>
    <n v="1"/>
    <n v="245.85"/>
    <n v="0.18"/>
    <s v="COD"/>
    <n v="201.59700000000001"/>
    <n v="629721.76643188403"/>
    <n v="616"/>
    <x v="130"/>
    <n v="0.15311999221272707"/>
    <n v="2.496192862248833"/>
    <n v="488.63657248838081"/>
    <n v="112.15675"/>
    <x v="10"/>
  </r>
  <r>
    <s v="SALE138"/>
    <d v="2024-10-24T00:00:00"/>
    <s v="CUST1178"/>
    <s v="PROD97"/>
    <s v="STORE10"/>
    <n v="3"/>
    <n v="237.68"/>
    <n v="0.1"/>
    <s v="COD"/>
    <n v="641.73599999999999"/>
    <n v="629721.76643188403"/>
    <n v="616"/>
    <x v="53"/>
    <n v="0.15310553282177103"/>
    <n v="2.4969972670134828"/>
    <n v="488.76710290369715"/>
    <n v="220.62899999999999"/>
    <x v="11"/>
  </r>
  <r>
    <s v="SALE139"/>
    <d v="2025-04-09T00:00:00"/>
    <s v="CUST1337"/>
    <s v="PROD71"/>
    <s v="STORE14"/>
    <n v="4"/>
    <n v="715.85"/>
    <n v="0.25"/>
    <s v="PayPal"/>
    <n v="2147.5500000000002"/>
    <n v="629721.76643188403"/>
    <n v="616"/>
    <x v="131"/>
    <n v="0.15313411491693885"/>
    <n v="2.4967266899650773"/>
    <n v="488.9021685857324"/>
    <n v="716.91250000000002"/>
    <x v="10"/>
  </r>
  <r>
    <s v="SALE140"/>
    <d v="2023-11-25T00:00:00"/>
    <s v="CUST1171"/>
    <s v="PROD90"/>
    <s v="STORE5"/>
    <n v="2"/>
    <n v="478.85"/>
    <n v="0.01"/>
    <s v="COD"/>
    <n v="948.12300000000005"/>
    <n v="629721.76643188403"/>
    <n v="616"/>
    <x v="65"/>
    <n v="0.15308195235092747"/>
    <n v="2.4959176085280297"/>
    <n v="488.78002228249551"/>
    <n v="357.24575000000004"/>
    <x v="3"/>
  </r>
  <r>
    <s v="SALE141"/>
    <d v="2025-03-02T00:00:00"/>
    <s v="CUST1113"/>
    <s v="PROD47"/>
    <s v="STORE0"/>
    <n v="1"/>
    <n v="503.95"/>
    <n v="0.26"/>
    <s v="COD"/>
    <n v="372.923"/>
    <n v="629721.76643188403"/>
    <n v="616"/>
    <x v="132"/>
    <n v="0.15315904392008206"/>
    <n v="2.4961846616290138"/>
    <n v="488.78536962890507"/>
    <n v="219.53325000000001"/>
    <x v="9"/>
  </r>
  <r>
    <s v="SALE142"/>
    <d v="2024-10-08T00:00:00"/>
    <s v="CUST1399"/>
    <s v="PROD66"/>
    <s v="STORE12"/>
    <n v="2"/>
    <n v="975.48"/>
    <n v="0.26"/>
    <s v="COD"/>
    <n v="1443.7103999999999"/>
    <n v="629721.76643188403"/>
    <n v="616"/>
    <x v="133"/>
    <n v="0.15310144771734355"/>
    <n v="2.4969907956061848"/>
    <n v="488.77719903064479"/>
    <n v="605.36259999999993"/>
    <x v="11"/>
  </r>
  <r>
    <s v="SALE143"/>
    <d v="2025-08-15T00:00:00"/>
    <s v="CUST1401"/>
    <s v="PROD34"/>
    <s v="STORE16"/>
    <n v="4"/>
    <n v="450.12"/>
    <n v="0.28999999999999998"/>
    <s v="COD"/>
    <n v="1278.3407999999999"/>
    <n v="629721.76643188403"/>
    <n v="616"/>
    <x v="119"/>
    <n v="0.15304378938277902"/>
    <n v="2.4972587151725492"/>
    <n v="488.51482555303323"/>
    <n v="433.18770000000001"/>
    <x v="7"/>
  </r>
  <r>
    <s v="SALE144"/>
    <d v="2024-06-05T00:00:00"/>
    <s v="CUST1435"/>
    <s v="PROD36"/>
    <s v="STORE8"/>
    <n v="3"/>
    <n v="237.24"/>
    <n v="0.24"/>
    <s v="PayPal"/>
    <n v="540.90719999999999"/>
    <n v="629721.76643188403"/>
    <n v="616"/>
    <x v="134"/>
    <n v="0.15296987885357383"/>
    <n v="2.4964481751052201"/>
    <n v="488.5355347361795"/>
    <n v="195.3468"/>
    <x v="2"/>
  </r>
  <r>
    <s v="SALE145"/>
    <d v="2024-08-18T00:00:00"/>
    <s v="CUST1459"/>
    <s v="PROD54"/>
    <s v="STORE15"/>
    <n v="2"/>
    <n v="536.84"/>
    <n v="0.09"/>
    <s v="COD"/>
    <n v="977.04880000000014"/>
    <n v="629721.76643188403"/>
    <n v="616"/>
    <x v="135"/>
    <n v="0.15292288634755521"/>
    <n v="2.4961764256044674"/>
    <n v="488.67115024332259"/>
    <n v="378.99470000000008"/>
    <x v="7"/>
  </r>
  <r>
    <s v="SALE146"/>
    <d v="2024-11-30T00:00:00"/>
    <s v="CUST1443"/>
    <s v="PROD36"/>
    <s v="STORE19"/>
    <n v="3"/>
    <n v="584.41"/>
    <n v="0.15"/>
    <s v="COD"/>
    <n v="1753.23"/>
    <n v="629721.76643188403"/>
    <n v="616"/>
    <x v="71"/>
    <n v="0.152956880343421"/>
    <n v="2.4964443394411875"/>
    <n v="488.64514114518187"/>
    <n v="585.19749999999999"/>
    <x v="3"/>
  </r>
  <r>
    <s v="SALE147"/>
    <d v="2024-11-21T00:00:00"/>
    <s v="CUST1294"/>
    <s v="PROD82"/>
    <s v="STORE19"/>
    <n v="1"/>
    <n v="653.87"/>
    <n v="0.14000000000000001"/>
    <s v="PayPal"/>
    <n v="562.32820000000004"/>
    <n v="629721.76643188403"/>
    <n v="616"/>
    <x v="136"/>
    <n v="0.15295847865712017"/>
    <n v="2.4961722942436944"/>
    <n v="488.59340432246182"/>
    <n v="304.33455000000004"/>
    <x v="3"/>
  </r>
  <r>
    <s v="SALE148"/>
    <d v="2025-08-09T00:00:00"/>
    <s v="CUST1493"/>
    <s v="PROD87"/>
    <s v="STORE0"/>
    <n v="1"/>
    <n v="652.03"/>
    <n v="0.27"/>
    <s v="Credit Card"/>
    <n v="475.9819"/>
    <n v="629721.76643188403"/>
    <n v="616"/>
    <x v="35"/>
    <n v="0.15296548702848689"/>
    <n v="2.4969810360243665"/>
    <n v="488.5040656220956"/>
    <n v="282.32047499999999"/>
    <x v="7"/>
  </r>
  <r>
    <s v="SALE149"/>
    <d v="2024-07-29T00:00:00"/>
    <s v="CUST1093"/>
    <s v="PROD5"/>
    <s v="STORE12"/>
    <n v="3"/>
    <n v="513.36"/>
    <n v="7.0000000000000007E-2"/>
    <s v="COD"/>
    <n v="1432.2744"/>
    <n v="629245.78453188401"/>
    <n v="615"/>
    <x v="137"/>
    <n v="0.15290215666432483"/>
    <n v="2.497790652593336"/>
    <n v="488.41562541961969"/>
    <n v="487.17610000000002"/>
    <x v="0"/>
  </r>
  <r>
    <s v="SALE150"/>
    <d v="2024-05-21T00:00:00"/>
    <s v="CUST1068"/>
    <s v="PROD52"/>
    <s v="STORE5"/>
    <n v="4"/>
    <n v="355.64"/>
    <n v="0.16"/>
    <s v="COD"/>
    <n v="1194.9503999999999"/>
    <n v="629245.78453188401"/>
    <n v="615"/>
    <x v="138"/>
    <n v="0.15294704142700177"/>
    <n v="2.4975188942884627"/>
    <n v="488.40212738142685"/>
    <n v="388.68759999999997"/>
    <x v="5"/>
  </r>
  <r>
    <s v="SALE151"/>
    <d v="2024-10-29T00:00:00"/>
    <s v="CUST1022"/>
    <s v="PROD13"/>
    <s v="STORE8"/>
    <n v="4"/>
    <n v="535.4"/>
    <n v="0.26"/>
    <s v="PayPal"/>
    <n v="1584.7840000000001"/>
    <n v="629245.78453188401"/>
    <n v="615"/>
    <x v="139"/>
    <n v="0.15294322075605216"/>
    <n v="2.4967054231971191"/>
    <n v="488.47400725548283"/>
    <n v="531.11099999999999"/>
    <x v="11"/>
  </r>
  <r>
    <s v="SALE152"/>
    <d v="2025-05-21T00:00:00"/>
    <s v="CUST1243"/>
    <s v="PROD69"/>
    <s v="STORE19"/>
    <n v="2"/>
    <n v="108.74"/>
    <n v="0.11"/>
    <s v="PayPal"/>
    <n v="193.55719999999999"/>
    <n v="629245.78453188401"/>
    <n v="615"/>
    <x v="104"/>
    <n v="0.15288519540144838"/>
    <n v="2.4958910707719815"/>
    <n v="488.44858689104916"/>
    <n v="76.101799999999997"/>
    <x v="5"/>
  </r>
  <r>
    <s v="SALE153"/>
    <d v="2024-10-14T00:00:00"/>
    <s v="CUST1314"/>
    <s v="PROD11"/>
    <s v="STORE19"/>
    <n v="3"/>
    <n v="591.98"/>
    <n v="0.16"/>
    <s v="Credit Card"/>
    <n v="1491.7896000000001"/>
    <n v="629245.78453188401"/>
    <n v="615"/>
    <x v="140"/>
    <n v="0.15290845201500664"/>
    <n v="2.4961598464200963"/>
    <n v="488.65439100318525"/>
    <n v="521.73239999999998"/>
    <x v="11"/>
  </r>
  <r>
    <s v="SALE154"/>
    <d v="2024-11-17T00:00:00"/>
    <s v="CUST1405"/>
    <s v="PROD48"/>
    <s v="STORE2"/>
    <n v="1"/>
    <n v="345.06"/>
    <n v="0.13"/>
    <s v="COD"/>
    <n v="300.2022"/>
    <n v="627753.99493188399"/>
    <n v="614"/>
    <x v="141"/>
    <n v="0.15290460418647434"/>
    <n v="2.4958866142326892"/>
    <n v="488.59835759266639"/>
    <n v="161.59805"/>
    <x v="3"/>
  </r>
  <r>
    <s v="SALE155"/>
    <d v="2025-03-29T00:00:00"/>
    <s v="CUST1307"/>
    <s v="PROD93"/>
    <s v="STORE12"/>
    <n v="4"/>
    <n v="986.41"/>
    <n v="0.22"/>
    <s v="Credit Card"/>
    <n v="3077.5992000000001"/>
    <n v="627753.99493188399"/>
    <n v="614"/>
    <x v="142"/>
    <n v="0.15291703882501206"/>
    <n v="2.4966982727320017"/>
    <n v="488.67624058647681"/>
    <n v="1017.0573000000001"/>
    <x v="9"/>
  </r>
  <r>
    <s v="SALE156"/>
    <d v="2024-07-21T00:00:00"/>
    <s v="CUST1319"/>
    <s v="PROD49"/>
    <s v="STORE0"/>
    <n v="2"/>
    <n v="921.52"/>
    <n v="0.15"/>
    <s v="PayPal"/>
    <n v="1843.04"/>
    <n v="624676.39573188417"/>
    <n v="613"/>
    <x v="143"/>
    <n v="0.15288060049737764"/>
    <n v="2.4958821480157867"/>
    <n v="488.40602681915135"/>
    <n v="691.67750000000001"/>
    <x v="0"/>
  </r>
  <r>
    <s v="SALE157"/>
    <d v="2025-08-14T00:00:00"/>
    <s v="CUST1097"/>
    <s v="PROD55"/>
    <s v="STORE5"/>
    <n v="1"/>
    <n v="83.1"/>
    <n v="0.04"/>
    <s v="PayPal"/>
    <n v="79.775999999999996"/>
    <n v="624676.39573188417"/>
    <n v="613"/>
    <x v="144"/>
    <n v="0.1528821660411262"/>
    <n v="2.4961515027947194"/>
    <n v="488.17076664903681"/>
    <n v="40.978999999999999"/>
    <x v="7"/>
  </r>
  <r>
    <s v="SALE158"/>
    <d v="2024-11-05T00:00:00"/>
    <s v="CUST1369"/>
    <s v="PROD28"/>
    <s v="STORE11"/>
    <n v="2"/>
    <n v="60.98"/>
    <n v="0.23"/>
    <s v="PayPal"/>
    <n v="93.909199999999998"/>
    <n v="624676.39573188417"/>
    <n v="613"/>
    <x v="145"/>
    <n v="0.15294354840438948"/>
    <n v="2.496964628611456"/>
    <n v="488.39091380482432"/>
    <n v="39.279799999999994"/>
    <x v="3"/>
  </r>
  <r>
    <s v="SALE159"/>
    <d v="2024-06-11T00:00:00"/>
    <s v="CUST1394"/>
    <s v="PROD89"/>
    <s v="STORE16"/>
    <n v="2"/>
    <n v="122.23"/>
    <n v="0.21"/>
    <s v="COD"/>
    <n v="193.1234"/>
    <n v="624676.39573188417"/>
    <n v="613"/>
    <x v="146"/>
    <n v="0.15290162432843971"/>
    <n v="2.4972348649511029"/>
    <n v="488.6233286573555"/>
    <n v="79.39085"/>
    <x v="2"/>
  </r>
  <r>
    <s v="SALE160"/>
    <d v="2025-09-18T00:00:00"/>
    <s v="CUST1020"/>
    <s v="PROD70"/>
    <s v="STORE18"/>
    <n v="2"/>
    <n v="623.38"/>
    <n v="0.13"/>
    <s v="Credit Card"/>
    <n v="1084.6812"/>
    <n v="624676.39573188417"/>
    <n v="613"/>
    <x v="147"/>
    <n v="0.15287054192469907"/>
    <n v="2.497505395345526"/>
    <n v="488.82267214411138"/>
    <n v="427.5478"/>
    <x v="8"/>
  </r>
  <r>
    <s v="SALE161"/>
    <d v="2025-03-13T00:00:00"/>
    <s v="CUST1058"/>
    <s v="PROD70"/>
    <s v="STORE0"/>
    <n v="1"/>
    <n v="479.58"/>
    <n v="0.05"/>
    <s v="PayPal"/>
    <n v="455.60099999999989"/>
    <n v="623591.71453188406"/>
    <n v="612"/>
    <x v="148"/>
    <n v="0.15288299864688029"/>
    <n v="2.4977762202749467"/>
    <n v="488.74942373482673"/>
    <n v="234.05774999999997"/>
    <x v="9"/>
  </r>
  <r>
    <s v="SALE162"/>
    <d v="2023-12-16T00:00:00"/>
    <s v="CUST1298"/>
    <s v="PROD73"/>
    <s v="STORE6"/>
    <n v="3"/>
    <n v="369.32"/>
    <n v="0.14000000000000001"/>
    <s v="PayPal"/>
    <n v="952.84559999999999"/>
    <n v="623591.71453188406"/>
    <n v="612"/>
    <x v="149"/>
    <n v="0.15293906567611565"/>
    <n v="2.4985920025299988"/>
    <n v="488.75441797433371"/>
    <n v="331.32639999999998"/>
    <x v="1"/>
  </r>
  <r>
    <s v="SALE163"/>
    <d v="2025-07-13T00:00:00"/>
    <s v="CUST1076"/>
    <s v="PROD32"/>
    <s v="STORE1"/>
    <n v="1"/>
    <n v="488.31"/>
    <n v="0.03"/>
    <s v="PayPal"/>
    <n v="473.66070000000002"/>
    <n v="623591.71453188406"/>
    <n v="612"/>
    <x v="103"/>
    <n v="0.15294612078280928"/>
    <n v="2.4983187556648927"/>
    <n v="488.81950485061401"/>
    <n v="240.75017500000001"/>
    <x v="0"/>
  </r>
  <r>
    <s v="SALE164"/>
    <d v="2024-05-06T00:00:00"/>
    <s v="CUST1276"/>
    <s v="PROD54"/>
    <s v="STORE12"/>
    <n v="4"/>
    <n v="164.04"/>
    <n v="0.26"/>
    <s v="Credit Card"/>
    <n v="485.55839999999989"/>
    <n v="623591.71453188406"/>
    <n v="612"/>
    <x v="150"/>
    <n v="0.15301319449845727"/>
    <n v="2.4991357233615474"/>
    <n v="488.81978266132859"/>
    <n v="163.46459999999996"/>
    <x v="5"/>
  </r>
  <r>
    <s v="SALE165"/>
    <d v="2024-08-04T00:00:00"/>
    <s v="CUST1073"/>
    <s v="PROD10"/>
    <s v="STORE17"/>
    <n v="3"/>
    <n v="707.95"/>
    <n v="0.18"/>
    <s v="PayPal"/>
    <n v="1741.557"/>
    <n v="623106.15613188408"/>
    <n v="611"/>
    <x v="151"/>
    <n v="0.15295479558715736"/>
    <n v="2.4983169212466327"/>
    <n v="488.99696748547558"/>
    <n v="613.17174999999997"/>
    <x v="7"/>
  </r>
  <r>
    <s v="SALE166"/>
    <d v="2023-12-09T00:00:00"/>
    <s v="CUST1295"/>
    <s v="PROD69"/>
    <s v="STORE8"/>
    <n v="4"/>
    <n v="714.47"/>
    <n v="0.18"/>
    <s v="COD"/>
    <n v="2343.4616000000001"/>
    <n v="623106.15613188408"/>
    <n v="611"/>
    <x v="152"/>
    <n v="0.15294002485836822"/>
    <n v="2.4980430767713311"/>
    <n v="488.87745163803311"/>
    <n v="765.52790000000005"/>
    <x v="1"/>
  </r>
  <r>
    <s v="SALE167"/>
    <d v="2025-07-28T00:00:00"/>
    <s v="CUST1415"/>
    <s v="PROD79"/>
    <s v="STORE7"/>
    <n v="4"/>
    <n v="422.09"/>
    <n v="0.04"/>
    <s v="Credit Card"/>
    <n v="1620.8255999999999"/>
    <n v="623106.15613188408"/>
    <n v="611"/>
    <x v="153"/>
    <n v="0.1529252379867061"/>
    <n v="2.4972227835309"/>
    <n v="488.75424434782997"/>
    <n v="511.73889999999994"/>
    <x v="0"/>
  </r>
  <r>
    <s v="SALE168"/>
    <d v="2024-06-19T00:00:00"/>
    <s v="CUST1108"/>
    <s v="PROD30"/>
    <s v="STORE9"/>
    <n v="1"/>
    <n v="998.19"/>
    <n v="0.2"/>
    <s v="Credit Card"/>
    <n v="798.55200000000013"/>
    <n v="621485.33053188422"/>
    <n v="610"/>
    <x v="55"/>
    <n v="0.15298697950556162"/>
    <n v="2.4964015937951243"/>
    <n v="488.79067289665386"/>
    <n v="449.48550000000006"/>
    <x v="2"/>
  </r>
  <r>
    <s v="SALE169"/>
    <d v="2024-01-22T00:00:00"/>
    <s v="CUST1373"/>
    <s v="PROD72"/>
    <s v="STORE7"/>
    <n v="2"/>
    <n v="343.42"/>
    <n v="0.12"/>
    <s v="COD"/>
    <n v="604.41920000000005"/>
    <n v="620686.77853188419"/>
    <n v="609"/>
    <x v="154"/>
    <n v="0.1529612612230154"/>
    <n v="2.4972197466621529"/>
    <n v="488.51216041600696"/>
    <n v="237.4898"/>
    <x v="4"/>
  </r>
  <r>
    <s v="SALE170"/>
    <d v="2024-04-08T00:00:00"/>
    <s v="CUST1256"/>
    <s v="PROD34"/>
    <s v="STORE6"/>
    <n v="1"/>
    <n v="152.16999999999999"/>
    <n v="0.28000000000000003"/>
    <s v="COD"/>
    <n v="109.5624"/>
    <n v="620686.77853188419"/>
    <n v="609"/>
    <x v="155"/>
    <n v="0.15297930241689775"/>
    <n v="2.4974917487117496"/>
    <n v="488.59153249500918"/>
    <n v="65.753099999999989"/>
    <x v="10"/>
  </r>
  <r>
    <s v="SALE171"/>
    <d v="2025-05-18T00:00:00"/>
    <s v="CUST1175"/>
    <s v="PROD49"/>
    <s v="STORE11"/>
    <n v="1"/>
    <n v="325.08"/>
    <n v="0.26"/>
    <s v="PayPal"/>
    <n v="240.5592"/>
    <n v="620686.77853188419"/>
    <n v="609"/>
    <x v="156"/>
    <n v="0.15290974015097053"/>
    <n v="2.4983113938944048"/>
    <n v="488.77567126484769"/>
    <n v="141.72479999999999"/>
    <x v="5"/>
  </r>
  <r>
    <s v="SALE172"/>
    <d v="2023-12-07T00:00:00"/>
    <s v="CUST1344"/>
    <s v="PROD89"/>
    <s v="STORE10"/>
    <n v="2"/>
    <n v="827.92"/>
    <n v="0.25"/>
    <s v="COD"/>
    <n v="1241.8800000000001"/>
    <n v="620686.77853188419"/>
    <n v="609"/>
    <x v="157"/>
    <n v="0.15285106055653272"/>
    <n v="2.4991319368264393"/>
    <n v="488.86531840135638"/>
    <n v="518.01250000000005"/>
    <x v="1"/>
  </r>
  <r>
    <s v="SALE173"/>
    <d v="2024-01-23T00:00:00"/>
    <s v="CUST1485"/>
    <s v="PROD26"/>
    <s v="STORE2"/>
    <n v="2"/>
    <n v="593.47"/>
    <n v="0.1"/>
    <s v="COD"/>
    <n v="1068.2460000000001"/>
    <n v="620686.77853188419"/>
    <n v="609"/>
    <x v="158"/>
    <n v="0.15279779907657468"/>
    <n v="2.4994054337781249"/>
    <n v="488.67953501417895"/>
    <n v="415.95400000000006"/>
    <x v="4"/>
  </r>
  <r>
    <s v="SALE174"/>
    <d v="2023-12-07T00:00:00"/>
    <s v="CUST1293"/>
    <s v="PROD20"/>
    <s v="STORE7"/>
    <n v="4"/>
    <n v="756.28"/>
    <n v="0.05"/>
    <s v="COD"/>
    <n v="2873.864"/>
    <n v="620686.77853188419"/>
    <n v="609"/>
    <x v="157"/>
    <n v="0.15282676111666055"/>
    <n v="2.4996792306168194"/>
    <n v="488.62208410135787"/>
    <n v="908.54849999999999"/>
    <x v="1"/>
  </r>
  <r>
    <s v="SALE175"/>
    <d v="2024-12-15T00:00:00"/>
    <s v="CUST1377"/>
    <s v="PROD92"/>
    <s v="STORE1"/>
    <n v="2"/>
    <n v="707.65"/>
    <n v="0.14000000000000001"/>
    <s v="Credit Card"/>
    <n v="1217.1579999999999"/>
    <n v="620686.77853188419"/>
    <n v="609"/>
    <x v="159"/>
    <n v="0.15288319731924926"/>
    <n v="2.4988562351316945"/>
    <n v="488.4752613279631"/>
    <n v="481.73699999999997"/>
    <x v="1"/>
  </r>
  <r>
    <s v="SALE176"/>
    <d v="2024-03-20T00:00:00"/>
    <s v="CUST1128"/>
    <s v="PROD25"/>
    <s v="STORE15"/>
    <n v="1"/>
    <n v="857.35"/>
    <n v="0.28000000000000003"/>
    <s v="PayPal"/>
    <n v="617.29200000000003"/>
    <n v="619469.62053188414"/>
    <n v="608"/>
    <x v="160"/>
    <n v="0.1528902721118463"/>
    <n v="2.4991300310895053"/>
    <n v="488.35496783802233"/>
    <n v="368.98050000000001"/>
    <x v="9"/>
  </r>
  <r>
    <s v="SALE177"/>
    <d v="2025-01-13T00:00:00"/>
    <s v="CUST1499"/>
    <s v="PROD55"/>
    <s v="STORE8"/>
    <n v="1"/>
    <n v="79"/>
    <n v="0.04"/>
    <s v="PayPal"/>
    <n v="75.84"/>
    <n v="619469.62053188414"/>
    <n v="608"/>
    <x v="161"/>
    <n v="0.15282043160201766"/>
    <n v="2.4999532765760999"/>
    <n v="488.15233465177192"/>
    <n v="38.97"/>
    <x v="4"/>
  </r>
  <r>
    <s v="SALE178"/>
    <d v="2025-08-16T00:00:00"/>
    <s v="CUST1066"/>
    <s v="PROD94"/>
    <s v="STORE5"/>
    <n v="4"/>
    <n v="638.91"/>
    <n v="0.15"/>
    <s v="COD"/>
    <n v="2555.64"/>
    <n v="619469.62053188414"/>
    <n v="608"/>
    <x v="77"/>
    <n v="0.15288245492890171"/>
    <n v="2.5007774267280647"/>
    <n v="488.37714362685534"/>
    <n v="799.67499999999995"/>
    <x v="7"/>
  </r>
  <r>
    <s v="SALE179"/>
    <d v="2025-06-04T00:00:00"/>
    <s v="CUST1081"/>
    <s v="PROD45"/>
    <s v="STORE0"/>
    <n v="2"/>
    <n v="522.16999999999996"/>
    <n v="0.27"/>
    <s v="Credit Card"/>
    <n v="762.36819999999989"/>
    <n v="619469.62053188414"/>
    <n v="608"/>
    <x v="162"/>
    <n v="0.15288404043766349"/>
    <n v="2.4999532252034515"/>
    <n v="488.29438779597399"/>
    <n v="321.70204999999999"/>
    <x v="2"/>
  </r>
  <r>
    <s v="SALE180"/>
    <d v="2023-11-05T00:00:00"/>
    <s v="CUST1478"/>
    <s v="PROD39"/>
    <s v="STORE12"/>
    <n v="3"/>
    <n v="954.29"/>
    <n v="0.27"/>
    <s v="Credit Card"/>
    <n v="2089.8951000000002"/>
    <n v="618707.25233188423"/>
    <n v="607"/>
    <x v="163"/>
    <n v="0.1528195847637161"/>
    <n v="2.5002282269774909"/>
    <n v="488.27575434591671"/>
    <n v="761.86377500000003"/>
    <x v="3"/>
  </r>
  <r>
    <s v="SALE181"/>
    <d v="2025-02-22T00:00:00"/>
    <s v="CUST1462"/>
    <s v="PROD33"/>
    <s v="STORE13"/>
    <n v="3"/>
    <n v="53.92"/>
    <n v="0.15"/>
    <s v="PayPal"/>
    <n v="137.49600000000001"/>
    <n v="616617.35723188415"/>
    <n v="606"/>
    <x v="27"/>
    <n v="0.15275505810334369"/>
    <n v="2.4999531737177092"/>
    <n v="488.01927980235365"/>
    <n v="48.641500000000001"/>
    <x v="6"/>
  </r>
  <r>
    <s v="SALE182"/>
    <d v="2025-04-06T00:00:00"/>
    <s v="CUST1396"/>
    <s v="PROD34"/>
    <s v="STORE0"/>
    <n v="4"/>
    <n v="741.88"/>
    <n v="0.02"/>
    <s v="COD"/>
    <n v="2908.1696000000002"/>
    <n v="616617.35723188415"/>
    <n v="606"/>
    <x v="164"/>
    <n v="0.15275657604169265"/>
    <n v="2.4996778175358365"/>
    <n v="488.25832125598936"/>
    <n v="913.51740000000007"/>
    <x v="10"/>
  </r>
  <r>
    <s v="SALE183"/>
    <d v="2024-10-29T00:00:00"/>
    <s v="CUST1033"/>
    <s v="PROD46"/>
    <s v="STORE3"/>
    <n v="1"/>
    <n v="547.09"/>
    <n v="0.01"/>
    <s v="PayPal"/>
    <n v="541.6191"/>
    <n v="616617.35723188415"/>
    <n v="606"/>
    <x v="139"/>
    <n v="0.15282976048272995"/>
    <n v="2.4988511937438451"/>
    <n v="488.11858479387138"/>
    <n v="272.42977500000001"/>
    <x v="11"/>
  </r>
  <r>
    <s v="SALE184"/>
    <d v="2025-01-29T00:00:00"/>
    <s v="CUST1489"/>
    <s v="PROD89"/>
    <s v="STORE3"/>
    <n v="1"/>
    <n v="789.35"/>
    <n v="0.14000000000000001"/>
    <s v="PayPal"/>
    <n v="678.84100000000001"/>
    <n v="616617.35723188415"/>
    <n v="606"/>
    <x v="165"/>
    <n v="0.15290854137654281"/>
    <n v="2.4996774623181253"/>
    <n v="488.08607574469494"/>
    <n v="367.33275000000003"/>
    <x v="4"/>
  </r>
  <r>
    <s v="SALE185"/>
    <d v="2024-03-03T00:00:00"/>
    <s v="CUST1428"/>
    <s v="PROD63"/>
    <s v="STORE3"/>
    <n v="3"/>
    <n v="476.78"/>
    <n v="0.09"/>
    <s v="COD"/>
    <n v="1301.6094000000001"/>
    <n v="616617.35723188415"/>
    <n v="606"/>
    <x v="166"/>
    <n v="0.15291566529562478"/>
    <n v="2.5005046423855921"/>
    <n v="487.91990700544767"/>
    <n v="445.36984999999999"/>
    <x v="9"/>
  </r>
  <r>
    <s v="SALE186"/>
    <d v="2024-11-04T00:00:00"/>
    <s v="CUST1453"/>
    <s v="PROD79"/>
    <s v="STORE18"/>
    <n v="2"/>
    <n v="504.26"/>
    <n v="0.04"/>
    <s v="PayPal"/>
    <n v="968.17919999999992"/>
    <n v="616617.35723188415"/>
    <n v="606"/>
    <x v="167"/>
    <n v="0.15295040613786423"/>
    <n v="2.5002289826959592"/>
    <n v="487.92605485699596"/>
    <n v="368.6198"/>
    <x v="3"/>
  </r>
  <r>
    <s v="SALE187"/>
    <d v="2024-09-03T00:00:00"/>
    <s v="CUST1272"/>
    <s v="PROD81"/>
    <s v="STORE6"/>
    <n v="2"/>
    <n v="549.33000000000004"/>
    <n v="0.01"/>
    <s v="COD"/>
    <n v="1087.6733999999999"/>
    <n v="616617.35723188415"/>
    <n v="606"/>
    <x v="44"/>
    <n v="0.15301280967716693"/>
    <n v="2.5005051996935825"/>
    <n v="487.91703556094791"/>
    <n v="409.75334999999995"/>
    <x v="8"/>
  </r>
  <r>
    <s v="SALE188"/>
    <d v="2024-04-29T00:00:00"/>
    <s v="CUST1382"/>
    <s v="PROD4"/>
    <s v="STORE3"/>
    <n v="3"/>
    <n v="620.22"/>
    <n v="0.04"/>
    <s v="Credit Card"/>
    <n v="1786.2336"/>
    <n v="616617.35723188415"/>
    <n v="606"/>
    <x v="168"/>
    <n v="0.15309186595670102"/>
    <n v="2.5007817219033579"/>
    <n v="487.88310574634073"/>
    <n v="602.37339999999995"/>
    <x v="10"/>
  </r>
  <r>
    <s v="SALE189"/>
    <d v="2024-04-29T00:00:00"/>
    <s v="CUST1091"/>
    <s v="PROD46"/>
    <s v="STORE3"/>
    <n v="1"/>
    <n v="580.76"/>
    <n v="0.1"/>
    <s v="COD"/>
    <n v="522.68399999999997"/>
    <n v="614831.12363188411"/>
    <n v="605"/>
    <x v="168"/>
    <n v="0.15315441676751779"/>
    <n v="2.5005057582338743"/>
    <n v="487.80995102314904"/>
    <n v="276.13599999999997"/>
    <x v="10"/>
  </r>
  <r>
    <s v="SALE190"/>
    <d v="2025-04-28T00:00:00"/>
    <s v="CUST1334"/>
    <s v="PROD71"/>
    <s v="STORE9"/>
    <n v="3"/>
    <n v="444.55"/>
    <n v="0.14000000000000001"/>
    <s v="PayPal"/>
    <n v="1146.9390000000001"/>
    <n v="614831.12363188411"/>
    <n v="605"/>
    <x v="169"/>
    <n v="0.15318383260413512"/>
    <n v="2.5013356839851095"/>
    <n v="487.75854059783006"/>
    <n v="398.65725000000003"/>
    <x v="10"/>
  </r>
  <r>
    <s v="SALE191"/>
    <d v="2024-06-16T00:00:00"/>
    <s v="CUST1138"/>
    <s v="PROD46"/>
    <s v="STORE18"/>
    <n v="1"/>
    <n v="804.9"/>
    <n v="0.03"/>
    <s v="PayPal"/>
    <n v="780.75299999999993"/>
    <n v="614831.12363188411"/>
    <n v="605"/>
    <x v="170"/>
    <n v="0.15319113262218834"/>
    <n v="2.5010597214416594"/>
    <n v="487.78245235244975"/>
    <n v="396.67075"/>
    <x v="2"/>
  </r>
  <r>
    <s v="SALE192"/>
    <d v="2024-11-21T00:00:00"/>
    <s v="CUST1424"/>
    <s v="PROD92"/>
    <s v="STORE14"/>
    <n v="3"/>
    <n v="361.65"/>
    <n v="0.15"/>
    <s v="COD"/>
    <n v="922.20749999999987"/>
    <n v="614831.12363188411"/>
    <n v="605"/>
    <x v="136"/>
    <n v="0.1532593825571591"/>
    <n v="2.5018908730039198"/>
    <n v="487.60686124079547"/>
    <n v="321.75187499999993"/>
    <x v="3"/>
  </r>
  <r>
    <s v="SALE193"/>
    <d v="2025-04-16T00:00:00"/>
    <s v="CUST1162"/>
    <s v="PROD7"/>
    <s v="STORE4"/>
    <n v="1"/>
    <n v="271.76"/>
    <n v="0.03"/>
    <s v="Credit Card"/>
    <n v="263.60719999999998"/>
    <n v="614831.12363188411"/>
    <n v="605"/>
    <x v="171"/>
    <n v="0.15326118931023952"/>
    <n v="2.5016149122687419"/>
    <n v="487.67664343538871"/>
    <n v="134.09929999999997"/>
    <x v="10"/>
  </r>
  <r>
    <s v="SALE194"/>
    <d v="2024-11-22T00:00:00"/>
    <s v="CUST1323"/>
    <s v="PROD49"/>
    <s v="STORE10"/>
    <n v="3"/>
    <n v="958.15"/>
    <n v="0.24"/>
    <s v="COD"/>
    <n v="2184.5819999999999"/>
    <n v="614567.51643188414"/>
    <n v="604"/>
    <x v="172"/>
    <n v="0.15332955380791577"/>
    <n v="2.5024472930405093"/>
    <n v="487.79633115347929"/>
    <n v="786.49299999999994"/>
    <x v="3"/>
  </r>
  <r>
    <s v="SALE195"/>
    <d v="2023-12-30T00:00:00"/>
    <s v="CUST1427"/>
    <s v="PROD60"/>
    <s v="STORE17"/>
    <n v="1"/>
    <n v="889.19"/>
    <n v="0.03"/>
    <s v="Credit Card"/>
    <n v="862.51430000000005"/>
    <n v="614567.51643188414"/>
    <n v="604"/>
    <x v="63"/>
    <n v="0.15328145700092791"/>
    <n v="2.502171334800376"/>
    <n v="487.53545834768539"/>
    <n v="438.18357500000002"/>
    <x v="1"/>
  </r>
  <r>
    <s v="SALE196"/>
    <d v="2025-09-04T00:00:00"/>
    <s v="CUST1464"/>
    <s v="PROD57"/>
    <s v="STORE16"/>
    <n v="4"/>
    <n v="689.67"/>
    <n v="0.05"/>
    <s v="COD"/>
    <n v="2620.7460000000001"/>
    <n v="613705.00213188434"/>
    <n v="603"/>
    <x v="173"/>
    <n v="0.15334990867055642"/>
    <n v="2.5030049481937171"/>
    <n v="487.31256459538105"/>
    <n v="828.61649999999997"/>
    <x v="8"/>
  </r>
  <r>
    <s v="SALE197"/>
    <d v="2023-10-28T00:00:00"/>
    <s v="CUST1135"/>
    <s v="PROD44"/>
    <s v="STORE11"/>
    <n v="1"/>
    <n v="541.24"/>
    <n v="0.03"/>
    <s v="PayPal"/>
    <n v="525.00279999999998"/>
    <n v="613705.00213188434"/>
    <n v="603"/>
    <x v="174"/>
    <n v="0.15340732528648449"/>
    <n v="2.5021737460550133"/>
    <n v="487.20020621925408"/>
    <n v="266.81819999999999"/>
    <x v="11"/>
  </r>
  <r>
    <s v="SALE198"/>
    <d v="2024-11-04T00:00:00"/>
    <s v="CUST1448"/>
    <s v="PROD81"/>
    <s v="STORE6"/>
    <n v="1"/>
    <n v="454.71"/>
    <n v="0.16"/>
    <s v="PayPal"/>
    <n v="381.95639999999997"/>
    <n v="613705.00213188434"/>
    <n v="603"/>
    <x v="167"/>
    <n v="0.15347592302149646"/>
    <n v="2.5030082870250436"/>
    <n v="487.17018411159808"/>
    <n v="209.45659999999998"/>
    <x v="3"/>
  </r>
  <r>
    <s v="SALE199"/>
    <d v="2024-12-20T00:00:00"/>
    <s v="CUST1038"/>
    <s v="PROD66"/>
    <s v="STORE5"/>
    <n v="2"/>
    <n v="397.63"/>
    <n v="0.26"/>
    <s v="Credit Card"/>
    <n v="588.49239999999998"/>
    <n v="613705.00213188434"/>
    <n v="603"/>
    <x v="175"/>
    <n v="0.1534722945025985"/>
    <n v="2.503843755778254"/>
    <n v="487.18822757136002"/>
    <n v="247.09559999999999"/>
    <x v="1"/>
  </r>
  <r>
    <s v="SALE200"/>
    <d v="2025-03-09T00:00:00"/>
    <s v="CUST1170"/>
    <s v="PROD83"/>
    <s v="STORE6"/>
    <n v="3"/>
    <n v="748.56"/>
    <n v="0.26"/>
    <s v="PayPal"/>
    <n v="1661.8032000000001"/>
    <n v="613116.50973188423"/>
    <n v="602"/>
    <x v="176"/>
    <n v="0.15341301364255547"/>
    <n v="2.5041239803365283"/>
    <n v="487.23803748658327"/>
    <n v="603.4058"/>
    <x v="9"/>
  </r>
  <r>
    <s v="SALE201"/>
    <d v="2025-03-26T00:00:00"/>
    <s v="CUST1144"/>
    <s v="PROD33"/>
    <s v="STORE4"/>
    <n v="1"/>
    <n v="885.72"/>
    <n v="0.15"/>
    <s v="Credit Card"/>
    <n v="752.86199999999997"/>
    <n v="613116.50973188423"/>
    <n v="602"/>
    <x v="177"/>
    <n v="0.15335366676819159"/>
    <n v="2.5038480337479569"/>
    <n v="487.09261624979217"/>
    <n v="409.93299999999999"/>
    <x v="9"/>
  </r>
  <r>
    <s v="SALE202"/>
    <d v="2025-04-03T00:00:00"/>
    <s v="CUST1108"/>
    <s v="PROD62"/>
    <s v="STORE1"/>
    <n v="4"/>
    <n v="408.07"/>
    <n v="0.28000000000000003"/>
    <s v="COD"/>
    <n v="1175.2416000000001"/>
    <n v="612363.64773188427"/>
    <n v="601"/>
    <x v="178"/>
    <n v="0.15335553510622404"/>
    <n v="2.5046853656153001"/>
    <n v="486.870663363517"/>
    <n v="396.89789999999999"/>
    <x v="10"/>
  </r>
  <r>
    <s v="SALE203"/>
    <d v="2024-02-05T00:00:00"/>
    <s v="CUST1472"/>
    <s v="PROD34"/>
    <s v="STORE9"/>
    <n v="2"/>
    <n v="597.07000000000005"/>
    <n v="0.28000000000000003"/>
    <s v="PayPal"/>
    <n v="859.7808"/>
    <n v="612363.64773188427"/>
    <n v="601"/>
    <x v="179"/>
    <n v="0.15328494175901455"/>
    <n v="2.5038523212507404"/>
    <n v="486.91456345452735"/>
    <n v="364.78269999999998"/>
    <x v="6"/>
  </r>
  <r>
    <s v="SALE204"/>
    <d v="2024-06-22T00:00:00"/>
    <s v="CUST1022"/>
    <s v="PROD67"/>
    <s v="STORE9"/>
    <n v="3"/>
    <n v="723.47"/>
    <n v="0.12"/>
    <s v="COD"/>
    <n v="1909.9608000000001"/>
    <n v="612363.64773188427"/>
    <n v="601"/>
    <x v="180"/>
    <n v="0.1532142696685288"/>
    <n v="2.5041331753874458"/>
    <n v="486.85316131598472"/>
    <n v="659.1377"/>
    <x v="2"/>
  </r>
  <r>
    <s v="SALE205"/>
    <d v="2025-08-14T00:00:00"/>
    <s v="CUST1437"/>
    <s v="PROD88"/>
    <s v="STORE5"/>
    <n v="1"/>
    <n v="479.93"/>
    <n v="0.22"/>
    <s v="Credit Card"/>
    <n v="374.34539999999998"/>
    <n v="612363.64773188427"/>
    <n v="601"/>
    <x v="144"/>
    <n v="0.15323280441722775"/>
    <n v="2.5038566183185043"/>
    <n v="486.72119431169915"/>
    <n v="213.87385"/>
    <x v="7"/>
  </r>
  <r>
    <s v="SALE206"/>
    <d v="2024-06-02T00:00:00"/>
    <s v="CUST1243"/>
    <s v="PROD34"/>
    <s v="STORE16"/>
    <n v="4"/>
    <n v="362.81"/>
    <n v="0.21"/>
    <s v="COD"/>
    <n v="1146.4795999999999"/>
    <n v="611989.30233188428"/>
    <n v="600"/>
    <x v="181"/>
    <n v="0.15319552513437862"/>
    <n v="2.5046958240206911"/>
    <n v="486.72498404066766"/>
    <n v="378.37489999999997"/>
    <x v="2"/>
  </r>
  <r>
    <s v="SALE207"/>
    <d v="2024-12-14T00:00:00"/>
    <s v="CUST1185"/>
    <s v="PROD79"/>
    <s v="STORE3"/>
    <n v="1"/>
    <n v="127.11"/>
    <n v="0.01"/>
    <s v="PayPal"/>
    <n v="125.8389"/>
    <n v="611989.30233188428"/>
    <n v="600"/>
    <x v="182"/>
    <n v="0.15316379079087827"/>
    <n v="2.5038609249832935"/>
    <n v="486.794171636447"/>
    <n v="63.489725"/>
    <x v="1"/>
  </r>
  <r>
    <s v="SALE208"/>
    <d v="2024-04-29T00:00:00"/>
    <s v="CUST1184"/>
    <s v="PROD34"/>
    <s v="STORE17"/>
    <n v="4"/>
    <n v="931.26"/>
    <n v="0.04"/>
    <s v="Credit Card"/>
    <n v="3576.0383999999999"/>
    <n v="611989.30233188428"/>
    <n v="600"/>
    <x v="168"/>
    <n v="0.15324381526868203"/>
    <n v="2.5047010707514406"/>
    <n v="486.9951125144562"/>
    <n v="1127.8345999999999"/>
    <x v="10"/>
  </r>
  <r>
    <s v="SALE209"/>
    <d v="2023-10-25T00:00:00"/>
    <s v="CUST1371"/>
    <s v="PROD67"/>
    <s v="STORE8"/>
    <n v="1"/>
    <n v="620.80999999999995"/>
    <n v="0.04"/>
    <s v="PayPal"/>
    <n v="595.97759999999994"/>
    <n v="608413.26393188431"/>
    <n v="599"/>
    <x v="183"/>
    <n v="0.15330715073583451"/>
    <n v="2.5038652412772939"/>
    <n v="486.74678110725353"/>
    <n v="304.45689999999996"/>
    <x v="11"/>
  </r>
  <r>
    <s v="SALE210"/>
    <d v="2024-07-24T00:00:00"/>
    <s v="CUST1094"/>
    <s v="PROD50"/>
    <s v="STORE2"/>
    <n v="1"/>
    <n v="823.26"/>
    <n v="0.27"/>
    <s v="COD"/>
    <n v="600.97979999999995"/>
    <n v="608413.26393188431"/>
    <n v="599"/>
    <x v="184"/>
    <n v="0.15337055708767328"/>
    <n v="2.5047063292198426"/>
    <n v="486.67180167834255"/>
    <n v="356.37744999999995"/>
    <x v="0"/>
  </r>
  <r>
    <s v="SALE211"/>
    <d v="2025-05-30T00:00:00"/>
    <s v="CUST1012"/>
    <s v="PROD27"/>
    <s v="STORE8"/>
    <n v="3"/>
    <n v="681.01"/>
    <n v="0.27"/>
    <s v="COD"/>
    <n v="1491.4119000000001"/>
    <n v="608413.26393188431"/>
    <n v="599"/>
    <x v="185"/>
    <n v="0.15330525504796871"/>
    <n v="2.505548358503122"/>
    <n v="486.48344790200144"/>
    <n v="543.92297499999995"/>
    <x v="5"/>
  </r>
  <r>
    <s v="SALE212"/>
    <d v="2025-10-12T00:00:00"/>
    <s v="CUST1442"/>
    <s v="PROD56"/>
    <s v="STORE19"/>
    <n v="4"/>
    <n v="119.83"/>
    <n v="0.13"/>
    <s v="Credit Card"/>
    <n v="417.00839999999999"/>
    <n v="608413.26393188431"/>
    <n v="599"/>
    <x v="72"/>
    <n v="0.15323987984071269"/>
    <n v="2.505271509879663"/>
    <n v="486.37453045961735"/>
    <n v="135.24209999999999"/>
    <x v="11"/>
  </r>
  <r>
    <s v="SALE213"/>
    <d v="2024-01-23T00:00:00"/>
    <s v="CUST1307"/>
    <s v="PROD78"/>
    <s v="STORE2"/>
    <n v="1"/>
    <n v="575.66"/>
    <n v="0.03"/>
    <s v="PayPal"/>
    <n v="558.39019999999994"/>
    <n v="607996.25553188415"/>
    <n v="598"/>
    <x v="158"/>
    <n v="0.15325290667918845"/>
    <n v="2.5044341269720323"/>
    <n v="486.57987753550509"/>
    <n v="283.77004999999997"/>
    <x v="4"/>
  </r>
  <r>
    <s v="SALE214"/>
    <d v="2025-10-13T00:00:00"/>
    <s v="CUST1199"/>
    <s v="PROD48"/>
    <s v="STORE16"/>
    <n v="1"/>
    <n v="775.84"/>
    <n v="0.26"/>
    <s v="Credit Card"/>
    <n v="574.12160000000006"/>
    <n v="607996.25553188415"/>
    <n v="598"/>
    <x v="186"/>
    <n v="0.15332203337951328"/>
    <n v="2.5052774196441021"/>
    <n v="486.52994473143303"/>
    <n v="337.80540000000002"/>
    <x v="11"/>
  </r>
  <r>
    <s v="SALE215"/>
    <d v="2024-03-05T00:00:00"/>
    <s v="CUST1443"/>
    <s v="PROD14"/>
    <s v="STORE9"/>
    <n v="3"/>
    <n v="318.43"/>
    <n v="0.05"/>
    <s v="Credit Card"/>
    <n v="907.52549999999997"/>
    <n v="607422.13393188419"/>
    <n v="597"/>
    <x v="187"/>
    <n v="0.15326216920071387"/>
    <n v="2.5061216582417711"/>
    <n v="486.36768446487747"/>
    <n v="307.251375"/>
    <x v="9"/>
  </r>
  <r>
    <s v="SALE216"/>
    <d v="2025-07-16T00:00:00"/>
    <s v="CUST1153"/>
    <s v="PROD72"/>
    <s v="STORE8"/>
    <n v="3"/>
    <n v="141.6"/>
    <n v="0.08"/>
    <s v="COD"/>
    <n v="390.81599999999997"/>
    <n v="606514.60843188432"/>
    <n v="596"/>
    <x v="58"/>
    <n v="0.15332014908235378"/>
    <n v="2.5058445099018396"/>
    <n v="486.46192558971751"/>
    <n v="133.874"/>
    <x v="0"/>
  </r>
  <r>
    <s v="SALE217"/>
    <d v="2023-10-20T00:00:00"/>
    <s v="CUST1266"/>
    <s v="PROD15"/>
    <s v="STORE19"/>
    <n v="1"/>
    <n v="332.82"/>
    <n v="0.14000000000000001"/>
    <s v="PayPal"/>
    <n v="286.22519999999997"/>
    <n v="606514.60843188432"/>
    <n v="596"/>
    <x v="188"/>
    <n v="0.15336134017734387"/>
    <n v="2.5055670503341263"/>
    <n v="486.65555946146912"/>
    <n v="155.04629999999997"/>
    <x v="11"/>
  </r>
  <r>
    <s v="SALE218"/>
    <d v="2024-06-04T00:00:00"/>
    <s v="CUST1246"/>
    <s v="PROD72"/>
    <s v="STORE1"/>
    <n v="4"/>
    <n v="640.97"/>
    <n v="0.11"/>
    <s v="COD"/>
    <n v="2281.8532"/>
    <n v="606514.60843188432"/>
    <n v="596"/>
    <x v="21"/>
    <n v="0.15336885076766277"/>
    <n v="2.5064128745197074"/>
    <n v="486.74198393307671"/>
    <n v="731.73329999999999"/>
    <x v="2"/>
  </r>
  <r>
    <s v="SALE219"/>
    <d v="2023-10-26T00:00:00"/>
    <s v="CUST1203"/>
    <s v="PROD90"/>
    <s v="STORE15"/>
    <n v="4"/>
    <n v="75.37"/>
    <n v="0.02"/>
    <s v="COD"/>
    <n v="295.4504"/>
    <n v="606514.60843188432"/>
    <n v="596"/>
    <x v="189"/>
    <n v="0.15339324269722837"/>
    <n v="2.5055733089629446"/>
    <n v="486.65529027592839"/>
    <n v="93.710099999999997"/>
    <x v="11"/>
  </r>
  <r>
    <s v="SALE220"/>
    <d v="2025-04-07T00:00:00"/>
    <s v="CUST1075"/>
    <s v="PROD16"/>
    <s v="STORE18"/>
    <n v="3"/>
    <n v="434.55"/>
    <n v="0.08"/>
    <s v="COD"/>
    <n v="1199.3579999999999"/>
    <n v="606514.60843188432"/>
    <n v="596"/>
    <x v="190"/>
    <n v="0.15346830923785712"/>
    <n v="2.5047327990129804"/>
    <n v="486.88660933682593"/>
    <n v="409.24699999999996"/>
    <x v="10"/>
  </r>
  <r>
    <s v="SALE221"/>
    <d v="2025-03-13T00:00:00"/>
    <s v="CUST1099"/>
    <s v="PROD26"/>
    <s v="STORE14"/>
    <n v="4"/>
    <n v="652.28"/>
    <n v="0.15"/>
    <s v="Credit Card"/>
    <n v="2217.752"/>
    <n v="606514.60843188432"/>
    <n v="596"/>
    <x v="148"/>
    <n v="0.15350967652909464"/>
    <n v="2.5044540892769152"/>
    <n v="486.9160615649277"/>
    <n v="718.54549999999995"/>
    <x v="9"/>
  </r>
  <r>
    <s v="SALE222"/>
    <d v="2024-07-07T00:00:00"/>
    <s v="CUST1269"/>
    <s v="PROD76"/>
    <s v="STORE17"/>
    <n v="3"/>
    <n v="207.8"/>
    <n v="0.15"/>
    <s v="Credit Card"/>
    <n v="529.8900000000001"/>
    <n v="604296.85643188411"/>
    <n v="595"/>
    <x v="0"/>
    <n v="0.15351165381164628"/>
    <n v="2.5036120026154722"/>
    <n v="486.82295123923234"/>
    <n v="185.21000000000004"/>
    <x v="0"/>
  </r>
  <r>
    <s v="SALE223"/>
    <d v="2024-03-10T00:00:00"/>
    <s v="CUST1495"/>
    <s v="PROD61"/>
    <s v="STORE15"/>
    <n v="4"/>
    <n v="385.5"/>
    <n v="0.03"/>
    <s v="PayPal"/>
    <n v="1495.74"/>
    <n v="603766.9664318841"/>
    <n v="594"/>
    <x v="191"/>
    <n v="0.15351363332337775"/>
    <n v="2.5033323474056783"/>
    <n v="486.98014726809947"/>
    <n v="471.3175"/>
    <x v="9"/>
  </r>
  <r>
    <s v="SALE224"/>
    <d v="2025-09-15T00:00:00"/>
    <s v="CUST1096"/>
    <s v="PROD65"/>
    <s v="STORE6"/>
    <n v="3"/>
    <n v="548.19000000000005"/>
    <n v="0.12"/>
    <s v="Credit Card"/>
    <n v="1447.2216000000001"/>
    <n v="603766.9664318841"/>
    <n v="594"/>
    <x v="192"/>
    <n v="0.15358329696315406"/>
    <n v="2.5024886790558507"/>
    <n v="487.03735140973879"/>
    <n v="499.63290000000006"/>
    <x v="8"/>
  </r>
  <r>
    <s v="SALE225"/>
    <d v="2024-11-11T00:00:00"/>
    <s v="CUST1069"/>
    <s v="PROD73"/>
    <s v="STORE9"/>
    <n v="3"/>
    <n v="927.6"/>
    <n v="0.09"/>
    <s v="Credit Card"/>
    <n v="2532.348"/>
    <n v="602319.74483188416"/>
    <n v="593"/>
    <x v="48"/>
    <n v="0.15360224916234316"/>
    <n v="2.502208074813919"/>
    <n v="487.00286035018422"/>
    <n v="865.7595"/>
    <x v="3"/>
  </r>
  <r>
    <s v="SALE226"/>
    <d v="2025-01-09T00:00:00"/>
    <s v="CUST1266"/>
    <s v="PROD61"/>
    <s v="STORE3"/>
    <n v="4"/>
    <n v="585.04"/>
    <n v="0.22"/>
    <s v="PayPal"/>
    <n v="1825.3248000000001"/>
    <n v="599787.39683188417"/>
    <n v="592"/>
    <x v="193"/>
    <n v="0.15363816234651162"/>
    <n v="2.5019271538629115"/>
    <n v="486.75421636618313"/>
    <n v="603.64620000000002"/>
    <x v="4"/>
  </r>
  <r>
    <s v="SALE227"/>
    <d v="2024-04-24T00:00:00"/>
    <s v="CUST1499"/>
    <s v="PROD39"/>
    <s v="STORE2"/>
    <n v="2"/>
    <n v="999.89"/>
    <n v="0.09"/>
    <s v="Credit Card"/>
    <n v="1819.7998"/>
    <n v="599787.39683188417"/>
    <n v="592"/>
    <x v="194"/>
    <n v="0.1536006697828656"/>
    <n v="2.501081262927769"/>
    <n v="486.69871902929225"/>
    <n v="705.44495000000006"/>
    <x v="10"/>
  </r>
  <r>
    <s v="SALE228"/>
    <d v="2023-12-24T00:00:00"/>
    <s v="CUST1107"/>
    <s v="PROD75"/>
    <s v="STORE3"/>
    <n v="2"/>
    <n v="848.98"/>
    <n v="0.04"/>
    <s v="PayPal"/>
    <n v="1630.0416"/>
    <n v="597967.59703188413"/>
    <n v="591"/>
    <x v="195"/>
    <n v="0.1536366226770334"/>
    <n v="2.5013643596864852"/>
    <n v="486.40878045247257"/>
    <n v="620.2654"/>
    <x v="1"/>
  </r>
  <r>
    <s v="SALE229"/>
    <d v="2024-02-26T00:00:00"/>
    <s v="CUST1142"/>
    <s v="PROD60"/>
    <s v="STORE14"/>
    <n v="3"/>
    <n v="769.56"/>
    <n v="0.08"/>
    <s v="Credit Card"/>
    <n v="2123.9856"/>
    <n v="597967.59703188413"/>
    <n v="591"/>
    <x v="196"/>
    <n v="0.15370089678488238"/>
    <n v="2.5016477765093712"/>
    <n v="486.20382215990759"/>
    <n v="724.15639999999996"/>
    <x v="6"/>
  </r>
  <r>
    <s v="SALE230"/>
    <d v="2025-01-19T00:00:00"/>
    <s v="CUST1049"/>
    <s v="PROD48"/>
    <s v="STORE13"/>
    <n v="3"/>
    <n v="449.88"/>
    <n v="0.1"/>
    <s v="PayPal"/>
    <n v="1214.6759999999999"/>
    <n v="595843.61143188411"/>
    <n v="590"/>
    <x v="197"/>
    <n v="0.15374260640388909"/>
    <n v="2.5013659030797957"/>
    <n v="486.04355282855005"/>
    <n v="416.91399999999999"/>
    <x v="4"/>
  </r>
  <r>
    <s v="SALE231"/>
    <d v="2025-07-25T00:00:00"/>
    <s v="CUST1275"/>
    <s v="PROD69"/>
    <s v="STORE12"/>
    <n v="4"/>
    <n v="383.74"/>
    <n v="0.01"/>
    <s v="Credit Card"/>
    <n v="1519.6104"/>
    <n v="595843.61143188411"/>
    <n v="590"/>
    <x v="198"/>
    <n v="0.15377303823084487"/>
    <n v="2.5010837106084205"/>
    <n v="486.06401890258996"/>
    <n v="476.84010000000001"/>
    <x v="0"/>
  </r>
  <r>
    <s v="SALE232"/>
    <d v="2024-04-27T00:00:00"/>
    <s v="CUST1148"/>
    <s v="PROD58"/>
    <s v="STORE10"/>
    <n v="4"/>
    <n v="794.97"/>
    <n v="0.24"/>
    <s v="PayPal"/>
    <n v="2416.7087999999999"/>
    <n v="594324.00103188423"/>
    <n v="589"/>
    <x v="199"/>
    <n v="0.15385449604287368"/>
    <n v="2.5002349471376433"/>
    <n v="486.12196002314636"/>
    <n v="803.97969999999998"/>
    <x v="10"/>
  </r>
  <r>
    <s v="SALE233"/>
    <d v="2025-08-11T00:00:00"/>
    <s v="CUST1010"/>
    <s v="PROD79"/>
    <s v="STORE5"/>
    <n v="1"/>
    <n v="989.63"/>
    <n v="0.05"/>
    <s v="PayPal"/>
    <n v="940.1484999999999"/>
    <n v="594324.00103188423"/>
    <n v="589"/>
    <x v="200"/>
    <n v="0.15380566072317012"/>
    <n v="2.4993852218952282"/>
    <n v="485.94697529794695"/>
    <n v="482.70712499999996"/>
    <x v="7"/>
  </r>
  <r>
    <s v="SALE234"/>
    <d v="2025-03-15T00:00:00"/>
    <s v="CUST1335"/>
    <s v="PROD54"/>
    <s v="STORE0"/>
    <n v="1"/>
    <n v="447.16"/>
    <n v="0.22"/>
    <s v="COD"/>
    <n v="348.78480000000002"/>
    <n v="594324.00103188423"/>
    <n v="589"/>
    <x v="201"/>
    <n v="0.15386454084836762"/>
    <n v="2.5002352135176182"/>
    <n v="485.66144070344473"/>
    <n v="199.2912"/>
    <x v="9"/>
  </r>
  <r>
    <s v="SALE235"/>
    <d v="2025-01-14T00:00:00"/>
    <s v="CUST1008"/>
    <s v="PROD94"/>
    <s v="STORE6"/>
    <n v="1"/>
    <n v="946.9"/>
    <n v="0.28999999999999998"/>
    <s v="COD"/>
    <n v="672.29899999999998"/>
    <n v="594324.00103188423"/>
    <n v="589"/>
    <x v="202"/>
    <n v="0.15382700653556874"/>
    <n v="2.5010861693959607"/>
    <n v="485.68327929715053"/>
    <n v="405.12225000000001"/>
    <x v="4"/>
  </r>
  <r>
    <s v="SALE236"/>
    <d v="2025-06-01T00:00:00"/>
    <s v="CUST1169"/>
    <s v="PROD17"/>
    <s v="STORE0"/>
    <n v="4"/>
    <n v="469.68"/>
    <n v="0.19"/>
    <s v="Credit Card"/>
    <n v="1521.7632000000001"/>
    <n v="594324.00103188423"/>
    <n v="589"/>
    <x v="203"/>
    <n v="0.15374967945239756"/>
    <n v="2.5019380911720086"/>
    <n v="485.421521793914"/>
    <n v="498.90830000000005"/>
    <x v="2"/>
  </r>
  <r>
    <s v="SALE237"/>
    <d v="2024-09-24T00:00:00"/>
    <s v="CUST1494"/>
    <s v="PROD28"/>
    <s v="STORE17"/>
    <n v="4"/>
    <n v="320.64"/>
    <n v="0.2"/>
    <s v="COD"/>
    <n v="1026.048"/>
    <n v="592802.23783188418"/>
    <n v="588"/>
    <x v="204"/>
    <n v="0.15372908267935911"/>
    <n v="2.5010874029784658"/>
    <n v="485.43046076142895"/>
    <n v="337.72199999999998"/>
    <x v="8"/>
  </r>
  <r>
    <s v="SALE238"/>
    <d v="2023-11-23T00:00:00"/>
    <s v="CUST1135"/>
    <s v="PROD15"/>
    <s v="STORE5"/>
    <n v="1"/>
    <n v="594.44000000000005"/>
    <n v="0.21"/>
    <s v="Credit Card"/>
    <n v="469.60759999999999"/>
    <n v="592802.23783188418"/>
    <n v="588"/>
    <x v="205"/>
    <n v="0.15370277743926777"/>
    <n v="2.5002357480937949"/>
    <n v="485.52409170504336"/>
    <n v="266.31440000000003"/>
    <x v="3"/>
  </r>
  <r>
    <s v="SALE239"/>
    <d v="2025-07-23T00:00:00"/>
    <s v="CUST1216"/>
    <s v="PROD86"/>
    <s v="STORE8"/>
    <n v="3"/>
    <n v="91.7"/>
    <n v="0.08"/>
    <s v="COD"/>
    <n v="253.09200000000001"/>
    <n v="592332.63023188419"/>
    <n v="587"/>
    <x v="206"/>
    <n v="0.15367075399071223"/>
    <n v="2.501088639366162"/>
    <n v="485.46217248486437"/>
    <n v="86.968000000000004"/>
    <x v="0"/>
  </r>
  <r>
    <s v="SALE240"/>
    <d v="2025-09-17T00:00:00"/>
    <s v="CUST1031"/>
    <s v="PROD62"/>
    <s v="STORE12"/>
    <n v="3"/>
    <n v="741.33"/>
    <n v="0.03"/>
    <s v="Credit Card"/>
    <n v="2157.2703000000001"/>
    <n v="592332.63023188419"/>
    <n v="587"/>
    <x v="207"/>
    <n v="0.15371268384500403"/>
    <n v="2.5008048445080084"/>
    <n v="485.68615551813224"/>
    <n v="725.40757500000007"/>
    <x v="8"/>
  </r>
  <r>
    <s v="SALE241"/>
    <d v="2025-04-07T00:00:00"/>
    <s v="CUST1476"/>
    <s v="PROD16"/>
    <s v="STORE19"/>
    <n v="1"/>
    <n v="922.78"/>
    <n v="0.28999999999999998"/>
    <s v="COD"/>
    <n v="655.17379999999991"/>
    <n v="590175.35993188433"/>
    <n v="586"/>
    <x v="190"/>
    <n v="0.15378313525949439"/>
    <n v="2.5005207266050529"/>
    <n v="485.5406553220696"/>
    <n v="394.81094999999993"/>
    <x v="10"/>
  </r>
  <r>
    <s v="SALE242"/>
    <d v="2024-01-21T00:00:00"/>
    <s v="CUST1325"/>
    <s v="PROD8"/>
    <s v="STORE16"/>
    <n v="1"/>
    <n v="394.35"/>
    <n v="0.09"/>
    <s v="PayPal"/>
    <n v="358.85849999999999"/>
    <n v="590175.35993188433"/>
    <n v="586"/>
    <x v="86"/>
    <n v="0.15370551881234878"/>
    <n v="2.5013752372694067"/>
    <n v="485.29165797316421"/>
    <n v="188.574625"/>
    <x v="4"/>
  </r>
  <r>
    <s v="SALE243"/>
    <d v="2024-07-07T00:00:00"/>
    <s v="CUST1364"/>
    <s v="PROD65"/>
    <s v="STORE11"/>
    <n v="2"/>
    <n v="703.95"/>
    <n v="0.03"/>
    <s v="Credit Card"/>
    <n v="1365.663"/>
    <n v="590175.35993188433"/>
    <n v="586"/>
    <x v="0"/>
    <n v="0.15374183894850174"/>
    <n v="2.5022307217350872"/>
    <n v="485.34347658169594"/>
    <n v="517.91075000000001"/>
    <x v="0"/>
  </r>
  <r>
    <s v="SALE244"/>
    <d v="2025-05-03T00:00:00"/>
    <s v="CUST1200"/>
    <s v="PROD14"/>
    <s v="STORE0"/>
    <n v="4"/>
    <n v="452.67"/>
    <n v="0.28000000000000003"/>
    <s v="PayPal"/>
    <n v="1303.6895999999999"/>
    <n v="588809.69693188439"/>
    <n v="585"/>
    <x v="208"/>
    <n v="0.15381242756170682"/>
    <n v="2.5025170562400678"/>
    <n v="485.2188434440572"/>
    <n v="440.15989999999999"/>
    <x v="5"/>
  </r>
  <r>
    <s v="SALE245"/>
    <d v="2024-02-27T00:00:00"/>
    <s v="CUST1463"/>
    <s v="PROD8"/>
    <s v="STORE7"/>
    <n v="2"/>
    <n v="377.3"/>
    <n v="0.15"/>
    <s v="PayPal"/>
    <n v="641.41"/>
    <n v="588809.69693188439"/>
    <n v="585"/>
    <x v="209"/>
    <n v="0.15374040269159361"/>
    <n v="2.5016628161124239"/>
    <n v="485.23741095315245"/>
    <n v="255.21499999999997"/>
    <x v="6"/>
  </r>
  <r>
    <s v="SALE246"/>
    <d v="2025-07-08T00:00:00"/>
    <s v="CUST1344"/>
    <s v="PROD74"/>
    <s v="STORE7"/>
    <n v="2"/>
    <n v="130.47999999999999"/>
    <n v="0.23"/>
    <s v="PayPal"/>
    <n v="200.9392"/>
    <n v="588809.69693188439"/>
    <n v="585"/>
    <x v="210"/>
    <n v="0.15374253884390179"/>
    <n v="2.5019491533362324"/>
    <n v="485.29901906442706"/>
    <n v="83.412299999999988"/>
    <x v="0"/>
  </r>
  <r>
    <s v="SALE247"/>
    <d v="2025-03-13T00:00:00"/>
    <s v="CUST1435"/>
    <s v="PROD94"/>
    <s v="STORE12"/>
    <n v="1"/>
    <n v="809.45"/>
    <n v="0.09"/>
    <s v="COD"/>
    <n v="736.59950000000003"/>
    <n v="588809.69693188439"/>
    <n v="585"/>
    <x v="148"/>
    <n v="0.15369896315181261"/>
    <n v="2.5022358176156931"/>
    <n v="485.50165699650267"/>
    <n v="386.78487500000006"/>
    <x v="9"/>
  </r>
  <r>
    <s v="SALE248"/>
    <d v="2025-04-21T00:00:00"/>
    <s v="CUST1083"/>
    <s v="PROD45"/>
    <s v="STORE9"/>
    <n v="3"/>
    <n v="499.12"/>
    <n v="0.05"/>
    <s v="PayPal"/>
    <n v="1422.492"/>
    <n v="588809.69693188439"/>
    <n v="585"/>
    <x v="211"/>
    <n v="0.15373538337088169"/>
    <n v="2.5030942380829022"/>
    <n v="485.31654365764359"/>
    <n v="481.16550000000001"/>
    <x v="10"/>
  </r>
  <r>
    <s v="SALE249"/>
    <d v="2024-11-10T00:00:00"/>
    <s v="CUST1023"/>
    <s v="PROD68"/>
    <s v="STORE3"/>
    <n v="2"/>
    <n v="894.58"/>
    <n v="0.25"/>
    <s v="Credit Card"/>
    <n v="1341.87"/>
    <n v="588809.69693188439"/>
    <n v="585"/>
    <x v="45"/>
    <n v="0.15379472855587648"/>
    <n v="2.5028101295855225"/>
    <n v="485.30865145847702"/>
    <n v="559.67499999999995"/>
    <x v="3"/>
  </r>
  <r>
    <s v="SALE250"/>
    <d v="2024-08-09T00:00:00"/>
    <s v="CUST1131"/>
    <s v="PROD75"/>
    <s v="STORE9"/>
    <n v="4"/>
    <n v="578.39"/>
    <n v="0.01"/>
    <s v="Credit Card"/>
    <n v="2290.4243999999999"/>
    <n v="587467.8269318844"/>
    <n v="584"/>
    <x v="212"/>
    <n v="0.1537396597113177"/>
    <n v="2.5030977784010751"/>
    <n v="485.07451453139373"/>
    <n v="718.20609999999999"/>
    <x v="7"/>
  </r>
  <r>
    <s v="SALE251"/>
    <d v="2024-03-05T00:00:00"/>
    <s v="CUST1485"/>
    <s v="PROD41"/>
    <s v="STORE17"/>
    <n v="4"/>
    <n v="982.45"/>
    <n v="0.2"/>
    <s v="PayPal"/>
    <n v="3143.84"/>
    <n v="585177.40253188449"/>
    <n v="583"/>
    <x v="187"/>
    <n v="0.15382198483142728"/>
    <n v="2.5022409368317562"/>
    <n v="485.02109982877863"/>
    <n v="1032.6224999999999"/>
    <x v="9"/>
  </r>
  <r>
    <s v="SALE252"/>
    <d v="2025-09-25T00:00:00"/>
    <s v="CUST1449"/>
    <s v="PROD98"/>
    <s v="STORE19"/>
    <n v="1"/>
    <n v="549.52"/>
    <n v="0.1"/>
    <s v="PayPal"/>
    <n v="494.56799999999998"/>
    <n v="585177.40253188449"/>
    <n v="583"/>
    <x v="108"/>
    <n v="0.15379552178548539"/>
    <n v="2.501383113771523"/>
    <n v="484.73620355147546"/>
    <n v="261.29700000000003"/>
    <x v="8"/>
  </r>
  <r>
    <s v="SALE253"/>
    <d v="2025-08-07T00:00:00"/>
    <s v="CUST1240"/>
    <s v="PROD92"/>
    <s v="STORE18"/>
    <n v="2"/>
    <n v="239.92"/>
    <n v="0.16"/>
    <s v="Credit Card"/>
    <n v="403.06560000000002"/>
    <n v="585177.40253188449"/>
    <n v="583"/>
    <x v="213"/>
    <n v="0.15382636784155507"/>
    <n v="2.5022435052407328"/>
    <n v="484.69907816669115"/>
    <n v="161.28640000000001"/>
    <x v="7"/>
  </r>
  <r>
    <s v="SALE254"/>
    <d v="2024-02-16T00:00:00"/>
    <s v="CUST1082"/>
    <s v="PROD92"/>
    <s v="STORE6"/>
    <n v="2"/>
    <n v="878.05"/>
    <n v="0.11"/>
    <s v="PayPal"/>
    <n v="1562.9290000000001"/>
    <n v="584774.33693188452"/>
    <n v="582"/>
    <x v="214"/>
    <n v="0.15382282588391968"/>
    <n v="2.5025314889019947"/>
    <n v="484.83943314270425"/>
    <n v="610.77224999999999"/>
    <x v="6"/>
  </r>
  <r>
    <s v="SALE255"/>
    <d v="2025-03-30T00:00:00"/>
    <s v="CUST1044"/>
    <s v="PROD1"/>
    <s v="STORE9"/>
    <n v="3"/>
    <n v="546.96"/>
    <n v="0.19"/>
    <s v="Credit Card"/>
    <n v="1329.1128000000001"/>
    <n v="584774.33693188452"/>
    <n v="582"/>
    <x v="215"/>
    <n v="0.15384798250038578"/>
    <n v="2.502819803009225"/>
    <n v="484.61383901369834"/>
    <n v="469.81570000000005"/>
    <x v="9"/>
  </r>
  <r>
    <s v="SALE256"/>
    <d v="2025-02-18T00:00:00"/>
    <s v="CUST1471"/>
    <s v="PROD17"/>
    <s v="STORE10"/>
    <n v="2"/>
    <n v="71.77"/>
    <n v="0.22"/>
    <s v="Credit Card"/>
    <n v="111.96120000000001"/>
    <n v="583445.22413188464"/>
    <n v="581"/>
    <x v="52"/>
    <n v="0.15382721741279268"/>
    <n v="2.5025343953186447"/>
    <n v="484.57804902461316"/>
    <n v="46.4878"/>
    <x v="6"/>
  </r>
  <r>
    <s v="SALE257"/>
    <d v="2025-03-01T00:00:00"/>
    <s v="CUST1013"/>
    <s v="PROD24"/>
    <s v="STORE1"/>
    <n v="2"/>
    <n v="679.86"/>
    <n v="0.22"/>
    <s v="COD"/>
    <n v="1060.5816"/>
    <n v="583333.26293188462"/>
    <n v="580"/>
    <x v="216"/>
    <n v="0.15378918707797243"/>
    <n v="2.5028230423004474"/>
    <n v="484.81515875983695"/>
    <n v="435.66539999999998"/>
    <x v="9"/>
  </r>
  <r>
    <s v="SALE258"/>
    <d v="2024-01-09T00:00:00"/>
    <s v="CUST1136"/>
    <s v="PROD35"/>
    <s v="STORE17"/>
    <n v="1"/>
    <n v="222.94"/>
    <n v="0.19"/>
    <s v="Credit Card"/>
    <n v="180.5814"/>
    <n v="583333.26293188462"/>
    <n v="580"/>
    <x v="217"/>
    <n v="0.15375111300498681"/>
    <n v="2.5031120210603901"/>
    <n v="484.703064023492"/>
    <n v="101.17785000000001"/>
    <x v="4"/>
  </r>
  <r>
    <s v="SALE259"/>
    <d v="2025-04-26T00:00:00"/>
    <s v="CUST1248"/>
    <s v="PROD35"/>
    <s v="STORE2"/>
    <n v="2"/>
    <n v="355.3"/>
    <m/>
    <s v="PayPal"/>
    <n v="589.798"/>
    <n v="583152.68153188459"/>
    <n v="579"/>
    <x v="218"/>
    <n v="0.15373025633813117"/>
    <n v="2.5039763752990671"/>
    <n v="484.85358907468441"/>
    <n v="315.6993333333333"/>
    <x v="10"/>
  </r>
  <r>
    <s v="SALE260"/>
    <d v="2024-07-24T00:00:00"/>
    <s v="CUST1103"/>
    <s v="PROD89"/>
    <s v="STORE19"/>
    <n v="4"/>
    <n v="611.29999999999995"/>
    <n v="0.11"/>
    <s v="PayPal"/>
    <n v="2176.2280000000001"/>
    <n v="583152.68153188459"/>
    <n v="579"/>
    <x v="184"/>
    <n v="0.15373025633813117"/>
    <n v="2.5042663501985487"/>
    <n v="484.92813084055024"/>
    <n v="697.90949999999998"/>
    <x v="0"/>
  </r>
  <r>
    <s v="SALE261"/>
    <d v="2025-03-26T00:00:00"/>
    <s v="CUST1333"/>
    <s v="PROD0"/>
    <s v="STORE8"/>
    <n v="4"/>
    <n v="849.21"/>
    <n v="7.0000000000000007E-2"/>
    <s v="Credit Card"/>
    <n v="3159.0612000000001"/>
    <n v="583152.68153188459"/>
    <n v="579"/>
    <x v="177"/>
    <n v="0.15375543207580425"/>
    <n v="2.5034052485003331"/>
    <n v="484.85537789342328"/>
    <n v="1003.0853000000001"/>
    <x v="9"/>
  </r>
  <r>
    <s v="SALE262"/>
    <d v="2025-02-25T00:00:00"/>
    <s v="CUST1209"/>
    <s v="PROD42"/>
    <s v="STORE7"/>
    <n v="3"/>
    <n v="553.12"/>
    <n v="0.28000000000000003"/>
    <s v="COD"/>
    <n v="1194.7392"/>
    <n v="579993.62033188459"/>
    <n v="578"/>
    <x v="219"/>
    <n v="0.15380367829243782"/>
    <n v="2.5025431547494694"/>
    <n v="484.64549619866136"/>
    <n v="437.78480000000002"/>
    <x v="6"/>
  </r>
  <r>
    <s v="SALE263"/>
    <d v="2025-06-18T00:00:00"/>
    <s v="CUST1282"/>
    <s v="PROD91"/>
    <s v="STORE9"/>
    <n v="2"/>
    <n v="903.08"/>
    <n v="0.18"/>
    <s v="COD"/>
    <n v="1481.0512000000001"/>
    <n v="579993.62033188459"/>
    <n v="578"/>
    <x v="220"/>
    <n v="0.15373094266032969"/>
    <n v="2.5022564361066735"/>
    <n v="484.60602962586523"/>
    <n v="596.57780000000002"/>
    <x v="2"/>
  </r>
  <r>
    <s v="SALE264"/>
    <d v="2024-12-22T00:00:00"/>
    <s v="CUST1478"/>
    <s v="PROD16"/>
    <s v="STORE11"/>
    <n v="4"/>
    <n v="640.23"/>
    <n v="0.06"/>
    <s v="COD"/>
    <n v="2407.2647999999999"/>
    <n v="579993.62033188459"/>
    <n v="578"/>
    <x v="221"/>
    <n v="0.15371579326163323"/>
    <n v="2.5025460880306101"/>
    <n v="484.36469515621468"/>
    <n v="762.88869999999997"/>
    <x v="1"/>
  </r>
  <r>
    <s v="SALE265"/>
    <d v="2025-06-28T00:00:00"/>
    <s v="CUST1141"/>
    <s v="PROD21"/>
    <s v="STORE6"/>
    <n v="1"/>
    <n v="518"/>
    <n v="0.25"/>
    <s v="Credit Card"/>
    <n v="388.5"/>
    <n v="579993.62033188459"/>
    <n v="578"/>
    <x v="222"/>
    <n v="0.15376987046490018"/>
    <n v="2.5016820061425724"/>
    <n v="484.27475556888413"/>
    <n v="226.9375"/>
    <x v="2"/>
  </r>
  <r>
    <s v="SALE266"/>
    <d v="2024-05-25T00:00:00"/>
    <s v="CUST1433"/>
    <s v="PROD64"/>
    <s v="STORE4"/>
    <n v="4"/>
    <n v="779.25"/>
    <n v="0.25"/>
    <s v="Credit Card"/>
    <n v="2337.75"/>
    <n v="579605.12033188459"/>
    <n v="577"/>
    <x v="223"/>
    <n v="0.15371431034392147"/>
    <n v="2.5025490280860727"/>
    <n v="484.25528371875066"/>
    <n v="780.3125"/>
    <x v="5"/>
  </r>
  <r>
    <s v="SALE267"/>
    <d v="2025-05-30T00:00:00"/>
    <s v="CUST1118"/>
    <s v="PROD83"/>
    <s v="STORE7"/>
    <n v="2"/>
    <n v="467.75"/>
    <n v="0.26"/>
    <s v="Credit Card"/>
    <n v="692.27"/>
    <n v="577267.37033188459"/>
    <n v="576"/>
    <x v="185"/>
    <n v="0.15365868602869553"/>
    <n v="2.5016839495349958"/>
    <n v="484.08486504961076"/>
    <n v="290.57"/>
    <x v="5"/>
  </r>
  <r>
    <s v="SALE268"/>
    <d v="2024-09-20T00:00:00"/>
    <s v="CUST1406"/>
    <s v="PROD90"/>
    <s v="STORE18"/>
    <n v="3"/>
    <n v="510.19"/>
    <n v="0.06"/>
    <s v="Credit Card"/>
    <n v="315.24779999999998"/>
    <n v="576575.10033188458"/>
    <n v="575"/>
    <x v="224"/>
    <n v="0.15359721706108209"/>
    <n v="2.5019739402572703"/>
    <n v="484.09430716813648"/>
    <n v="207.12445"/>
    <x v="8"/>
  </r>
  <r>
    <s v="SALE269"/>
    <d v="2025-05-26T00:00:00"/>
    <s v="CUST1219"/>
    <s v="PROD37"/>
    <s v="STORE0"/>
    <n v="4"/>
    <n v="747.01"/>
    <n v="0.13"/>
    <s v="PayPal"/>
    <n v="2599.5947999999999"/>
    <n v="576259.85253188456"/>
    <n v="574"/>
    <x v="225"/>
    <n v="0.15365135078986236"/>
    <n v="2.5016858974234113"/>
    <n v="484.07921422838405"/>
    <n v="837.68369999999993"/>
    <x v="5"/>
  </r>
  <r>
    <s v="SALE270"/>
    <d v="2025-03-19T00:00:00"/>
    <s v="CUST1101"/>
    <s v="PROD89"/>
    <s v="STORE12"/>
    <n v="4"/>
    <n v="461.83"/>
    <n v="0.28000000000000003"/>
    <s v="PayPal"/>
    <n v="1330.0704000000001"/>
    <n v="576259.85253188456"/>
    <n v="574"/>
    <x v="226"/>
    <n v="0.15366503791416206"/>
    <n v="2.5008188175029393"/>
    <n v="483.92705520884033"/>
    <n v="449.04509999999999"/>
    <x v="9"/>
  </r>
  <r>
    <s v="SALE271"/>
    <d v="2025-04-03T00:00:00"/>
    <s v="CUST1134"/>
    <s v="PROD70"/>
    <s v="STORE8"/>
    <n v="2"/>
    <n v="105.15"/>
    <n v="0.06"/>
    <s v="Credit Card"/>
    <n v="197.68199999999999"/>
    <n v="576259.85253188456"/>
    <n v="574"/>
    <x v="178"/>
    <n v="0.15359188506987376"/>
    <n v="2.4999507334366404"/>
    <n v="483.93985026107475"/>
    <n v="76.222999999999999"/>
    <x v="10"/>
  </r>
  <r>
    <s v="SALE272"/>
    <d v="2025-02-05T00:00:00"/>
    <s v="CUST1033"/>
    <s v="PROD23"/>
    <s v="STORE3"/>
    <n v="3"/>
    <n v="610.24"/>
    <n v="0.17"/>
    <s v="COD"/>
    <n v="1519.4975999999999"/>
    <n v="576062.17053188453"/>
    <n v="573"/>
    <x v="227"/>
    <n v="0.15364610980050519"/>
    <n v="2.5002403920307521"/>
    <n v="484.15931135624339"/>
    <n v="533.2269"/>
    <x v="6"/>
  </r>
  <r>
    <s v="SALE273"/>
    <d v="2025-01-10T00:00:00"/>
    <s v="CUST1312"/>
    <s v="PROD74"/>
    <s v="STORE8"/>
    <n v="1"/>
    <n v="872.12"/>
    <n v="7.0000000000000007E-2"/>
    <s v="PayPal"/>
    <n v="811.07159999999999"/>
    <n v="576062.17053188453"/>
    <n v="573"/>
    <x v="228"/>
    <n v="0.15363662928444752"/>
    <n v="2.4999506763159873"/>
    <n v="484.08622110195716"/>
    <n v="421.06540000000001"/>
    <x v="4"/>
  </r>
  <r>
    <s v="SALE274"/>
    <d v="2024-01-25T00:00:00"/>
    <s v="CUST1433"/>
    <s v="PROD10"/>
    <s v="STORE1"/>
    <n v="1"/>
    <n v="406.79"/>
    <n v="0.03"/>
    <s v="COD"/>
    <n v="394.58629999999999"/>
    <n v="576062.17053188453"/>
    <n v="573"/>
    <x v="229"/>
    <n v="0.15368514241048259"/>
    <n v="2.5008207173115302"/>
    <n v="483.86114350398833"/>
    <n v="200.601575"/>
    <x v="4"/>
  </r>
  <r>
    <s v="SALE275"/>
    <d v="2025-10-02T00:00:00"/>
    <s v="CUST1372"/>
    <s v="PROD54"/>
    <s v="STORE14"/>
    <n v="1"/>
    <n v="606.01"/>
    <n v="0.04"/>
    <s v="PayPal"/>
    <n v="581.76959999999997"/>
    <n v="576062.17053188453"/>
    <n v="573"/>
    <x v="230"/>
    <n v="0.1537569271710226"/>
    <n v="2.5016917682211712"/>
    <n v="483.90587428953921"/>
    <n v="297.20489999999995"/>
    <x v="11"/>
  </r>
  <r>
    <s v="SALE276"/>
    <d v="2024-07-10T00:00:00"/>
    <s v="CUST1349"/>
    <s v="PROD17"/>
    <s v="STORE5"/>
    <n v="4"/>
    <n v="322.58"/>
    <n v="0.06"/>
    <s v="Credit Card"/>
    <n v="1212.9007999999999"/>
    <n v="576062.17053188453"/>
    <n v="573"/>
    <x v="231"/>
    <n v="0.15382298810433914"/>
    <n v="2.5025638308043425"/>
    <n v="483.83496597031126"/>
    <n v="384.88519999999994"/>
    <x v="0"/>
  </r>
  <r>
    <s v="SALE277"/>
    <d v="2025-01-04T00:00:00"/>
    <s v="CUST1484"/>
    <s v="PROD77"/>
    <s v="STORE18"/>
    <n v="4"/>
    <n v="463.17"/>
    <n v="0.06"/>
    <s v="PayPal"/>
    <n v="1741.5192"/>
    <n v="574849.26973188447"/>
    <n v="572"/>
    <x v="232"/>
    <n v="0.15387750465756653"/>
    <n v="2.5016937342504812"/>
    <n v="483.92866438168278"/>
    <n v="552.18730000000005"/>
    <x v="4"/>
  </r>
  <r>
    <s v="SALE278"/>
    <d v="2025-05-21T00:00:00"/>
    <s v="CUST1316"/>
    <s v="PROD25"/>
    <s v="STORE7"/>
    <n v="4"/>
    <n v="285.82"/>
    <n v="0.18"/>
    <s v="PayPal"/>
    <n v="937.4896"/>
    <n v="574849.26973188447"/>
    <n v="572"/>
    <x v="104"/>
    <n v="0.15393208460213489"/>
    <n v="2.5008226259564412"/>
    <n v="483.94073337260227"/>
    <n v="306.87239999999997"/>
    <x v="5"/>
  </r>
  <r>
    <s v="SALE279"/>
    <d v="2025-07-30T00:00:00"/>
    <s v="CUST1326"/>
    <s v="PROD37"/>
    <s v="STORE11"/>
    <n v="3"/>
    <n v="995.38"/>
    <n v="0.1"/>
    <s v="PayPal"/>
    <n v="2687.5259999999998"/>
    <n v="574849.26973188447"/>
    <n v="572"/>
    <x v="233"/>
    <n v="0.15391692002075161"/>
    <n v="2.4999505041565317"/>
    <n v="484.05598685333098"/>
    <n v="921.50149999999996"/>
    <x v="0"/>
  </r>
  <r>
    <s v="SALE280"/>
    <d v="2025-04-10T00:00:00"/>
    <s v="CUST1119"/>
    <s v="PROD62"/>
    <s v="STORE8"/>
    <n v="1"/>
    <n v="329.31"/>
    <n v="0.09"/>
    <s v="Credit Card"/>
    <n v="299.6721"/>
    <n v="574849.26973188447"/>
    <n v="572"/>
    <x v="234"/>
    <n v="0.15394830355976252"/>
    <n v="2.4996594392579032"/>
    <n v="483.7583593718719"/>
    <n v="157.51802499999999"/>
    <x v="10"/>
  </r>
  <r>
    <s v="SALE281"/>
    <d v="2024-07-02T00:00:00"/>
    <s v="CUST1490"/>
    <s v="PROD47"/>
    <s v="STORE16"/>
    <n v="3"/>
    <n v="64.2"/>
    <n v="0.08"/>
    <s v="COD"/>
    <n v="177.19200000000001"/>
    <n v="574549.59763188451"/>
    <n v="571"/>
    <x v="235"/>
    <n v="0.1539855477668445"/>
    <n v="2.500532857684961"/>
    <n v="483.84831182345721"/>
    <n v="61.118000000000002"/>
    <x v="0"/>
  </r>
  <r>
    <s v="SALE282"/>
    <d v="2025-06-21T00:00:00"/>
    <s v="CUST1262"/>
    <s v="PROD11"/>
    <s v="STORE13"/>
    <n v="3"/>
    <n v="697.13"/>
    <n v="0.25"/>
    <s v="COD"/>
    <n v="1568.5425"/>
    <n v="574549.59763188451"/>
    <n v="571"/>
    <x v="14"/>
    <n v="0.15402866288792078"/>
    <n v="2.5002417929167122"/>
    <n v="484.09286212172259"/>
    <n v="567.23062500000003"/>
    <x v="2"/>
  </r>
  <r>
    <s v="SALE283"/>
    <d v="2024-12-13T00:00:00"/>
    <s v="CUST1022"/>
    <s v="PROD9"/>
    <s v="STORE5"/>
    <n v="3"/>
    <n v="134.30000000000001"/>
    <n v="0.14000000000000001"/>
    <s v="Credit Card"/>
    <n v="346.49400000000003"/>
    <n v="574549.59763188451"/>
    <n v="571"/>
    <x v="236"/>
    <n v="0.15397270292459009"/>
    <n v="2.4999503887143311"/>
    <n v="483.96864221625424"/>
    <n v="120.98350000000001"/>
    <x v="1"/>
  </r>
  <r>
    <s v="SALE284"/>
    <d v="2024-08-14T00:00:00"/>
    <s v="CUST1260"/>
    <s v="PROD84"/>
    <s v="STORE13"/>
    <n v="1"/>
    <n v="520.92999999999995"/>
    <n v="0.15"/>
    <s v="Credit Card"/>
    <n v="442.79050000000001"/>
    <n v="574203.10363188456"/>
    <n v="570"/>
    <x v="79"/>
    <n v="0.15398085502664643"/>
    <n v="2.4996586444837101"/>
    <n v="484.17264959210974"/>
    <n v="241.217625"/>
    <x v="7"/>
  </r>
  <r>
    <s v="SALE285"/>
    <d v="2025-03-05T00:00:00"/>
    <s v="CUST1225"/>
    <s v="PROD19"/>
    <s v="STORE7"/>
    <n v="2"/>
    <n v="350.12"/>
    <n v="0.21"/>
    <s v="COD"/>
    <n v="553.18960000000004"/>
    <n v="573760.31313188456"/>
    <n v="569"/>
    <x v="237"/>
    <n v="0.1539831789350099"/>
    <n v="2.5005341019527605"/>
    <n v="484.15119171096086"/>
    <n v="226.37990000000002"/>
    <x v="9"/>
  </r>
  <r>
    <s v="SALE286"/>
    <d v="2024-01-17T00:00:00"/>
    <s v="CUST1466"/>
    <s v="PROD48"/>
    <s v="STORE19"/>
    <n v="3"/>
    <n v="807.95"/>
    <n v="0.1"/>
    <s v="PayPal"/>
    <n v="2181.4650000000011"/>
    <n v="573760.31313188456"/>
    <n v="569"/>
    <x v="238"/>
    <n v="0.15395045882924766"/>
    <n v="2.5008264700029668"/>
    <n v="484.22948095845567"/>
    <n v="748.12875000000031"/>
    <x v="4"/>
  </r>
  <r>
    <s v="SALE287"/>
    <d v="2025-08-20T00:00:00"/>
    <s v="CUST1335"/>
    <s v="PROD38"/>
    <s v="STORE6"/>
    <n v="4"/>
    <n v="766.03"/>
    <n v="0.28999999999999998"/>
    <s v="PayPal"/>
    <n v="2175.5252"/>
    <n v="573760.31313188456"/>
    <n v="569"/>
    <x v="69"/>
    <n v="0.15398199036567622"/>
    <n v="2.5005347262683095"/>
    <n v="484.04028135644427"/>
    <n v="736.46129999999994"/>
    <x v="7"/>
  </r>
  <r>
    <s v="SALE288"/>
    <d v="2024-04-04T00:00:00"/>
    <s v="CUST1182"/>
    <s v="PROD57"/>
    <s v="STORE8"/>
    <n v="3"/>
    <n v="545.1"/>
    <n v="0.08"/>
    <s v="COD"/>
    <n v="1504.4760000000001"/>
    <n v="573760.31313188456"/>
    <n v="569"/>
    <x v="239"/>
    <n v="0.15390244766998362"/>
    <n v="2.4996578459912735"/>
    <n v="483.87537508823169"/>
    <n v="513.16399999999999"/>
    <x v="10"/>
  </r>
  <r>
    <s v="SALE289"/>
    <d v="2024-05-26T00:00:00"/>
    <s v="CUST1263"/>
    <s v="PROD65"/>
    <s v="STORE7"/>
    <n v="1"/>
    <n v="203.61"/>
    <n v="0.24"/>
    <s v="COD"/>
    <n v="154.74359999999999"/>
    <n v="573760.31313188456"/>
    <n v="569"/>
    <x v="240"/>
    <n v="0.15394569076399767"/>
    <n v="2.4993650770304727"/>
    <n v="483.83955026382461"/>
    <n v="89.898400000000009"/>
    <x v="5"/>
  </r>
  <r>
    <s v="SALE290"/>
    <d v="2025-07-18T00:00:00"/>
    <s v="CUST1417"/>
    <s v="PROD97"/>
    <s v="STORE15"/>
    <n v="4"/>
    <n v="493.8"/>
    <n v="0.24"/>
    <s v="COD"/>
    <n v="1501.152"/>
    <n v="573760.31313188456"/>
    <n v="569"/>
    <x v="241"/>
    <n v="0.15389530767896487"/>
    <n v="2.5002429254362282"/>
    <n v="484.00361908716411"/>
    <n v="499.798"/>
    <x v="0"/>
  </r>
  <r>
    <s v="SALE291"/>
    <d v="2024-07-12T00:00:00"/>
    <s v="CUST1017"/>
    <s v="PROD41"/>
    <s v="STORE17"/>
    <n v="1"/>
    <n v="640.54999999999995"/>
    <n v="0.25"/>
    <s v="Credit Card"/>
    <n v="480.41250000000002"/>
    <n v="573760.31313188456"/>
    <n v="569"/>
    <x v="242"/>
    <n v="0.15384486556278384"/>
    <n v="2.4993643331254116"/>
    <n v="483.99788014111084"/>
    <n v="280.55312500000002"/>
    <x v="0"/>
  </r>
  <r>
    <s v="SALE292"/>
    <d v="2024-09-10T00:00:00"/>
    <s v="CUST1119"/>
    <s v="PROD74"/>
    <s v="STORE4"/>
    <n v="1"/>
    <n v="702.53"/>
    <n v="0.3"/>
    <s v="Credit Card"/>
    <n v="491.77100000000002"/>
    <n v="573279.90063188458"/>
    <n v="568"/>
    <x v="81"/>
    <n v="0.15378850264693555"/>
    <n v="2.5002432102257197"/>
    <n v="483.90611453744214"/>
    <n v="298.90024999999997"/>
    <x v="8"/>
  </r>
  <r>
    <s v="SALE293"/>
    <d v="2025-06-18T00:00:00"/>
    <s v="CUST1224"/>
    <s v="PROD39"/>
    <s v="STORE8"/>
    <n v="4"/>
    <n v="139.94"/>
    <n v="0.24"/>
    <s v="Credit Card"/>
    <n v="425.41759999999999"/>
    <n v="572788.12963188451"/>
    <n v="567"/>
    <x v="220"/>
    <n v="0.15370274810303347"/>
    <n v="2.5011231182669085"/>
    <n v="483.77788938467813"/>
    <n v="142.39940000000001"/>
    <x v="2"/>
  </r>
  <r>
    <s v="SALE294"/>
    <d v="2024-12-28T00:00:00"/>
    <s v="CUST1277"/>
    <s v="PROD19"/>
    <s v="STORE8"/>
    <n v="2"/>
    <n v="230.85"/>
    <n v="0.18"/>
    <s v="Credit Card"/>
    <n v="378.59399999999999"/>
    <n v="572362.71203188447"/>
    <n v="566"/>
    <x v="243"/>
    <n v="0.15365210417586384"/>
    <n v="2.5002434956837312"/>
    <n v="483.97967218361276"/>
    <n v="152.90600000000001"/>
    <x v="1"/>
  </r>
  <r>
    <s v="SALE295"/>
    <d v="2024-09-21T00:00:00"/>
    <s v="CUST1211"/>
    <s v="PROD85"/>
    <s v="STORE17"/>
    <n v="4"/>
    <n v="626.35"/>
    <n v="0.25"/>
    <s v="COD"/>
    <n v="1879.05"/>
    <n v="571984.11803188454"/>
    <n v="565"/>
    <x v="90"/>
    <n v="0.15363663271619024"/>
    <n v="2.5005372381944087"/>
    <n v="484.12830968929893"/>
    <n v="627.41250000000002"/>
    <x v="8"/>
  </r>
  <r>
    <s v="SALE296"/>
    <d v="2024-05-22T00:00:00"/>
    <s v="CUST1082"/>
    <s v="PROD41"/>
    <s v="STORE14"/>
    <n v="4"/>
    <n v="108.55"/>
    <n v="0.18"/>
    <s v="PayPal"/>
    <n v="356.04399999999998"/>
    <n v="571984.11803188454"/>
    <n v="565"/>
    <x v="244"/>
    <n v="0.15358001499158169"/>
    <n v="2.499656237746815"/>
    <n v="484.04474817912825"/>
    <n v="117.1935"/>
    <x v="5"/>
  </r>
  <r>
    <s v="SALE297"/>
    <d v="2025-08-02T00:00:00"/>
    <s v="CUST1191"/>
    <s v="PROD17"/>
    <s v="STORE1"/>
    <n v="4"/>
    <n v="353.67"/>
    <n v="0.03"/>
    <s v="COD"/>
    <n v="1372.2396000000001"/>
    <n v="571984.11803188454"/>
    <n v="565"/>
    <x v="245"/>
    <n v="0.15356448296041864"/>
    <n v="2.4987742014374357"/>
    <n v="484.26549759016831"/>
    <n v="432.48490000000004"/>
    <x v="7"/>
  </r>
  <r>
    <s v="SALE298"/>
    <d v="2024-10-18T00:00:00"/>
    <s v="CUST1065"/>
    <s v="PROD90"/>
    <s v="STORE1"/>
    <n v="4"/>
    <n v="61.98"/>
    <n v="0.16"/>
    <s v="Credit Card"/>
    <n v="208.25280000000001"/>
    <n v="571984.11803188454"/>
    <n v="565"/>
    <x v="246"/>
    <n v="0.15363716795039534"/>
    <n v="2.4978911274382818"/>
    <n v="484.34231847110368"/>
    <n v="68.598199999999991"/>
    <x v="11"/>
  </r>
  <r>
    <s v="SALE299"/>
    <d v="2024-02-26T00:00:00"/>
    <s v="CUST1216"/>
    <s v="PROD22"/>
    <s v="STORE19"/>
    <n v="2"/>
    <n v="873.1"/>
    <n v="0.12"/>
    <s v="PayPal"/>
    <n v="1536.6559999999999"/>
    <n v="571775.86523188453"/>
    <n v="564"/>
    <x v="196"/>
    <n v="0.15363342290504536"/>
    <n v="2.4970070139170564"/>
    <n v="484.59091312588362"/>
    <n v="602.96900000000005"/>
    <x v="6"/>
  </r>
  <r>
    <s v="SALE300"/>
    <d v="2023-12-08T00:00:00"/>
    <s v="CUST1198"/>
    <s v="PROD12"/>
    <s v="STORE15"/>
    <n v="4"/>
    <n v="889.47"/>
    <n v="0.24"/>
    <s v="Credit Card"/>
    <n v="2703.9888000000001"/>
    <n v="571775.86523188453"/>
    <n v="564"/>
    <x v="76"/>
    <n v="0.15365323057460073"/>
    <n v="2.4972997153386798"/>
    <n v="484.36210918779523"/>
    <n v="899.42470000000003"/>
    <x v="1"/>
  </r>
  <r>
    <s v="SALE301"/>
    <d v="2024-10-31T00:00:00"/>
    <s v="CUST1028"/>
    <s v="PROD74"/>
    <s v="STORE11"/>
    <n v="3"/>
    <n v="803.76"/>
    <n v="0.19"/>
    <s v="COD"/>
    <n v="1953.1368"/>
    <n v="569071.87643188471"/>
    <n v="563"/>
    <x v="247"/>
    <n v="0.15360234856551092"/>
    <n v="2.4964142113406469"/>
    <n v="484.1233891578529"/>
    <n v="690.02170000000001"/>
    <x v="11"/>
  </r>
  <r>
    <s v="SALE302"/>
    <d v="2024-11-28T00:00:00"/>
    <s v="CUST1468"/>
    <s v="PROD75"/>
    <s v="STORE5"/>
    <n v="2"/>
    <n v="865.14"/>
    <n v="0.2"/>
    <s v="PayPal"/>
    <n v="1384.2239999999999"/>
    <n v="569071.87643188471"/>
    <n v="563"/>
    <x v="248"/>
    <n v="0.1535808876861274"/>
    <n v="2.4961172857577116"/>
    <n v="483.93492417504507"/>
    <n v="562.89099999999996"/>
    <x v="3"/>
  </r>
  <r>
    <s v="SALE303"/>
    <d v="2025-06-05T00:00:00"/>
    <s v="CUST1097"/>
    <s v="PROD31"/>
    <s v="STORE9"/>
    <n v="2"/>
    <n v="916.49"/>
    <n v="0.3"/>
    <s v="COD"/>
    <n v="1283.086"/>
    <n v="569071.87643188471"/>
    <n v="563"/>
    <x v="249"/>
    <n v="0.15355350177915758"/>
    <n v="2.4964099803215802"/>
    <n v="483.71002442529579"/>
    <n v="550.46900000000005"/>
    <x v="2"/>
  </r>
  <r>
    <s v="SALE304"/>
    <d v="2024-11-19T00:00:00"/>
    <s v="CUST1042"/>
    <s v="PROD51"/>
    <s v="STORE12"/>
    <n v="3"/>
    <n v="781.39"/>
    <n v="0.12"/>
    <s v="Credit Card"/>
    <n v="2062.8696"/>
    <n v="569071.87643188471"/>
    <n v="563"/>
    <x v="250"/>
    <n v="0.15346705166214408"/>
    <n v="2.4967030204516405"/>
    <n v="483.45454628150912"/>
    <n v="711.84490000000005"/>
    <x v="3"/>
  </r>
  <r>
    <s v="SALE305"/>
    <d v="2024-05-19T00:00:00"/>
    <s v="CUST1211"/>
    <s v="PROD38"/>
    <s v="STORE12"/>
    <n v="4"/>
    <n v="619.74"/>
    <n v="0.13"/>
    <s v="COD"/>
    <n v="2156.6952000000001"/>
    <n v="567009.00683188473"/>
    <n v="562"/>
    <x v="251"/>
    <n v="0.15348681956034971"/>
    <n v="2.4964057393060122"/>
    <n v="483.27856550553832"/>
    <n v="695.1413"/>
    <x v="5"/>
  </r>
  <r>
    <s v="SALE306"/>
    <d v="2025-01-22T00:00:00"/>
    <s v="CUST1481"/>
    <s v="PROD62"/>
    <s v="STORE14"/>
    <n v="2"/>
    <n v="837.76"/>
    <n v="0.03"/>
    <s v="COD"/>
    <n v="1625.2544"/>
    <n v="567009.00683188473"/>
    <n v="562"/>
    <x v="252"/>
    <n v="0.15350070065938065"/>
    <n v="2.4955170902157677"/>
    <n v="483.19791453952502"/>
    <n v="616.26109999999994"/>
    <x v="4"/>
  </r>
  <r>
    <s v="SALE307"/>
    <d v="2025-07-04T00:00:00"/>
    <s v="CUST1451"/>
    <s v="PROD90"/>
    <s v="STORE1"/>
    <n v="3"/>
    <n v="135.94"/>
    <n v="0.2"/>
    <s v="Credit Card"/>
    <n v="326.25599999999997"/>
    <n v="567009.00683188473"/>
    <n v="562"/>
    <x v="253"/>
    <n v="0.15357373478159198"/>
    <n v="2.4958101222028852"/>
    <n v="482.98823855758502"/>
    <n v="116.34899999999999"/>
    <x v="0"/>
  </r>
  <r>
    <s v="SALE308"/>
    <d v="2025-05-19T00:00:00"/>
    <s v="CUST1479"/>
    <s v="PROD74"/>
    <s v="STORE1"/>
    <n v="4"/>
    <n v="396.53"/>
    <n v="7.0000000000000007E-2"/>
    <s v="PayPal"/>
    <n v="1475.0916"/>
    <n v="566682.75083188468"/>
    <n v="561"/>
    <x v="254"/>
    <n v="0.15354626361874085"/>
    <n v="2.4955117849970874"/>
    <n v="483.19359254489729"/>
    <n v="468.92289999999997"/>
    <x v="5"/>
  </r>
  <r>
    <s v="SALE309"/>
    <d v="2023-12-04T00:00:00"/>
    <s v="CUST1220"/>
    <s v="PROD29"/>
    <s v="STORE14"/>
    <n v="2"/>
    <n v="722.45"/>
    <n v="0.22"/>
    <s v="PayPal"/>
    <n v="1127.0219999999999"/>
    <n v="566682.75083188468"/>
    <n v="561"/>
    <x v="39"/>
    <n v="0.15359572854687512"/>
    <n v="2.4946210282090462"/>
    <n v="483.24490313847036"/>
    <n v="462.923"/>
    <x v="1"/>
  </r>
  <r>
    <s v="SALE310"/>
    <d v="2024-07-31T00:00:00"/>
    <s v="CUST1047"/>
    <s v="PROD64"/>
    <s v="STORE2"/>
    <n v="2"/>
    <n v="138.41"/>
    <n v="0.02"/>
    <s v="Credit Card"/>
    <n v="271.28359999999998"/>
    <n v="566682.75083188468"/>
    <n v="561"/>
    <x v="255"/>
    <n v="0.1535563895235024"/>
    <n v="2.494914050145189"/>
    <n v="483.10319395786524"/>
    <n v="102.9284"/>
    <x v="0"/>
  </r>
  <r>
    <s v="SALE311"/>
    <d v="2025-01-22T00:00:00"/>
    <s v="CUST1126"/>
    <s v="PROD80"/>
    <s v="STORE2"/>
    <n v="4"/>
    <n v="741.51"/>
    <n v="0.09"/>
    <s v="COD"/>
    <n v="2699.0963999999999"/>
    <n v="566411.46723188472"/>
    <n v="560"/>
    <x v="252"/>
    <n v="0.153635557507808"/>
    <n v="2.4952074194695193"/>
    <n v="483.30751713152131"/>
    <n v="861.17409999999995"/>
    <x v="4"/>
  </r>
  <r>
    <s v="SALE312"/>
    <d v="2024-11-15T00:00:00"/>
    <s v="CUST1023"/>
    <s v="PROD80"/>
    <s v="STORE17"/>
    <n v="2"/>
    <n v="588.9"/>
    <n v="0.19"/>
    <s v="PayPal"/>
    <n v="954.01800000000003"/>
    <n v="566411.46723188472"/>
    <n v="560"/>
    <x v="256"/>
    <n v="0.1536733010175991"/>
    <n v="2.4943148971797622"/>
    <n v="483.15437212388878"/>
    <n v="386.27700000000004"/>
    <x v="3"/>
  </r>
  <r>
    <s v="SALE313"/>
    <d v="2024-04-07T00:00:00"/>
    <s v="CUST1304"/>
    <s v="PROD50"/>
    <s v="STORE2"/>
    <n v="1"/>
    <n v="88.92"/>
    <n v="0.19"/>
    <s v="PayPal"/>
    <n v="72.025200000000012"/>
    <n v="566411.46723188472"/>
    <n v="560"/>
    <x v="257"/>
    <n v="0.15365174214579946"/>
    <n v="2.4946082591365455"/>
    <n v="483.09161507470412"/>
    <n v="40.533799999999999"/>
    <x v="10"/>
  </r>
  <r>
    <s v="SALE314"/>
    <d v="2024-02-17T00:00:00"/>
    <s v="CUST1118"/>
    <s v="PROD61"/>
    <s v="STORE16"/>
    <n v="1"/>
    <n v="299.13"/>
    <n v="0.1"/>
    <s v="COD"/>
    <n v="269.21699999999998"/>
    <n v="566411.46723188472"/>
    <n v="560"/>
    <x v="258"/>
    <n v="0.153630157669639"/>
    <n v="2.495495793732232"/>
    <n v="483.32568372973657"/>
    <n v="142.36175"/>
    <x v="6"/>
  </r>
  <r>
    <s v="SALE315"/>
    <d v="2024-05-21T00:00:00"/>
    <s v="CUST1116"/>
    <s v="PROD77"/>
    <s v="STORE3"/>
    <n v="2"/>
    <n v="548.29999999999995"/>
    <n v="0.23"/>
    <s v="Credit Card"/>
    <n v="844.38199999999995"/>
    <n v="566411.46723188472"/>
    <n v="560"/>
    <x v="138"/>
    <n v="0.15366202347930605"/>
    <n v="2.4963843830333206"/>
    <n v="483.43512858043755"/>
    <n v="348.72799999999995"/>
    <x v="5"/>
  </r>
  <r>
    <s v="SALE316"/>
    <d v="2024-05-23T00:00:00"/>
    <s v="CUST1262"/>
    <s v="PROD54"/>
    <s v="STORE10"/>
    <n v="3"/>
    <n v="977.55"/>
    <n v="0.02"/>
    <s v="PayPal"/>
    <n v="2873.9969999999989"/>
    <n v="565567.08523188473"/>
    <n v="559"/>
    <x v="259"/>
    <n v="0.15361663823761715"/>
    <n v="2.4966794985999279"/>
    <n v="483.39656444760789"/>
    <n v="963.64174999999977"/>
    <x v="5"/>
  </r>
  <r>
    <s v="SALE317"/>
    <d v="2025-06-15T00:00:00"/>
    <s v="CUST1346"/>
    <s v="PROD44"/>
    <s v="STORE18"/>
    <n v="1"/>
    <n v="459.42"/>
    <n v="0.28000000000000003"/>
    <s v="COD"/>
    <n v="330.7824"/>
    <n v="565567.08523188473"/>
    <n v="559"/>
    <x v="260"/>
    <n v="0.15369612463752055"/>
    <n v="2.4963800812879704"/>
    <n v="483.10260047642856"/>
    <n v="197.8706"/>
    <x v="2"/>
  </r>
  <r>
    <s v="SALE318"/>
    <d v="2025-01-06T00:00:00"/>
    <s v="CUST1088"/>
    <s v="PROD2"/>
    <s v="STORE4"/>
    <n v="2"/>
    <n v="123.19"/>
    <n v="0.19"/>
    <s v="Credit Card"/>
    <n v="199.56780000000001"/>
    <n v="565567.08523188473"/>
    <n v="559"/>
    <x v="261"/>
    <n v="0.15362094375932858"/>
    <n v="2.4972707837173083"/>
    <n v="483.11669726242638"/>
    <n v="81.236950000000007"/>
    <x v="4"/>
  </r>
  <r>
    <s v="SALE319"/>
    <d v="2025-08-10T00:00:00"/>
    <s v="CUST1358"/>
    <s v="PROD55"/>
    <s v="STORE19"/>
    <n v="1"/>
    <n v="222.95"/>
    <n v="0.02"/>
    <s v="PayPal"/>
    <n v="218.49100000000001"/>
    <n v="565367.51743188477"/>
    <n v="558"/>
    <x v="262"/>
    <n v="0.15359927666210368"/>
    <n v="2.497566954523573"/>
    <n v="483.33106694513197"/>
    <n v="110.61525"/>
    <x v="7"/>
  </r>
  <r>
    <s v="SALE320"/>
    <d v="2025-07-02T00:00:00"/>
    <s v="CUST1332"/>
    <s v="PROD32"/>
    <s v="STORE4"/>
    <n v="3"/>
    <n v="601.92999999999995"/>
    <n v="0.14000000000000001"/>
    <s v="Credit Card"/>
    <n v="1552.9793999999999"/>
    <n v="565367.51743188477"/>
    <n v="558"/>
    <x v="263"/>
    <n v="0.15367889482459601"/>
    <n v="2.4984594258909887"/>
    <n v="483.48624040576675"/>
    <n v="539.51234999999997"/>
    <x v="0"/>
  </r>
  <r>
    <s v="SALE321"/>
    <d v="2024-03-29T00:00:00"/>
    <s v="CUST1297"/>
    <s v="PROD69"/>
    <s v="STORE2"/>
    <n v="1"/>
    <n v="564.1"/>
    <n v="0.03"/>
    <s v="Credit Card"/>
    <n v="547.17700000000002"/>
    <n v="563814.5380318847"/>
    <n v="557"/>
    <x v="264"/>
    <n v="0.15368705158954807"/>
    <n v="2.498160355781204"/>
    <n v="483.41561204584173"/>
    <n v="278.07675"/>
    <x v="9"/>
  </r>
  <r>
    <s v="SALE322"/>
    <d v="2025-01-15T00:00:00"/>
    <s v="CUST1095"/>
    <s v="PROD80"/>
    <s v="STORE5"/>
    <n v="1"/>
    <n v="516.62"/>
    <n v="0.18"/>
    <s v="Credit Card"/>
    <n v="423.62840000000011"/>
    <n v="563267.36103188468"/>
    <n v="556"/>
    <x v="265"/>
    <n v="0.15376085054634375"/>
    <n v="2.499054246208281"/>
    <n v="483.36747100290967"/>
    <n v="235.3571"/>
    <x v="4"/>
  </r>
  <r>
    <s v="SALE323"/>
    <d v="2024-07-24T00:00:00"/>
    <s v="CUST1438"/>
    <s v="PROD63"/>
    <s v="STORE12"/>
    <n v="1"/>
    <n v="934.75"/>
    <n v="0.11"/>
    <s v="PayPal"/>
    <n v="831.92750000000001"/>
    <n v="562843.73263188475"/>
    <n v="555"/>
    <x v="184"/>
    <n v="0.1537451853824908"/>
    <n v="2.4999492039672111"/>
    <n v="483.34761874679197"/>
    <n v="441.94687499999998"/>
    <x v="0"/>
  </r>
  <r>
    <s v="SALE324"/>
    <d v="2024-04-25T00:00:00"/>
    <s v="CUST1234"/>
    <s v="PROD98"/>
    <s v="STORE7"/>
    <n v="4"/>
    <n v="548.44000000000005"/>
    <n v="0.05"/>
    <s v="PayPal"/>
    <n v="2084.0720000000001"/>
    <n v="562843.73263188475"/>
    <n v="555"/>
    <x v="266"/>
    <n v="0.1537713175123489"/>
    <n v="2.5008452309707758"/>
    <n v="483.07796379980681"/>
    <n v="659.14049999999997"/>
    <x v="10"/>
  </r>
  <r>
    <s v="SALE325"/>
    <d v="2025-04-17T00:00:00"/>
    <s v="CUST1013"/>
    <s v="PROD37"/>
    <s v="STORE3"/>
    <n v="3"/>
    <n v="361.11"/>
    <n v="0.06"/>
    <s v="Credit Card"/>
    <n v="1018.3302"/>
    <n v="562843.73263188475"/>
    <n v="555"/>
    <x v="267"/>
    <n v="0.15383334459992354"/>
    <n v="2.4999491432427248"/>
    <n v="483.03889503937626"/>
    <n v="345.62504999999999"/>
    <x v="10"/>
  </r>
  <r>
    <s v="SALE326"/>
    <d v="2025-09-24T00:00:00"/>
    <s v="CUST1187"/>
    <s v="PROD13"/>
    <s v="STORE1"/>
    <n v="2"/>
    <n v="610.37"/>
    <n v="0.1"/>
    <s v="PayPal"/>
    <n v="1098.6659999999999"/>
    <n v="561825.40243188478"/>
    <n v="554"/>
    <x v="268"/>
    <n v="0.15388946502133496"/>
    <n v="2.4996500697638031"/>
    <n v="483.11181901966302"/>
    <n v="427.78399999999999"/>
    <x v="8"/>
  </r>
  <r>
    <s v="SALE327"/>
    <d v="2023-11-10T00:00:00"/>
    <s v="CUST1334"/>
    <s v="PROD51"/>
    <s v="STORE16"/>
    <n v="1"/>
    <n v="272.2"/>
    <n v="0.3"/>
    <s v="Credit Card"/>
    <n v="190.54"/>
    <n v="561825.40243188478"/>
    <n v="554"/>
    <x v="269"/>
    <n v="0.1539217148507912"/>
    <n v="2.4999490823728774"/>
    <n v="483.03566211901648"/>
    <n v="116.00999999999999"/>
    <x v="3"/>
  </r>
  <r>
    <s v="SALE328"/>
    <d v="2024-02-27T00:00:00"/>
    <s v="CUST1438"/>
    <s v="PROD77"/>
    <s v="STORE6"/>
    <n v="3"/>
    <n v="573.1"/>
    <n v="0.16"/>
    <s v="COD"/>
    <n v="1444.212"/>
    <n v="561634.86243188474"/>
    <n v="553"/>
    <x v="209"/>
    <n v="0.15383424282375574"/>
    <n v="2.5008472554760948"/>
    <n v="483.16191101848898"/>
    <n v="505.11799999999999"/>
    <x v="6"/>
  </r>
  <r>
    <s v="SALE329"/>
    <d v="2025-04-09T00:00:00"/>
    <s v="CUST1322"/>
    <s v="PROD6"/>
    <s v="STORE0"/>
    <n v="4"/>
    <n v="24.72"/>
    <n v="0.28000000000000003"/>
    <s v="Credit Card"/>
    <n v="71.193599999999989"/>
    <n v="561634.86243188474"/>
    <n v="553"/>
    <x v="131"/>
    <n v="0.15383054854144523"/>
    <n v="2.500548182531503"/>
    <n v="483.10802360747556"/>
    <n v="25.048399999999997"/>
    <x v="10"/>
  </r>
  <r>
    <s v="SALE330"/>
    <d v="2024-07-05T00:00:00"/>
    <s v="CUST1251"/>
    <s v="PROD9"/>
    <s v="STORE9"/>
    <n v="3"/>
    <n v="268.89"/>
    <n v="7.0000000000000007E-2"/>
    <s v="COD"/>
    <n v="750.20309999999995"/>
    <n v="561563.66883188474"/>
    <n v="552"/>
    <x v="270"/>
    <n v="0.15375490738349645"/>
    <n v="2.4996492306025653"/>
    <n v="483.38283657126897"/>
    <n v="255.540775"/>
    <x v="0"/>
  </r>
  <r>
    <s v="SALE331"/>
    <d v="2025-08-21T00:00:00"/>
    <s v="CUST1257"/>
    <s v="PROD68"/>
    <s v="STORE9"/>
    <n v="1"/>
    <n v="78.5"/>
    <n v="0.17"/>
    <s v="COD"/>
    <n v="65.155000000000001"/>
    <n v="561563.66883188474"/>
    <n v="552"/>
    <x v="271"/>
    <n v="0.15380515027934738"/>
    <n v="2.499349080171013"/>
    <n v="483.5115065392182"/>
    <n v="36.206249999999997"/>
    <x v="7"/>
  </r>
  <r>
    <s v="SALE332"/>
    <d v="2025-06-07T00:00:00"/>
    <s v="CUST1133"/>
    <s v="PROD36"/>
    <s v="STORE4"/>
    <n v="3"/>
    <n v="399.42"/>
    <n v="0.02"/>
    <s v="Credit Card"/>
    <n v="1174.2947999999999"/>
    <n v="561563.66883188474"/>
    <n v="552"/>
    <x v="272"/>
    <n v="0.15379542948119573"/>
    <n v="2.5002490496068899"/>
    <n v="483.75461068479996"/>
    <n v="394.18369999999999"/>
    <x v="2"/>
  </r>
  <r>
    <s v="SALE333"/>
    <d v="2025-08-22T00:00:00"/>
    <s v="CUST1085"/>
    <s v="PROD31"/>
    <s v="STORE19"/>
    <n v="3"/>
    <n v="455.82"/>
    <n v="0.01"/>
    <s v="PayPal"/>
    <n v="1353.7854"/>
    <n v="560389.3740318846"/>
    <n v="551"/>
    <x v="99"/>
    <n v="0.15387578709649977"/>
    <n v="2.4999488988859331"/>
    <n v="483.80526210262855"/>
    <n v="453.15384999999998"/>
    <x v="7"/>
  </r>
  <r>
    <s v="SALE334"/>
    <d v="2024-11-13T00:00:00"/>
    <s v="CUST1349"/>
    <s v="PROD50"/>
    <s v="STORE5"/>
    <n v="2"/>
    <n v="613.23"/>
    <n v="0.15"/>
    <s v="PayPal"/>
    <n v="1042.491"/>
    <n v="560389.3740318846"/>
    <n v="551"/>
    <x v="75"/>
    <n v="0.15396225091086063"/>
    <n v="2.4996483874068978"/>
    <n v="483.82208016879611"/>
    <n v="414.46775000000002"/>
    <x v="3"/>
  </r>
  <r>
    <s v="SALE335"/>
    <d v="2024-01-18T00:00:00"/>
    <s v="CUST1458"/>
    <s v="PROD2"/>
    <s v="STORE14"/>
    <n v="4"/>
    <n v="971.9"/>
    <n v="0.28000000000000003"/>
    <s v="PayPal"/>
    <n v="2799.0720000000001"/>
    <n v="560389.3740318846"/>
    <n v="551"/>
    <x v="273"/>
    <n v="0.15396463350311007"/>
    <n v="2.4999488374293914"/>
    <n v="483.74426422181403"/>
    <n v="943.81299999999999"/>
    <x v="4"/>
  </r>
  <r>
    <s v="SALE336"/>
    <d v="2024-08-15T00:00:00"/>
    <s v="CUST1034"/>
    <s v="PROD28"/>
    <s v="STORE7"/>
    <n v="3"/>
    <n v="884.92"/>
    <n v="0.06"/>
    <s v="PayPal"/>
    <n v="2495.4744000000001"/>
    <n v="560389.3740318846"/>
    <n v="551"/>
    <x v="274"/>
    <n v="0.15388879994926116"/>
    <n v="2.4990462795698427"/>
    <n v="483.45054837597877"/>
    <n v="845.86360000000002"/>
    <x v="7"/>
  </r>
  <r>
    <s v="SALE337"/>
    <d v="2025-09-21T00:00:00"/>
    <s v="CUST1087"/>
    <s v="PROD8"/>
    <s v="STORE9"/>
    <n v="1"/>
    <n v="125"/>
    <n v="0.23"/>
    <s v="Credit Card"/>
    <n v="96.25"/>
    <n v="560389.3740318846"/>
    <n v="551"/>
    <x v="275"/>
    <n v="0.15394532541581701"/>
    <n v="2.4987446819055261"/>
    <n v="483.20884491323102"/>
    <n v="55.620000000000005"/>
    <x v="8"/>
  </r>
  <r>
    <s v="SALE338"/>
    <d v="2024-06-22T00:00:00"/>
    <s v="CUST1128"/>
    <s v="PROD10"/>
    <s v="STORE15"/>
    <n v="2"/>
    <n v="188.25"/>
    <n v="0.08"/>
    <s v="PayPal"/>
    <n v="346.38"/>
    <n v="560293.1240318846"/>
    <n v="550"/>
    <x v="180"/>
    <n v="0.15389950934679039"/>
    <n v="2.4996475401476377"/>
    <n v="483.42463337402211"/>
    <n v="134.17750000000001"/>
    <x v="2"/>
  </r>
  <r>
    <s v="SALE339"/>
    <d v="2024-01-12T00:00:00"/>
    <s v="CUST1222"/>
    <s v="PROD46"/>
    <s v="STORE6"/>
    <n v="4"/>
    <n v="344.12"/>
    <n v="0.25"/>
    <s v="PayPal"/>
    <n v="1032.3599999999999"/>
    <n v="560293.1240318846"/>
    <n v="550"/>
    <x v="276"/>
    <n v="0.15394405395760824"/>
    <n v="2.4999487140717775"/>
    <n v="483.60255660089013"/>
    <n v="345.1825"/>
    <x v="4"/>
  </r>
  <r>
    <s v="SALE340"/>
    <d v="2023-10-19T00:00:00"/>
    <s v="CUST1047"/>
    <s v="PROD17"/>
    <s v="STORE19"/>
    <n v="3"/>
    <n v="997.95"/>
    <n v="0.09"/>
    <s v="COD"/>
    <n v="2724.4034999999999"/>
    <n v="560293.1240318846"/>
    <n v="550"/>
    <x v="47"/>
    <n v="0.15388611912887337"/>
    <n v="2.4990439786761636"/>
    <n v="483.68668359522115"/>
    <n v="931.36087499999996"/>
    <x v="11"/>
  </r>
  <r>
    <s v="SALE341"/>
    <d v="2025-03-11T00:00:00"/>
    <s v="CUST1150"/>
    <s v="PROD11"/>
    <s v="STORE15"/>
    <n v="3"/>
    <n v="121.64"/>
    <n v="7.0000000000000007E-2"/>
    <s v="PayPal"/>
    <n v="339.37560000000002"/>
    <n v="560293.1240318846"/>
    <n v="550"/>
    <x v="277"/>
    <n v="0.15392467442104529"/>
    <n v="2.4987416515661303"/>
    <n v="483.37632552859185"/>
    <n v="116.0214"/>
    <x v="9"/>
  </r>
  <r>
    <s v="SALE342"/>
    <d v="2024-09-22T00:00:00"/>
    <s v="CUST1221"/>
    <s v="PROD68"/>
    <s v="STORE10"/>
    <n v="2"/>
    <n v="692.72"/>
    <n v="0.13"/>
    <s v="PayPal"/>
    <n v="1205.3327999999999"/>
    <n v="560293.1240318846"/>
    <n v="550"/>
    <x v="278"/>
    <n v="0.15397535357226574"/>
    <n v="2.4984389593267378"/>
    <n v="483.59476533869366"/>
    <n v="475.04570000000001"/>
    <x v="8"/>
  </r>
  <r>
    <s v="SALE343"/>
    <d v="2024-11-27T00:00:00"/>
    <s v="CUST1027"/>
    <s v="PROD24"/>
    <s v="STORE19"/>
    <n v="3"/>
    <n v="794.59"/>
    <n v="0.03"/>
    <s v="PayPal"/>
    <n v="2312.2568999999999"/>
    <n v="560293.1240318846"/>
    <n v="550"/>
    <x v="279"/>
    <n v="0.15398984019073839"/>
    <n v="2.4987401309033705"/>
    <n v="483.46840568028807"/>
    <n v="777.46922499999994"/>
    <x v="3"/>
  </r>
  <r>
    <s v="SALE344"/>
    <d v="2023-10-25T00:00:00"/>
    <s v="CUST1014"/>
    <s v="PROD26"/>
    <s v="STORE9"/>
    <n v="1"/>
    <n v="907.95"/>
    <n v="0.1"/>
    <s v="PayPal"/>
    <n v="817.15500000000009"/>
    <n v="560293.1240318846"/>
    <n v="550"/>
    <x v="183"/>
    <n v="0.15406480381842325"/>
    <n v="2.4984370717322122"/>
    <n v="483.28030314442361"/>
    <n v="431.55125000000004"/>
    <x v="11"/>
  </r>
  <r>
    <s v="SALE345"/>
    <d v="2025-10-10T00:00:00"/>
    <s v="CUST1287"/>
    <s v="PROD50"/>
    <s v="STORE0"/>
    <n v="2"/>
    <n v="660.81"/>
    <n v="0.18"/>
    <s v="Credit Card"/>
    <n v="1083.7284"/>
    <n v="560293.1240318846"/>
    <n v="550"/>
    <x v="280"/>
    <n v="0.15409751089877316"/>
    <n v="2.4993435672384021"/>
    <n v="483.02339467687642"/>
    <n v="436.67959999999994"/>
    <x v="11"/>
  </r>
  <r>
    <s v="SALE346"/>
    <d v="2025-09-15T00:00:00"/>
    <s v="CUST1061"/>
    <s v="PROD51"/>
    <s v="STORE8"/>
    <n v="3"/>
    <n v="564.94000000000005"/>
    <n v="0.22"/>
    <s v="COD"/>
    <n v="1321.9595999999999"/>
    <n v="559209.39563188457"/>
    <n v="549"/>
    <x v="192"/>
    <n v="0.15408183142595158"/>
    <n v="2.4996458333202658"/>
    <n v="482.91577566639029"/>
    <n v="472.5299"/>
    <x v="8"/>
  </r>
  <r>
    <s v="SALE347"/>
    <d v="2024-09-06T00:00:00"/>
    <s v="CUST1054"/>
    <s v="PROD15"/>
    <s v="STORE15"/>
    <n v="2"/>
    <n v="280.37"/>
    <n v="0.22"/>
    <s v="COD"/>
    <n v="437.37720000000002"/>
    <n v="559209.39563188457"/>
    <n v="549"/>
    <x v="281"/>
    <n v="0.1540419052184567"/>
    <n v="2.4993427720442636"/>
    <n v="482.86609412530396"/>
    <n v="179.99180000000001"/>
    <x v="8"/>
  </r>
  <r>
    <s v="SALE348"/>
    <d v="2024-07-16T00:00:00"/>
    <s v="CUST1372"/>
    <s v="PROD50"/>
    <s v="STORE3"/>
    <n v="2"/>
    <n v="85.23"/>
    <n v="0.13"/>
    <s v="Credit Card"/>
    <n v="148.30019999999999"/>
    <n v="559209.39563188457"/>
    <n v="549"/>
    <x v="282"/>
    <n v="0.15400193061555881"/>
    <n v="2.4996454040273206"/>
    <n v="482.98881903083446"/>
    <n v="58.915049999999994"/>
    <x v="0"/>
  </r>
  <r>
    <s v="SALE349"/>
    <d v="2025-04-01T00:00:00"/>
    <s v="CUST1312"/>
    <s v="PROD27"/>
    <s v="STORE13"/>
    <n v="2"/>
    <n v="563.29999999999995"/>
    <n v="0.26"/>
    <s v="Credit Card"/>
    <n v="833.68399999999997"/>
    <n v="559061.09543188463"/>
    <n v="548"/>
    <x v="283"/>
    <n v="0.1540164860616568"/>
    <n v="2.4999484030594776"/>
    <n v="483.23003117093805"/>
    <n v="349.81099999999998"/>
    <x v="10"/>
  </r>
  <r>
    <s v="SALE350"/>
    <d v="2024-01-18T00:00:00"/>
    <s v="CUST1033"/>
    <s v="PROD80"/>
    <s v="STORE18"/>
    <n v="2"/>
    <n v="827.81"/>
    <n v="0.04"/>
    <s v="PayPal"/>
    <n v="1589.3951999999999"/>
    <n v="558227.41143188474"/>
    <n v="547"/>
    <x v="273"/>
    <n v="0.15395217567698546"/>
    <n v="2.5002517698089064"/>
    <n v="483.18144502480391"/>
    <n v="604.81129999999996"/>
    <x v="4"/>
  </r>
  <r>
    <s v="SALE351"/>
    <d v="2024-11-25T00:00:00"/>
    <s v="CUST1214"/>
    <s v="PROD12"/>
    <s v="STORE18"/>
    <n v="3"/>
    <n v="877.71"/>
    <n v="0.12"/>
    <s v="PayPal"/>
    <n v="2317.1543999999999"/>
    <n v="558227.41143188474"/>
    <n v="547"/>
    <x v="284"/>
    <n v="0.15402136339749364"/>
    <n v="2.5005555049454027"/>
    <n v="482.97219878620331"/>
    <n v="799.49609999999996"/>
    <x v="3"/>
  </r>
  <r>
    <s v="SALE352"/>
    <d v="2024-11-07T00:00:00"/>
    <s v="CUST1257"/>
    <s v="PROD57"/>
    <s v="STORE9"/>
    <n v="4"/>
    <n v="488.56"/>
    <n v="0.26"/>
    <s v="COD"/>
    <n v="1446.1376"/>
    <n v="558227.41143188474"/>
    <n v="547"/>
    <x v="285"/>
    <n v="0.15404203251255894"/>
    <n v="2.5002520757260496"/>
    <n v="482.73238238206369"/>
    <n v="484.73939999999999"/>
    <x v="3"/>
  </r>
  <r>
    <s v="SALE353"/>
    <d v="2024-07-28T00:00:00"/>
    <s v="CUST1104"/>
    <s v="PROD25"/>
    <s v="STORE12"/>
    <n v="4"/>
    <n v="175.91"/>
    <n v="0.13"/>
    <s v="PayPal"/>
    <n v="612.16679999999997"/>
    <n v="558227.41143188474"/>
    <n v="547"/>
    <x v="286"/>
    <n v="0.15397762037426871"/>
    <n v="2.4993403748602301"/>
    <n v="482.72883975737193"/>
    <n v="198.05169999999998"/>
    <x v="0"/>
  </r>
  <r>
    <s v="SALE354"/>
    <d v="2024-04-16T00:00:00"/>
    <s v="CUST1248"/>
    <s v="PROD87"/>
    <s v="STORE8"/>
    <n v="4"/>
    <n v="289.66000000000003"/>
    <n v="0.25"/>
    <s v="COD"/>
    <n v="868.98"/>
    <n v="558227.41143188474"/>
    <n v="547"/>
    <x v="287"/>
    <n v="0.15399220530150368"/>
    <n v="2.4984275648692695"/>
    <n v="482.91546922194453"/>
    <n v="290.72250000000003"/>
    <x v="10"/>
  </r>
  <r>
    <s v="SALE355"/>
    <d v="2024-01-13T00:00:00"/>
    <s v="CUST1241"/>
    <s v="PROD15"/>
    <s v="STORE15"/>
    <n v="2"/>
    <n v="899.27"/>
    <n v="0.17"/>
    <s v="Credit Card"/>
    <n v="1492.7882"/>
    <n v="558227.41143188474"/>
    <n v="547"/>
    <x v="288"/>
    <n v="0.15393377085555207"/>
    <n v="2.4975136437279848"/>
    <n v="483.03309275768521"/>
    <n v="598.55705"/>
    <x v="4"/>
  </r>
  <r>
    <s v="SALE356"/>
    <d v="2024-01-08T00:00:00"/>
    <s v="CUST1065"/>
    <s v="PROD18"/>
    <s v="STORE1"/>
    <n v="1"/>
    <n v="691.38"/>
    <n v="0.11"/>
    <s v="COD"/>
    <n v="615.32820000000004"/>
    <n v="556734.62323188479"/>
    <n v="546"/>
    <x v="289"/>
    <n v="0.153923986306743"/>
    <n v="2.4978166362028493"/>
    <n v="482.77959890430992"/>
    <n v="326.95455000000004"/>
    <x v="4"/>
  </r>
  <r>
    <s v="SALE357"/>
    <d v="2024-09-29T00:00:00"/>
    <s v="CUST1165"/>
    <s v="PROD27"/>
    <s v="STORE0"/>
    <n v="3"/>
    <n v="158.72"/>
    <n v="0.13"/>
    <s v="Credit Card"/>
    <n v="414.25920000000002"/>
    <n v="556734.62323188479"/>
    <n v="546"/>
    <x v="290"/>
    <n v="0.15395075290412677"/>
    <n v="2.4987293824771957"/>
    <n v="482.65248104867572"/>
    <n v="144.0273"/>
    <x v="8"/>
  </r>
  <r>
    <s v="SALE358"/>
    <d v="2024-05-01T00:00:00"/>
    <s v="CUST1210"/>
    <s v="PROD60"/>
    <s v="STORE16"/>
    <n v="4"/>
    <n v="537.15"/>
    <n v="0.06"/>
    <s v="COD"/>
    <n v="2019.684"/>
    <n v="556320.36403188482"/>
    <n v="545"/>
    <x v="106"/>
    <n v="0.15396535702175124"/>
    <n v="2.4984237296616327"/>
    <n v="482.85000085419318"/>
    <n v="640.22349999999994"/>
    <x v="5"/>
  </r>
  <r>
    <s v="SALE359"/>
    <d v="2024-07-07T00:00:00"/>
    <s v="CUST1417"/>
    <s v="PROD41"/>
    <s v="STORE9"/>
    <n v="3"/>
    <n v="771.7"/>
    <n v="0.05"/>
    <s v="COD"/>
    <n v="2199.3449999999998"/>
    <n v="556320.36403188482"/>
    <n v="545"/>
    <x v="0"/>
    <n v="0.15402268792902504"/>
    <n v="2.4975075757444043"/>
    <n v="482.81687089742331"/>
    <n v="743.52374999999995"/>
    <x v="0"/>
  </r>
  <r>
    <s v="SALE360"/>
    <d v="2024-11-14T00:00:00"/>
    <s v="CUST1108"/>
    <s v="PROD88"/>
    <s v="STORE1"/>
    <n v="4"/>
    <n v="677.25"/>
    <n v="0.14000000000000001"/>
    <s v="PayPal"/>
    <n v="2329.7399999999998"/>
    <n v="556320.36403188482"/>
    <n v="545"/>
    <x v="291"/>
    <n v="0.15408619384351163"/>
    <n v="2.4972008038126243"/>
    <n v="482.64050757074284"/>
    <n v="752.78249999999991"/>
    <x v="3"/>
  </r>
  <r>
    <s v="SALE361"/>
    <d v="2025-04-16T00:00:00"/>
    <s v="CUST1102"/>
    <s v="PROD98"/>
    <s v="STORE11"/>
    <n v="1"/>
    <n v="645.48"/>
    <n v="0.26"/>
    <s v="COD"/>
    <n v="477.65519999999998"/>
    <n v="556320.36403188482"/>
    <n v="545"/>
    <x v="171"/>
    <n v="0.15409479872673917"/>
    <n v="2.4962827835339509"/>
    <n v="482.52162577939941"/>
    <n v="281.09879999999998"/>
    <x v="10"/>
  </r>
  <r>
    <s v="SALE362"/>
    <d v="2025-07-18T00:00:00"/>
    <s v="CUST1360"/>
    <s v="PROD73"/>
    <s v="STORE2"/>
    <n v="2"/>
    <n v="934"/>
    <n v="0.3"/>
    <s v="COD"/>
    <n v="1307.5999999999999"/>
    <n v="556320.36403188482"/>
    <n v="545"/>
    <x v="241"/>
    <n v="0.15403006449613205"/>
    <n v="2.4971973818123949"/>
    <n v="482.42201797119611"/>
    <n v="560.97499999999991"/>
    <x v="0"/>
  </r>
  <r>
    <s v="SALE363"/>
    <d v="2025-02-24T00:00:00"/>
    <s v="CUST1334"/>
    <s v="PROD46"/>
    <s v="STORE2"/>
    <n v="1"/>
    <n v="669.53"/>
    <n v="0.2"/>
    <s v="Credit Card"/>
    <n v="535.62400000000002"/>
    <n v="556320.36403188482"/>
    <n v="545"/>
    <x v="292"/>
    <n v="0.15394078624811744"/>
    <n v="2.4975014780703844"/>
    <n v="482.14582348677487"/>
    <n v="301.58850000000001"/>
    <x v="6"/>
  </r>
  <r>
    <s v="SALE364"/>
    <d v="2025-03-07T00:00:00"/>
    <s v="CUST1216"/>
    <s v="PROD35"/>
    <s v="STORE18"/>
    <n v="1"/>
    <n v="213.69"/>
    <n v="0.28000000000000003"/>
    <s v="COD"/>
    <n v="153.85679999999999"/>
    <n v="555784.74003188463"/>
    <n v="544"/>
    <x v="122"/>
    <n v="0.15391259823480541"/>
    <n v="2.4984179416432548"/>
    <n v="482.03114528817434"/>
    <n v="92.206699999999998"/>
    <x v="9"/>
  </r>
  <r>
    <s v="SALE365"/>
    <d v="2025-02-18T00:00:00"/>
    <s v="CUST1077"/>
    <s v="PROD21"/>
    <s v="STORE19"/>
    <n v="2"/>
    <n v="99.1"/>
    <n v="0.2"/>
    <s v="PayPal"/>
    <n v="158.56"/>
    <n v="555784.74003188463"/>
    <n v="544"/>
    <x v="52"/>
    <n v="0.15383538610880101"/>
    <n v="2.4993355276454858"/>
    <n v="482.19546932080641"/>
    <n v="64.965000000000003"/>
    <x v="6"/>
  </r>
  <r>
    <s v="SALE366"/>
    <d v="2024-06-26T00:00:00"/>
    <s v="CUST1370"/>
    <s v="PROD37"/>
    <s v="STORE16"/>
    <n v="1"/>
    <n v="628.98"/>
    <n v="0.03"/>
    <s v="COD"/>
    <n v="610.11059999999998"/>
    <n v="555784.74003188463"/>
    <n v="544"/>
    <x v="293"/>
    <n v="0.15380709896793629"/>
    <n v="2.4996414930423274"/>
    <n v="482.4302091917138"/>
    <n v="310.03014999999999"/>
    <x v="2"/>
  </r>
  <r>
    <s v="SALE367"/>
    <d v="2025-02-23T00:00:00"/>
    <s v="CUST1085"/>
    <s v="PROD84"/>
    <s v="STORE4"/>
    <n v="3"/>
    <n v="944.64"/>
    <n v="0.26"/>
    <s v="Credit Card"/>
    <n v="2097.1008000000002"/>
    <n v="555784.74003188463"/>
    <n v="544"/>
    <x v="294"/>
    <n v="0.15388300767361865"/>
    <n v="2.5005609544114522"/>
    <n v="482.34035646896194"/>
    <n v="761.25020000000006"/>
    <x v="6"/>
  </r>
  <r>
    <s v="SALE368"/>
    <d v="2025-06-15T00:00:00"/>
    <s v="CUST1471"/>
    <s v="PROD93"/>
    <s v="STORE12"/>
    <n v="2"/>
    <n v="121.7"/>
    <n v="0.06"/>
    <s v="COD"/>
    <n v="228.79599999999999"/>
    <n v="553687.6392318845"/>
    <n v="543"/>
    <x v="260"/>
    <n v="0.15381790522433866"/>
    <n v="2.500254550089005"/>
    <n v="482.05673705575271"/>
    <n v="88.138999999999996"/>
    <x v="2"/>
  </r>
  <r>
    <s v="SALE369"/>
    <d v="2023-10-18T00:00:00"/>
    <s v="CUST1448"/>
    <s v="PROD65"/>
    <s v="STORE3"/>
    <n v="4"/>
    <n v="269.49"/>
    <n v="7.0000000000000007E-2"/>
    <s v="PayPal"/>
    <n v="1002.5028"/>
    <n v="553687.6392318845"/>
    <n v="543"/>
    <x v="30"/>
    <n v="0.15387549755412649"/>
    <n v="2.5005616431215949"/>
    <n v="482.27795052233074"/>
    <n v="319.01569999999998"/>
    <x v="11"/>
  </r>
  <r>
    <s v="SALE370"/>
    <d v="2025-03-17T00:00:00"/>
    <s v="CUST1099"/>
    <s v="PROD22"/>
    <s v="STORE18"/>
    <n v="1"/>
    <n v="678.2"/>
    <n v="0.14000000000000001"/>
    <s v="Credit Card"/>
    <n v="583.25200000000007"/>
    <n v="553687.6392318845"/>
    <n v="543"/>
    <x v="295"/>
    <n v="0.15392701813001969"/>
    <n v="2.4996406121898516"/>
    <n v="482.40865565164427"/>
    <n v="315.64800000000002"/>
    <x v="9"/>
  </r>
  <r>
    <s v="SALE371"/>
    <d v="2024-08-16T00:00:00"/>
    <s v="CUST1231"/>
    <s v="PROD90"/>
    <s v="STORE13"/>
    <n v="1"/>
    <n v="752.45"/>
    <n v="0.21"/>
    <s v="COD"/>
    <n v="594.43550000000005"/>
    <n v="553104.38723188464"/>
    <n v="542"/>
    <x v="296"/>
    <n v="0.15393557806740751"/>
    <n v="2.5005623335249405"/>
    <n v="482.28831677988745"/>
    <n v="337.02387500000003"/>
    <x v="7"/>
  </r>
  <r>
    <s v="SALE372"/>
    <d v="2024-03-22T00:00:00"/>
    <s v="CUST1037"/>
    <s v="PROD94"/>
    <s v="STORE13"/>
    <n v="2"/>
    <n v="209.66"/>
    <n v="0.21"/>
    <s v="Credit Card"/>
    <n v="331.26280000000003"/>
    <n v="553104.38723188464"/>
    <n v="542"/>
    <x v="297"/>
    <n v="0.15390109810311933"/>
    <n v="2.5014851885886089"/>
    <n v="482.12216568319616"/>
    <n v="135.78320000000002"/>
    <x v="9"/>
  </r>
  <r>
    <s v="SALE373"/>
    <d v="2025-01-31T00:00:00"/>
    <s v="CUST1161"/>
    <s v="PROD97"/>
    <s v="STORE19"/>
    <n v="2"/>
    <n v="739.95"/>
    <n v="0.1"/>
    <s v="COD"/>
    <n v="1331.91"/>
    <n v="552773.12443188461"/>
    <n v="541"/>
    <x v="298"/>
    <n v="0.153866575701952"/>
    <n v="2.5017937948585094"/>
    <n v="482.28983470823192"/>
    <n v="518.49"/>
    <x v="4"/>
  </r>
  <r>
    <s v="SALE374"/>
    <d v="2023-12-16T00:00:00"/>
    <s v="CUST1469"/>
    <s v="PROD45"/>
    <s v="STORE15"/>
    <n v="1"/>
    <n v="496.19"/>
    <n v="0.08"/>
    <s v="COD"/>
    <n v="456.4948"/>
    <n v="552773.12443188461"/>
    <n v="541"/>
    <x v="149"/>
    <n v="0.15389974477566012"/>
    <n v="2.5021027811853931"/>
    <n v="482.13117697098335"/>
    <n v="238.44119999999998"/>
    <x v="1"/>
  </r>
  <r>
    <s v="SALE375"/>
    <d v="2025-04-09T00:00:00"/>
    <s v="CUST1044"/>
    <s v="PROD9"/>
    <s v="STORE12"/>
    <n v="1"/>
    <n v="306.36"/>
    <n v="0.01"/>
    <s v="PayPal"/>
    <n v="303.29640000000001"/>
    <n v="552773.12443188461"/>
    <n v="541"/>
    <x v="131"/>
    <n v="0.15394527758205298"/>
    <n v="2.5030282912169306"/>
    <n v="482.12251472635666"/>
    <n v="152.66660000000002"/>
    <x v="10"/>
  </r>
  <r>
    <s v="SALE376"/>
    <d v="2024-01-18T00:00:00"/>
    <s v="CUST1120"/>
    <s v="PROD73"/>
    <s v="STORE4"/>
    <n v="4"/>
    <n v="693.16"/>
    <n v="0.05"/>
    <s v="PayPal"/>
    <n v="2634.0079999999998"/>
    <n v="552773.12443188461"/>
    <n v="541"/>
    <x v="273"/>
    <n v="0.15403402312926759"/>
    <n v="2.5039549424445613"/>
    <n v="482.23087632606467"/>
    <n v="832.80449999999996"/>
    <x v="4"/>
  </r>
  <r>
    <s v="SALE377"/>
    <d v="2025-03-28T00:00:00"/>
    <s v="CUST1455"/>
    <s v="PROD83"/>
    <s v="STORE10"/>
    <n v="1"/>
    <n v="995.52"/>
    <n v="0.22"/>
    <s v="PayPal"/>
    <n v="776.50559999999996"/>
    <n v="552773.12443188461"/>
    <n v="541"/>
    <x v="299"/>
    <n v="0.1540982020454485"/>
    <n v="2.5030320275416891"/>
    <n v="482.10075348604369"/>
    <n v="443.31139999999999"/>
    <x v="9"/>
  </r>
  <r>
    <s v="SALE378"/>
    <d v="2024-08-31T00:00:00"/>
    <s v="CUST1125"/>
    <s v="PROD7"/>
    <s v="STORE18"/>
    <n v="4"/>
    <n v="241.32"/>
    <n v="0.28999999999999998"/>
    <s v="COD"/>
    <n v="685.34879999999998"/>
    <n v="552773.12443188461"/>
    <n v="541"/>
    <x v="300"/>
    <n v="0.15405752192325434"/>
    <n v="2.5039598250895545"/>
    <n v="481.78382802523259"/>
    <n v="232.7397"/>
    <x v="7"/>
  </r>
  <r>
    <s v="SALE379"/>
    <d v="2023-11-10T00:00:00"/>
    <s v="CUST1239"/>
    <s v="PROD78"/>
    <s v="STORE1"/>
    <n v="3"/>
    <n v="636.03"/>
    <n v="0.06"/>
    <s v="COD"/>
    <n v="1793.6045999999999"/>
    <n v="552773.12443188461"/>
    <n v="541"/>
    <x v="269"/>
    <n v="0.15397355498188511"/>
    <n v="2.5030357730976394"/>
    <n v="481.93235416978183"/>
    <n v="608.17364999999995"/>
    <x v="3"/>
  </r>
  <r>
    <s v="SALE380"/>
    <d v="2023-12-15T00:00:00"/>
    <s v="CUST1096"/>
    <s v="PROD4"/>
    <s v="STORE19"/>
    <n v="4"/>
    <n v="603.30999999999995"/>
    <n v="0.15"/>
    <s v="Credit Card"/>
    <n v="2051.2539999999999"/>
    <n v="552773.12443188461"/>
    <n v="541"/>
    <x v="301"/>
    <n v="0.15403163505294934"/>
    <n v="2.5027286258622241"/>
    <n v="481.83711458645047"/>
    <n v="664.67849999999999"/>
    <x v="1"/>
  </r>
  <r>
    <s v="SALE381"/>
    <d v="2024-05-15T00:00:00"/>
    <s v="CUST1075"/>
    <s v="PROD89"/>
    <s v="STORE10"/>
    <n v="3"/>
    <n v="437.96"/>
    <n v="0.27"/>
    <s v="COD"/>
    <n v="959.13239999999985"/>
    <n v="550721.87043188477"/>
    <n v="540"/>
    <x v="80"/>
    <n v="0.15403412833374894"/>
    <n v="2.5018026695393187"/>
    <n v="481.76199220833445"/>
    <n v="350.09059999999994"/>
    <x v="5"/>
  </r>
  <r>
    <s v="SALE382"/>
    <d v="2024-01-31T00:00:00"/>
    <s v="CUST1208"/>
    <s v="PROD34"/>
    <s v="STORE4"/>
    <n v="2"/>
    <n v="56.91"/>
    <n v="0.08"/>
    <s v="COD"/>
    <n v="104.7144"/>
    <n v="550721.87043188477"/>
    <n v="540"/>
    <x v="302"/>
    <n v="0.15396236727454951"/>
    <n v="2.5014943791120534"/>
    <n v="481.78909740153267"/>
    <n v="40.926099999999998"/>
    <x v="4"/>
  </r>
  <r>
    <s v="SALE383"/>
    <d v="2023-12-06T00:00:00"/>
    <s v="CUST1334"/>
    <s v="PROD76"/>
    <s v="STORE6"/>
    <n v="1"/>
    <n v="141.79"/>
    <n v="0.1"/>
    <s v="Credit Card"/>
    <n v="127.611"/>
    <n v="550721.87043188477"/>
    <n v="540"/>
    <x v="303"/>
    <n v="0.15400816440598886"/>
    <n v="2.5018049019474171"/>
    <n v="482.05218043397946"/>
    <n v="67.625249999999994"/>
    <x v="1"/>
  </r>
  <r>
    <s v="SALE384"/>
    <d v="2024-01-11T00:00:00"/>
    <s v="CUST1483"/>
    <s v="PROD9"/>
    <s v="STORE15"/>
    <n v="4"/>
    <n v="355.14"/>
    <n v="0.16"/>
    <s v="COD"/>
    <n v="1193.2704000000001"/>
    <n v="550594.25943188474"/>
    <n v="539"/>
    <x v="29"/>
    <n v="0.15404162671355143"/>
    <n v="2.5027353882559344"/>
    <n v="482.26299962879608"/>
    <n v="388.14260000000002"/>
    <x v="4"/>
  </r>
  <r>
    <s v="SALE385"/>
    <d v="2025-09-07T00:00:00"/>
    <s v="CUST1211"/>
    <s v="PROD38"/>
    <s v="STORE6"/>
    <n v="4"/>
    <n v="960.38"/>
    <n v="0.15"/>
    <s v="COD"/>
    <n v="3265.2919999999999"/>
    <n v="550594.25943188474"/>
    <n v="539"/>
    <x v="96"/>
    <n v="0.15403793274375202"/>
    <n v="2.5018071398915551"/>
    <n v="482.34181115987406"/>
    <n v="1057.4555"/>
    <x v="8"/>
  </r>
  <r>
    <s v="SALE386"/>
    <d v="2024-05-21T00:00:00"/>
    <s v="CUST1420"/>
    <s v="PROD69"/>
    <s v="STORE16"/>
    <n v="3"/>
    <n v="847.21"/>
    <n v="0.06"/>
    <s v="PayPal"/>
    <n v="2389.1322"/>
    <n v="550594.25943188474"/>
    <n v="539"/>
    <x v="138"/>
    <n v="0.15404043766480893"/>
    <n v="2.5008777398542672"/>
    <n v="482.04526141493602"/>
    <n v="809.85055"/>
    <x v="5"/>
  </r>
  <r>
    <s v="SALE387"/>
    <d v="2025-08-23T00:00:00"/>
    <s v="CUST1066"/>
    <s v="PROD80"/>
    <s v="STORE10"/>
    <n v="4"/>
    <n v="773.81"/>
    <n v="0.08"/>
    <s v="COD"/>
    <n v="2847.6208000000001"/>
    <n v="550594.25943188474"/>
    <n v="539"/>
    <x v="304"/>
    <n v="0.15409881161742522"/>
    <n v="2.5005679184637355"/>
    <n v="481.81859180687582"/>
    <n v="906.3777"/>
    <x v="7"/>
  </r>
  <r>
    <s v="SALE388"/>
    <d v="2025-05-03T00:00:00"/>
    <s v="CUST1000"/>
    <s v="PROD63"/>
    <s v="STORE16"/>
    <n v="1"/>
    <n v="664.71"/>
    <n v="0.1"/>
    <s v="PayPal"/>
    <n v="598.23900000000003"/>
    <n v="550594.25943188474"/>
    <n v="539"/>
    <x v="208"/>
    <n v="0.15414483572401988"/>
    <n v="2.4996365941894898"/>
    <n v="481.63723068377453"/>
    <n v="316.01224999999999"/>
    <x v="5"/>
  </r>
  <r>
    <s v="SALE389"/>
    <d v="2023-11-03T00:00:00"/>
    <s v="CUST1347"/>
    <s v="PROD37"/>
    <s v="STORE7"/>
    <n v="4"/>
    <n v="482.06"/>
    <n v="7.0000000000000007E-2"/>
    <s v="PayPal"/>
    <n v="1793.2632000000001"/>
    <n v="550594.25943188474"/>
    <n v="539"/>
    <x v="305"/>
    <n v="0.15417848695815539"/>
    <n v="2.5005686243909748"/>
    <n v="481.5234502180715"/>
    <n v="569.84829999999999"/>
    <x v="3"/>
  </r>
  <r>
    <s v="SALE390"/>
    <d v="2025-03-26T00:00:00"/>
    <s v="CUST1089"/>
    <s v="PROD57"/>
    <s v="STORE3"/>
    <n v="4"/>
    <n v="995.55"/>
    <n v="0.19"/>
    <s v="PayPal"/>
    <n v="3225.5819999999999"/>
    <n v="550594.25943188474"/>
    <n v="539"/>
    <x v="177"/>
    <n v="0.15423083676347765"/>
    <n v="2.4996361421922129"/>
    <n v="481.52311654283392"/>
    <n v="1056.3305"/>
    <x v="9"/>
  </r>
  <r>
    <s v="SALE391"/>
    <d v="2024-07-05T00:00:00"/>
    <s v="CUST1141"/>
    <s v="PROD93"/>
    <s v="STORE13"/>
    <n v="2"/>
    <n v="153.84"/>
    <n v="0.27"/>
    <s v="PayPal"/>
    <n v="224.60640000000001"/>
    <n v="550594.25943188474"/>
    <n v="539"/>
    <x v="270"/>
    <n v="0.15420857841672186"/>
    <n v="2.4987024994680014"/>
    <n v="481.2032491604711"/>
    <n v="95.179100000000005"/>
    <x v="0"/>
  </r>
  <r>
    <s v="SALE392"/>
    <d v="2025-05-12T00:00:00"/>
    <s v="CUST1153"/>
    <s v="PROD78"/>
    <s v="STORE6"/>
    <n v="3"/>
    <n v="362.11"/>
    <n v="0.23"/>
    <s v="COD"/>
    <n v="836.47409999999991"/>
    <n v="550594.25943188474"/>
    <n v="539"/>
    <x v="306"/>
    <n v="0.15413647915048068"/>
    <n v="2.499013024062938"/>
    <n v="481.40708680004798"/>
    <n v="300.45352500000001"/>
    <x v="5"/>
  </r>
  <r>
    <s v="SALE393"/>
    <d v="2024-09-26T00:00:00"/>
    <s v="CUST1472"/>
    <s v="PROD43"/>
    <s v="STORE8"/>
    <n v="3"/>
    <n v="112.26"/>
    <n v="0.11"/>
    <s v="Credit Card"/>
    <n v="299.73419999999999"/>
    <n v="550594.25943188474"/>
    <n v="539"/>
    <x v="307"/>
    <n v="0.15408921215929722"/>
    <n v="2.4987008826449086"/>
    <n v="481.48141520303869"/>
    <n v="103.77605"/>
    <x v="8"/>
  </r>
  <r>
    <s v="SALE394"/>
    <d v="2024-03-27T00:00:00"/>
    <s v="CUST1203"/>
    <s v="PROD94"/>
    <s v="STORE19"/>
    <n v="2"/>
    <n v="962.81"/>
    <n v="0.06"/>
    <s v="COD"/>
    <n v="1810.0827999999999"/>
    <n v="550294.52523188479"/>
    <n v="538"/>
    <x v="38"/>
    <n v="0.15411669919929677"/>
    <n v="2.4983883520231158"/>
    <n v="481.71160311775378"/>
    <n v="693.73820000000001"/>
    <x v="9"/>
  </r>
  <r>
    <s v="SALE395"/>
    <d v="2024-01-17T00:00:00"/>
    <s v="CUST1213"/>
    <s v="PROD21"/>
    <s v="STORE0"/>
    <n v="4"/>
    <n v="276.23"/>
    <n v="0.12"/>
    <s v="Credit Card"/>
    <n v="972.32960000000003"/>
    <n v="550294.52523188479"/>
    <n v="538"/>
    <x v="238"/>
    <n v="0.15417541204970181"/>
    <n v="2.4986992617873227"/>
    <n v="481.41147935176355"/>
    <n v="313.16989999999998"/>
    <x v="4"/>
  </r>
  <r>
    <s v="SALE396"/>
    <d v="2024-04-25T00:00:00"/>
    <s v="CUST1015"/>
    <s v="PROD18"/>
    <s v="STORE14"/>
    <n v="3"/>
    <n v="991.37"/>
    <n v="0.1"/>
    <s v="PayPal"/>
    <n v="2676.6990000000001"/>
    <n v="549322.19563188474"/>
    <n v="537"/>
    <x v="266"/>
    <n v="0.15419674501602496"/>
    <n v="2.4977621202528577"/>
    <n v="481.53955767845002"/>
    <n v="917.79224999999997"/>
    <x v="10"/>
  </r>
  <r>
    <s v="SALE397"/>
    <d v="2025-09-29T00:00:00"/>
    <s v="CUST1168"/>
    <s v="PROD21"/>
    <s v="STORE13"/>
    <n v="3"/>
    <n v="977.47"/>
    <n v="0.05"/>
    <s v="Credit Card"/>
    <n v="2785.7894999999999"/>
    <n v="549322.19563188474"/>
    <n v="537"/>
    <x v="308"/>
    <n v="0.15423059682427984"/>
    <n v="2.4974484176421474"/>
    <n v="481.22111268012299"/>
    <n v="941.57737499999996"/>
    <x v="8"/>
  </r>
  <r>
    <s v="SALE398"/>
    <d v="2025-07-06T00:00:00"/>
    <s v="CUST1206"/>
    <s v="PROD94"/>
    <s v="STORE12"/>
    <n v="2"/>
    <n v="308.7"/>
    <n v="0.2"/>
    <s v="PayPal"/>
    <n v="493.92"/>
    <n v="546536.40613188467"/>
    <n v="536"/>
    <x v="309"/>
    <n v="0.15429574094729501"/>
    <n v="2.4971343229031739"/>
    <n v="480.91095712554807"/>
    <n v="201.20499999999998"/>
    <x v="0"/>
  </r>
  <r>
    <s v="SALE399"/>
    <d v="2024-10-14T00:00:00"/>
    <s v="CUST1037"/>
    <s v="PROD6"/>
    <s v="STORE16"/>
    <n v="2"/>
    <n v="733.87"/>
    <n v="0.1"/>
    <s v="PayPal"/>
    <n v="1320.9659999999999"/>
    <n v="546536.40613188467"/>
    <n v="536"/>
    <x v="140"/>
    <n v="0.15426715792099563"/>
    <n v="2.4974452261695301"/>
    <n v="481.01865628572671"/>
    <n v="514.23399999999992"/>
    <x v="11"/>
  </r>
  <r>
    <s v="SALE400"/>
    <d v="2023-10-28T00:00:00"/>
    <s v="CUST1095"/>
    <s v="PROD19"/>
    <s v="STORE16"/>
    <n v="2"/>
    <n v="22.47"/>
    <n v="0.22"/>
    <s v="PayPal"/>
    <n v="35.053199999999997"/>
    <n v="546536.40613188467"/>
    <n v="536"/>
    <x v="174"/>
    <n v="0.15430111734397498"/>
    <n v="2.497756518551363"/>
    <n v="480.86042640855874"/>
    <n v="14.935799999999999"/>
    <x v="11"/>
  </r>
  <r>
    <s v="SALE401"/>
    <d v="2024-03-29T00:00:00"/>
    <s v="CUST1348"/>
    <s v="PROD57"/>
    <s v="STORE13"/>
    <n v="4"/>
    <n v="651.36"/>
    <n v="0.13"/>
    <s v="Credit Card"/>
    <n v="2266.7328000000002"/>
    <n v="546536.40613188467"/>
    <n v="536"/>
    <x v="264"/>
    <n v="0.15425997840680777"/>
    <n v="2.498068200779636"/>
    <n v="481.14745861044264"/>
    <n v="730.55570000000012"/>
    <x v="9"/>
  </r>
  <r>
    <s v="SALE402"/>
    <d v="2025-06-09T00:00:00"/>
    <s v="CUST1296"/>
    <s v="PROD14"/>
    <s v="STORE10"/>
    <n v="1"/>
    <n v="753.39"/>
    <n v="0.04"/>
    <s v="COD"/>
    <n v="723.25439999999992"/>
    <n v="544269.67333188455"/>
    <n v="535"/>
    <x v="310"/>
    <n v="0.15427517889453135"/>
    <n v="2.4971271407550617"/>
    <n v="481.0408091484191"/>
    <n v="369.42109999999997"/>
    <x v="2"/>
  </r>
  <r>
    <s v="SALE403"/>
    <d v="2024-10-11T00:00:00"/>
    <s v="CUST1201"/>
    <s v="PROD71"/>
    <s v="STORE12"/>
    <n v="4"/>
    <n v="849.17"/>
    <n v="0.12"/>
    <s v="COD"/>
    <n v="2989.0783999999999"/>
    <n v="544269.67333188455"/>
    <n v="535"/>
    <x v="311"/>
    <n v="0.15434682477471598"/>
    <n v="2.4980657784608642"/>
    <n v="480.87005730462499"/>
    <n v="960.59209999999996"/>
    <x v="11"/>
  </r>
  <r>
    <s v="SALE404"/>
    <d v="2024-07-22T00:00:00"/>
    <s v="CUST1379"/>
    <s v="PROD20"/>
    <s v="STORE0"/>
    <n v="4"/>
    <n v="585.45000000000005"/>
    <n v="0.25"/>
    <s v="COD"/>
    <n v="1756.35"/>
    <n v="544269.67333188455"/>
    <n v="535"/>
    <x v="123"/>
    <n v="0.15436837234358344"/>
    <n v="2.4971235361637882"/>
    <n v="480.63900338825408"/>
    <n v="586.51250000000005"/>
    <x v="0"/>
  </r>
  <r>
    <s v="SALE405"/>
    <d v="2024-12-02T00:00:00"/>
    <s v="CUST1476"/>
    <s v="PROD75"/>
    <s v="STORE16"/>
    <n v="1"/>
    <n v="745.15"/>
    <n v="0.25"/>
    <s v="COD"/>
    <n v="558.86249999999995"/>
    <n v="544269.67333188455"/>
    <n v="535"/>
    <x v="312"/>
    <n v="0.15430833993450849"/>
    <n v="2.4961801108883104"/>
    <n v="480.57320866345066"/>
    <n v="326.31562499999995"/>
    <x v="1"/>
  </r>
  <r>
    <s v="SALE406"/>
    <d v="2023-11-14T00:00:00"/>
    <s v="CUST1050"/>
    <s v="PROD99"/>
    <s v="STORE2"/>
    <n v="1"/>
    <n v="848.69"/>
    <n v="0.04"/>
    <s v="COD"/>
    <n v="814.74239999999998"/>
    <n v="544269.67333188455"/>
    <n v="535"/>
    <x v="313"/>
    <n v="0.15424823210783417"/>
    <n v="2.4971199225157528"/>
    <n v="480.40701721160616"/>
    <n v="416.11810000000003"/>
    <x v="3"/>
  </r>
  <r>
    <s v="SALE407"/>
    <d v="2024-02-14T00:00:00"/>
    <s v="CUST1413"/>
    <s v="PROD70"/>
    <s v="STORE14"/>
    <n v="2"/>
    <n v="247.67"/>
    <n v="0.1"/>
    <s v="PayPal"/>
    <n v="445.80599999999998"/>
    <n v="544269.67333188455"/>
    <n v="535"/>
    <x v="314"/>
    <n v="0.15432004117892648"/>
    <n v="2.4980609155531606"/>
    <n v="480.17553827836389"/>
    <n v="173.89400000000001"/>
    <x v="6"/>
  </r>
  <r>
    <s v="SALE408"/>
    <d v="2024-06-22T00:00:00"/>
    <s v="CUST1039"/>
    <s v="PROD74"/>
    <s v="STORE3"/>
    <n v="3"/>
    <n v="220.51"/>
    <n v="0.02"/>
    <s v="PayPal"/>
    <n v="648.29939999999999"/>
    <n v="544269.67333188455"/>
    <n v="535"/>
    <x v="180"/>
    <n v="0.15435420472683775"/>
    <n v="2.498374161411999"/>
    <n v="480.3217681766522"/>
    <n v="217.95734999999999"/>
    <x v="2"/>
  </r>
  <r>
    <s v="SALE409"/>
    <d v="2025-06-29T00:00:00"/>
    <s v="CUST1327"/>
    <s v="PROD15"/>
    <s v="STORE16"/>
    <n v="4"/>
    <n v="370.63"/>
    <n v="0.08"/>
    <s v="Credit Card"/>
    <n v="1363.9184"/>
    <n v="544269.67333188455"/>
    <n v="535"/>
    <x v="315"/>
    <n v="0.15443875740445062"/>
    <n v="2.4980584749182366"/>
    <n v="480.48527463868913"/>
    <n v="434.65710000000001"/>
    <x v="2"/>
  </r>
  <r>
    <s v="SALE410"/>
    <d v="2025-02-18T00:00:00"/>
    <s v="CUST1391"/>
    <s v="PROD29"/>
    <s v="STORE19"/>
    <n v="4"/>
    <n v="349.84"/>
    <n v="0.11"/>
    <s v="Credit Card"/>
    <n v="1245.4304"/>
    <n v="542905.75493188458"/>
    <n v="534"/>
    <x v="52"/>
    <n v="0.15448563319626701"/>
    <n v="2.4971126679125177"/>
    <n v="480.55445302322227"/>
    <n v="399.8451"/>
    <x v="6"/>
  </r>
  <r>
    <s v="SALE411"/>
    <d v="2025-06-15T00:00:00"/>
    <s v="CUST1043"/>
    <s v="PROD39"/>
    <s v="STORE12"/>
    <n v="1"/>
    <n v="770.87"/>
    <n v="0.1"/>
    <s v="COD"/>
    <n v="693.78300000000002"/>
    <n v="541660.32453188451"/>
    <n v="533"/>
    <x v="260"/>
    <n v="0.15451366447112289"/>
    <n v="2.4961656689635023"/>
    <n v="480.6368187781203"/>
    <n v="366.43825000000004"/>
    <x v="2"/>
  </r>
  <r>
    <s v="SALE412"/>
    <d v="2024-08-14T00:00:00"/>
    <s v="CUST1479"/>
    <s v="PROD99"/>
    <s v="STORE17"/>
    <n v="3"/>
    <n v="507.33"/>
    <n v="0.06"/>
    <s v="PayPal"/>
    <n v="1430.6705999999999"/>
    <n v="541660.32453188451"/>
    <n v="533"/>
    <x v="79"/>
    <n v="0.15454803626461033"/>
    <n v="2.4971090268884475"/>
    <n v="480.45382181644192"/>
    <n v="485.26514999999995"/>
    <x v="7"/>
  </r>
  <r>
    <s v="SALE413"/>
    <d v="2025-07-25T00:00:00"/>
    <s v="CUST1185"/>
    <s v="PROD66"/>
    <s v="STORE9"/>
    <n v="1"/>
    <n v="87.78"/>
    <n v="0.06"/>
    <s v="Credit Card"/>
    <n v="82.513199999999998"/>
    <n v="541660.32453188451"/>
    <n v="533"/>
    <x v="198"/>
    <n v="0.15460768802250599"/>
    <n v="2.4967917455173998"/>
    <n v="480.43686523714632"/>
    <n v="42.838300000000004"/>
    <x v="0"/>
  </r>
  <r>
    <s v="SALE414"/>
    <d v="2025-01-09T00:00:00"/>
    <s v="CUST1006"/>
    <s v="PROD93"/>
    <s v="STORE4"/>
    <n v="2"/>
    <n v="772.24"/>
    <n v="0.22"/>
    <s v="Credit Card"/>
    <n v="1204.6944000000001"/>
    <n v="541577.81133188459"/>
    <n v="532"/>
    <x v="193"/>
    <n v="0.15466741509827778"/>
    <n v="2.4977366898011857"/>
    <n v="480.6847546722708"/>
    <n v="494.78860000000003"/>
    <x v="4"/>
  </r>
  <r>
    <s v="SALE415"/>
    <d v="2025-06-05T00:00:00"/>
    <s v="CUST1047"/>
    <s v="PROD70"/>
    <s v="STORE14"/>
    <n v="1"/>
    <n v="108.27"/>
    <n v="0.1"/>
    <s v="COD"/>
    <n v="97.442999999999998"/>
    <n v="540373.11693188467"/>
    <n v="531"/>
    <x v="249"/>
    <n v="0.15462614372436642"/>
    <n v="2.4980511160107888"/>
    <n v="480.5005757428155"/>
    <n v="51.703249999999997"/>
    <x v="2"/>
  </r>
  <r>
    <s v="SALE416"/>
    <d v="2024-12-07T00:00:00"/>
    <s v="CUST1347"/>
    <s v="PROD38"/>
    <s v="STORE17"/>
    <n v="2"/>
    <n v="839.24"/>
    <n v="0.21"/>
    <s v="PayPal"/>
    <n v="1325.9992"/>
    <n v="540373.11693188467"/>
    <n v="531"/>
    <x v="56"/>
    <n v="0.15466067352444501"/>
    <n v="2.4989980509766614"/>
    <n v="480.73586687792471"/>
    <n v="541.8623"/>
    <x v="1"/>
  </r>
  <r>
    <s v="SALE417"/>
    <d v="2024-02-09T00:00:00"/>
    <s v="CUST1383"/>
    <s v="PROD58"/>
    <s v="STORE10"/>
    <n v="2"/>
    <n v="466.27"/>
    <n v="0.11"/>
    <s v="PayPal"/>
    <n v="829.9606"/>
    <n v="540373.11693188467"/>
    <n v="531"/>
    <x v="316"/>
    <n v="0.15462567078790135"/>
    <n v="2.4993136727672853"/>
    <n v="480.50910904546294"/>
    <n v="324.58515"/>
    <x v="6"/>
  </r>
  <r>
    <s v="SALE418"/>
    <d v="2025-10-12T00:00:00"/>
    <s v="CUST1398"/>
    <s v="PROD62"/>
    <s v="STORE14"/>
    <n v="3"/>
    <n v="969.83"/>
    <n v="0.02"/>
    <s v="Credit Card"/>
    <n v="2851.3002000000001"/>
    <n v="540373.11693188467"/>
    <n v="531"/>
    <x v="72"/>
    <n v="0.15465391488333674"/>
    <n v="2.4996296940791631"/>
    <n v="480.51812113979554"/>
    <n v="956.03755000000001"/>
    <x v="11"/>
  </r>
  <r>
    <s v="SALE419"/>
    <d v="2025-06-16T00:00:00"/>
    <s v="CUST1417"/>
    <s v="PROD91"/>
    <s v="STORE19"/>
    <n v="2"/>
    <n v="782.11"/>
    <n v="0.17"/>
    <s v="PayPal"/>
    <n v="1298.3026"/>
    <n v="537521.81673188461"/>
    <n v="530"/>
    <x v="317"/>
    <n v="0.15473919285349716"/>
    <n v="2.4993128034484347"/>
    <n v="480.20823394609056"/>
    <n v="520.64564999999993"/>
    <x v="2"/>
  </r>
  <r>
    <s v="SALE420"/>
    <d v="2025-09-21T00:00:00"/>
    <s v="CUST1451"/>
    <s v="PROD40"/>
    <s v="STORE11"/>
    <n v="2"/>
    <n v="74.63"/>
    <n v="0.01"/>
    <s v="PayPal"/>
    <n v="147.76740000000001"/>
    <n v="537521.81673188461"/>
    <n v="530"/>
    <x v="275"/>
    <n v="0.15472952187304945"/>
    <n v="2.4996292247433956"/>
    <n v="480.01691470271038"/>
    <n v="56.101849999999999"/>
    <x v="8"/>
  </r>
  <r>
    <s v="SALE421"/>
    <d v="2025-09-09T00:00:00"/>
    <s v="CUST1041"/>
    <s v="PROD85"/>
    <s v="STORE6"/>
    <n v="3"/>
    <n v="522.78"/>
    <n v="0.25"/>
    <s v="PayPal"/>
    <n v="1176.2550000000001"/>
    <n v="537521.81673188461"/>
    <n v="530"/>
    <x v="318"/>
    <n v="0.15482129709300699"/>
    <n v="2.4999460473335944"/>
    <n v="480.27397679193211"/>
    <n v="425.57125000000002"/>
    <x v="8"/>
  </r>
  <r>
    <s v="SALE422"/>
    <d v="2025-07-15T00:00:00"/>
    <s v="CUST1338"/>
    <s v="PROD13"/>
    <s v="STORE15"/>
    <n v="1"/>
    <n v="206.45"/>
    <n v="0.15"/>
    <s v="PayPal"/>
    <n v="175.48249999999999"/>
    <n v="537521.81673188461"/>
    <n v="530"/>
    <x v="319"/>
    <n v="0.15476090451502031"/>
    <n v="2.4996287542164199"/>
    <n v="480.24700596502345"/>
    <n v="95.770624999999995"/>
    <x v="0"/>
  </r>
  <r>
    <s v="SALE423"/>
    <d v="2024-10-15T00:00:00"/>
    <s v="CUST1145"/>
    <s v="PROD69"/>
    <s v="STORE5"/>
    <n v="1"/>
    <n v="815.53"/>
    <n v="0.3"/>
    <s v="PayPal"/>
    <n v="570.87099999999998"/>
    <n v="537521.81673188461"/>
    <n v="530"/>
    <x v="93"/>
    <n v="0.15476392731153782"/>
    <n v="2.5005808994571925"/>
    <n v="480.42084533389016"/>
    <n v="346.92525000000001"/>
    <x v="11"/>
  </r>
  <r>
    <s v="SALE424"/>
    <d v="2023-10-21T00:00:00"/>
    <s v="CUST1037"/>
    <s v="PROD79"/>
    <s v="STORE13"/>
    <n v="1"/>
    <n v="823.61"/>
    <n v="0.28000000000000003"/>
    <s v="COD"/>
    <n v="592.99919999999997"/>
    <n v="537521.81673188461"/>
    <n v="530"/>
    <x v="320"/>
    <n v="0.15467165534667854"/>
    <n v="2.5015342545394397"/>
    <n v="480.20794244020146"/>
    <n v="354.47230000000002"/>
    <x v="11"/>
  </r>
  <r>
    <s v="SALE425"/>
    <d v="2025-05-30T00:00:00"/>
    <s v="CUST1478"/>
    <s v="PROD87"/>
    <s v="STORE9"/>
    <n v="2"/>
    <n v="209.96"/>
    <n v="0.15"/>
    <s v="Credit Card"/>
    <n v="419.92"/>
    <n v="537521.81673188461"/>
    <n v="530"/>
    <x v="185"/>
    <n v="0.15459198062026194"/>
    <n v="2.5024888217705521"/>
    <n v="479.98963216838968"/>
    <n v="158.00749999999999"/>
    <x v="5"/>
  </r>
  <r>
    <s v="SALE426"/>
    <d v="2024-06-19T00:00:00"/>
    <s v="CUST1175"/>
    <s v="PROD0"/>
    <s v="STORE16"/>
    <n v="4"/>
    <n v="897.93"/>
    <n v="0.05"/>
    <s v="COD"/>
    <n v="3412.134"/>
    <n v="537101.89673188445"/>
    <n v="529"/>
    <x v="55"/>
    <n v="0.15459490172752674"/>
    <n v="2.5028084711482688"/>
    <n v="480.16140674356046"/>
    <n v="1078.5284999999999"/>
    <x v="2"/>
  </r>
  <r>
    <s v="SALE427"/>
    <d v="2024-12-20T00:00:00"/>
    <s v="CUST1181"/>
    <s v="PROD63"/>
    <s v="STORE0"/>
    <n v="4"/>
    <n v="925.95"/>
    <n v="0.16"/>
    <s v="COD"/>
    <n v="3111.192"/>
    <n v="537101.89673188445"/>
    <n v="529"/>
    <x v="175"/>
    <n v="0.15466148027732149"/>
    <n v="2.5018554529885919"/>
    <n v="479.89548147732461"/>
    <n v="1010.3255"/>
    <x v="1"/>
  </r>
  <r>
    <s v="SALE428"/>
    <d v="2024-08-16T00:00:00"/>
    <s v="CUST1084"/>
    <s v="PROD51"/>
    <s v="STORE6"/>
    <n v="2"/>
    <n v="573.09"/>
    <n v="0.03"/>
    <s v="COD"/>
    <n v="1111.7945999999999"/>
    <n v="537101.89673188445"/>
    <n v="529"/>
    <x v="296"/>
    <n v="0.15465807994628794"/>
    <n v="2.5009012207930437"/>
    <n v="479.61137031902985"/>
    <n v="421.72865000000002"/>
    <x v="7"/>
  </r>
  <r>
    <s v="SALE429"/>
    <d v="2025-03-15T00:00:00"/>
    <s v="CUST1183"/>
    <s v="PROD7"/>
    <s v="STORE4"/>
    <n v="4"/>
    <n v="149.83000000000001"/>
    <n v="0.02"/>
    <s v="Credit Card"/>
    <n v="587.33360000000005"/>
    <n v="537101.89673188445"/>
    <n v="529"/>
    <x v="201"/>
    <n v="0.15473753060272277"/>
    <n v="2.5012204694997311"/>
    <n v="479.55179184249641"/>
    <n v="185.29590000000002"/>
    <x v="9"/>
  </r>
  <r>
    <s v="SALE430"/>
    <d v="2024-06-02T00:00:00"/>
    <s v="CUST1001"/>
    <s v="PROD51"/>
    <s v="STORE14"/>
    <n v="3"/>
    <n v="287.70999999999998"/>
    <n v="0.03"/>
    <s v="COD"/>
    <n v="837.23609999999985"/>
    <n v="536514.56313188444"/>
    <n v="528"/>
    <x v="181"/>
    <n v="0.15482346015030105"/>
    <n v="2.5002646152073202"/>
    <n v="479.76207359749799"/>
    <n v="281.99402499999997"/>
    <x v="2"/>
  </r>
  <r>
    <s v="SALE431"/>
    <d v="2025-07-22T00:00:00"/>
    <s v="CUST1094"/>
    <s v="PROD67"/>
    <s v="STORE6"/>
    <n v="2"/>
    <n v="849.8"/>
    <n v="0.06"/>
    <s v="COD"/>
    <n v="1597.624"/>
    <n v="536514.56313188444"/>
    <n v="528"/>
    <x v="321"/>
    <n v="0.15490311775090748"/>
    <n v="2.4999457030281294"/>
    <n v="479.88463395078293"/>
    <n v="612.37099999999998"/>
    <x v="0"/>
  </r>
  <r>
    <s v="SALE432"/>
    <d v="2025-03-09T00:00:00"/>
    <s v="CUST1016"/>
    <s v="PROD41"/>
    <s v="STORE3"/>
    <n v="3"/>
    <n v="482.58"/>
    <n v="0.28000000000000003"/>
    <s v="PayPal"/>
    <n v="1042.3728000000001"/>
    <n v="536514.56313188444"/>
    <n v="528"/>
    <x v="176"/>
    <n v="0.15496371999723629"/>
    <n v="2.5002649531577767"/>
    <n v="479.64841724193917"/>
    <n v="382.0582"/>
    <x v="9"/>
  </r>
  <r>
    <s v="SALE433"/>
    <d v="2025-02-11T00:00:00"/>
    <s v="CUST1114"/>
    <s v="PROD59"/>
    <s v="STORE2"/>
    <n v="2"/>
    <n v="64.7"/>
    <n v="0.15"/>
    <s v="Credit Card"/>
    <n v="129.4"/>
    <n v="536514.56313188444"/>
    <n v="528"/>
    <x v="322"/>
    <n v="0.15488382461065306"/>
    <n v="2.4999456336390278"/>
    <n v="479.64654402611939"/>
    <n v="49.0625"/>
    <x v="6"/>
  </r>
  <r>
    <s v="SALE434"/>
    <d v="2023-12-06T00:00:00"/>
    <s v="CUST1148"/>
    <s v="PROD5"/>
    <s v="STORE5"/>
    <n v="3"/>
    <n v="589.83000000000004"/>
    <n v="0.26"/>
    <s v="Credit Card"/>
    <n v="1309.4226000000001"/>
    <n v="536385.16313188453"/>
    <n v="527"/>
    <x v="303"/>
    <n v="0.15488694726065985"/>
    <n v="2.5002652919725561"/>
    <n v="479.91185511565021"/>
    <n v="475.62815000000001"/>
    <x v="1"/>
  </r>
  <r>
    <s v="SALE435"/>
    <d v="2025-08-20T00:00:00"/>
    <s v="CUST1288"/>
    <s v="PROD3"/>
    <s v="STORE9"/>
    <n v="4"/>
    <n v="758.49"/>
    <n v="0.16"/>
    <s v="COD"/>
    <n v="2548.5264000000002"/>
    <n v="535075.74053188448"/>
    <n v="526"/>
    <x v="69"/>
    <n v="0.15481969642717341"/>
    <n v="2.4999455640723469"/>
    <n v="479.84153000695898"/>
    <n v="827.79410000000007"/>
    <x v="7"/>
  </r>
  <r>
    <s v="SALE436"/>
    <d v="2024-09-20T00:00:00"/>
    <s v="CUST1053"/>
    <s v="PROD37"/>
    <s v="STORE12"/>
    <n v="4"/>
    <n v="747.56"/>
    <n v="0.09"/>
    <s v="COD"/>
    <n v="2721.1183999999998"/>
    <n v="535075.74053188448"/>
    <n v="526"/>
    <x v="224"/>
    <n v="0.15481637997162101"/>
    <n v="2.4989852219238657"/>
    <n v="479.66313790068932"/>
    <n v="868.19209999999998"/>
    <x v="8"/>
  </r>
  <r>
    <s v="SALE437"/>
    <d v="2025-06-05T00:00:00"/>
    <s v="CUST1253"/>
    <s v="PROD40"/>
    <s v="STORE17"/>
    <n v="3"/>
    <n v="551.22"/>
    <n v="0.12"/>
    <s v="PayPal"/>
    <n v="1455.2208000000001"/>
    <n v="535075.74053188448"/>
    <n v="526"/>
    <x v="249"/>
    <n v="0.15485790231625371"/>
    <n v="2.4980236493562318"/>
    <n v="479.49151915494991"/>
    <n v="502.39020000000005"/>
    <x v="2"/>
  </r>
  <r>
    <s v="SALE438"/>
    <d v="2025-06-03T00:00:00"/>
    <s v="CUST1159"/>
    <s v="PROD69"/>
    <s v="STORE14"/>
    <n v="2"/>
    <n v="527.05999999999995"/>
    <n v="0.17"/>
    <s v="PayPal"/>
    <n v="874.91959999999983"/>
    <n v="535075.74053188448"/>
    <n v="526"/>
    <x v="323"/>
    <n v="0.15488024712543078"/>
    <n v="2.4977018696442812"/>
    <n v="479.44553935953644"/>
    <n v="351.03739999999993"/>
    <x v="2"/>
  </r>
  <r>
    <s v="SALE439"/>
    <d v="2025-01-13T00:00:00"/>
    <s v="CUST1098"/>
    <s v="PROD62"/>
    <s v="STORE5"/>
    <n v="4"/>
    <n v="875.41"/>
    <n v="0.27"/>
    <s v="Credit Card"/>
    <n v="2556.1972000000001"/>
    <n v="535075.74053188448"/>
    <n v="526"/>
    <x v="161"/>
    <n v="0.15487054875925083"/>
    <n v="2.4980211139480941"/>
    <n v="479.41499769138983"/>
    <n v="858.96929999999998"/>
    <x v="4"/>
  </r>
  <r>
    <s v="SALE440"/>
    <d v="2025-03-20T00:00:00"/>
    <s v="CUST1007"/>
    <s v="PROD85"/>
    <s v="STORE0"/>
    <n v="2"/>
    <n v="226.43"/>
    <n v="0.03"/>
    <s v="Credit Card"/>
    <n v="439.27420000000001"/>
    <n v="532519.54333188443"/>
    <n v="525"/>
    <x v="324"/>
    <n v="0.15479665309093199"/>
    <n v="2.4970570710173803"/>
    <n v="479.16082888374621"/>
    <n v="166.93355"/>
    <x v="9"/>
  </r>
  <r>
    <s v="SALE441"/>
    <d v="2024-07-07T00:00:00"/>
    <s v="CUST1035"/>
    <s v="PROD79"/>
    <s v="STORE5"/>
    <n v="2"/>
    <n v="285.39"/>
    <n v="0.1"/>
    <s v="Credit Card"/>
    <n v="513.702"/>
    <n v="532080.26913188444"/>
    <n v="524"/>
    <x v="0"/>
    <n v="0.15487680508392554"/>
    <n v="2.4973763112685154"/>
    <n v="479.32314797744175"/>
    <n v="200.298"/>
    <x v="0"/>
  </r>
  <r>
    <s v="SALE442"/>
    <d v="2025-09-29T00:00:00"/>
    <s v="CUST1334"/>
    <s v="PROD11"/>
    <s v="STORE15"/>
    <n v="2"/>
    <n v="298.01"/>
    <n v="0.05"/>
    <s v="Credit Card"/>
    <n v="566.21899999999994"/>
    <n v="531566.5671318844"/>
    <n v="523"/>
    <x v="308"/>
    <n v="0.15491207295351672"/>
    <n v="2.4976959618541636"/>
    <n v="479.44778367665606"/>
    <n v="216.56975"/>
    <x v="8"/>
  </r>
  <r>
    <s v="SALE443"/>
    <d v="2024-11-30T00:00:00"/>
    <s v="CUST1159"/>
    <s v="PROD40"/>
    <s v="STORE4"/>
    <n v="4"/>
    <n v="753.49"/>
    <n v="0.26"/>
    <s v="COD"/>
    <n v="2230.3303999999998"/>
    <n v="531000.34813188447"/>
    <n v="522"/>
    <x v="71"/>
    <n v="0.15497954052454793"/>
    <n v="2.4980160235659667"/>
    <n v="479.56446392339342"/>
    <n v="747.02009999999996"/>
    <x v="3"/>
  </r>
  <r>
    <s v="SALE444"/>
    <d v="2024-06-17T00:00:00"/>
    <s v="CUST1488"/>
    <s v="PROD78"/>
    <s v="STORE12"/>
    <n v="2"/>
    <n v="130.38999999999999"/>
    <n v="0.17"/>
    <s v="PayPal"/>
    <n v="216.44739999999999"/>
    <n v="531000.34813188447"/>
    <n v="522"/>
    <x v="325"/>
    <n v="0.15491195979129474"/>
    <n v="2.4970494959106038"/>
    <n v="479.38819266465686"/>
    <n v="87.25184999999999"/>
    <x v="2"/>
  </r>
  <r>
    <s v="SALE445"/>
    <d v="2025-02-21T00:00:00"/>
    <s v="CUST1345"/>
    <s v="PROD22"/>
    <s v="STORE9"/>
    <n v="4"/>
    <n v="164.02"/>
    <n v="0.01"/>
    <s v="PayPal"/>
    <n v="649.51920000000007"/>
    <n v="531000.34813188447"/>
    <n v="522"/>
    <x v="326"/>
    <n v="0.15490224437583519"/>
    <n v="2.4973695535383635"/>
    <n v="479.61291783701017"/>
    <n v="204.38730000000001"/>
    <x v="6"/>
  </r>
  <r>
    <s v="SALE446"/>
    <d v="2024-09-16T00:00:00"/>
    <s v="CUST1164"/>
    <s v="PROD29"/>
    <s v="STORE4"/>
    <n v="2"/>
    <n v="527.51"/>
    <n v="0.18"/>
    <s v="PayPal"/>
    <n v="865.1164"/>
    <n v="531000.34813188447"/>
    <n v="522"/>
    <x v="327"/>
    <n v="0.15499560922401551"/>
    <n v="2.4964013638177049"/>
    <n v="479.81626378922471"/>
    <n v="348.70159999999998"/>
    <x v="8"/>
  </r>
  <r>
    <s v="SALE447"/>
    <d v="2025-10-09T00:00:00"/>
    <s v="CUST1253"/>
    <s v="PROD57"/>
    <s v="STORE13"/>
    <n v="3"/>
    <n v="628.17999999999995"/>
    <n v="0.26"/>
    <s v="Credit Card"/>
    <n v="1394.5596"/>
    <n v="531000.34813188447"/>
    <n v="522"/>
    <x v="328"/>
    <n v="0.1549794877599433"/>
    <n v="2.4967214162766465"/>
    <n v="479.78551347574256"/>
    <n v="506.49990000000003"/>
    <x v="11"/>
  </r>
  <r>
    <s v="SALE448"/>
    <d v="2024-09-18T00:00:00"/>
    <s v="CUST1269"/>
    <s v="PROD56"/>
    <s v="STORE3"/>
    <n v="1"/>
    <n v="862.31"/>
    <n v="0.06"/>
    <s v="Credit Card"/>
    <n v="810.57139999999993"/>
    <n v="529605.78853188455"/>
    <n v="521"/>
    <x v="329"/>
    <n v="0.15491173259075616"/>
    <n v="2.4963967204161794"/>
    <n v="479.6897750973398"/>
    <n v="418.48534999999993"/>
    <x v="8"/>
  </r>
  <r>
    <s v="SALE449"/>
    <d v="2025-05-29T00:00:00"/>
    <s v="CUST1071"/>
    <s v="PROD83"/>
    <s v="STORE14"/>
    <n v="2"/>
    <n v="541.39"/>
    <n v="0.03"/>
    <s v="COD"/>
    <n v="1050.2965999999999"/>
    <n v="528795.21713188454"/>
    <n v="520"/>
    <x v="330"/>
    <n v="0.15497300549752877"/>
    <n v="2.4973627609070874"/>
    <n v="479.44276397732523"/>
    <n v="398.42914999999994"/>
    <x v="5"/>
  </r>
  <r>
    <s v="SALE450"/>
    <d v="2025-06-03T00:00:00"/>
    <s v="CUST1477"/>
    <s v="PROD76"/>
    <s v="STORE16"/>
    <n v="3"/>
    <n v="761.8"/>
    <n v="0.06"/>
    <s v="COD"/>
    <n v="2148.2759999999989"/>
    <n v="528795.21713188454"/>
    <n v="520"/>
    <x v="323"/>
    <n v="0.15505373741322484"/>
    <n v="2.497684054680283"/>
    <n v="479.40274638299525"/>
    <n v="728.28399999999965"/>
    <x v="2"/>
  </r>
  <r>
    <s v="SALE451"/>
    <d v="2024-08-04T00:00:00"/>
    <s v="CUST1422"/>
    <s v="PROD49"/>
    <s v="STORE2"/>
    <n v="4"/>
    <n v="829.36"/>
    <n v="0.11"/>
    <s v="PayPal"/>
    <n v="2952.5216"/>
    <n v="528795.21713188454"/>
    <n v="520"/>
    <x v="151"/>
    <n v="0.15511518132881194"/>
    <n v="2.4973593514189258"/>
    <n v="479.22020129339154"/>
    <n v="946.49790000000007"/>
    <x v="7"/>
  </r>
  <r>
    <s v="SALE452"/>
    <d v="2024-06-17T00:00:00"/>
    <s v="CUST1404"/>
    <s v="PROD23"/>
    <s v="STORE16"/>
    <n v="2"/>
    <n v="425.06"/>
    <n v="0.09"/>
    <s v="PayPal"/>
    <n v="773.60919999999999"/>
    <n v="528795.21713188454"/>
    <n v="520"/>
    <x v="325"/>
    <n v="0.15514436320548"/>
    <n v="2.4963873975712021"/>
    <n v="478.99372018167963"/>
    <n v="300.18979999999999"/>
    <x v="2"/>
  </r>
  <r>
    <s v="SALE453"/>
    <d v="2024-01-20T00:00:00"/>
    <s v="CUST1127"/>
    <s v="PROD55"/>
    <s v="STORE0"/>
    <n v="2"/>
    <n v="911.14"/>
    <n v="0.1"/>
    <s v="Credit Card"/>
    <n v="1640.0519999999999"/>
    <n v="528795.21713188454"/>
    <n v="520"/>
    <x v="331"/>
    <n v="0.15518652784185893"/>
    <n v="2.4967086839126722"/>
    <n v="479.02862873843151"/>
    <n v="638.32299999999998"/>
    <x v="4"/>
  </r>
  <r>
    <s v="SALE454"/>
    <d v="2025-09-06T00:00:00"/>
    <s v="CUST1084"/>
    <s v="PROD68"/>
    <s v="STORE8"/>
    <n v="3"/>
    <n v="811.96"/>
    <n v="0.28999999999999998"/>
    <s v="Credit Card"/>
    <n v="1729.4748"/>
    <n v="527155.16513188463"/>
    <n v="519"/>
    <x v="332"/>
    <n v="0.15522227041170469"/>
    <n v="2.4970303864281598"/>
    <n v="478.74876386067137"/>
    <n v="636.18119999999999"/>
    <x v="8"/>
  </r>
  <r>
    <s v="SALE455"/>
    <d v="2024-03-29T00:00:00"/>
    <s v="CUST1273"/>
    <s v="PROD31"/>
    <s v="STORE10"/>
    <n v="2"/>
    <n v="780.05"/>
    <n v="0.12"/>
    <s v="COD"/>
    <n v="1372.8879999999999"/>
    <n v="525425.69033188466"/>
    <n v="518"/>
    <x v="264"/>
    <n v="0.15513492256362413"/>
    <n v="2.4967044177868298"/>
    <n v="478.53281361041911"/>
    <n v="538.7645"/>
    <x v="9"/>
  </r>
  <r>
    <s v="SALE456"/>
    <d v="2024-08-23T00:00:00"/>
    <s v="CUST1215"/>
    <s v="PROD32"/>
    <s v="STORE9"/>
    <n v="4"/>
    <n v="315.95"/>
    <n v="0.19"/>
    <s v="COD"/>
    <n v="1023.678"/>
    <n v="525425.69033188466"/>
    <n v="518"/>
    <x v="333"/>
    <n v="0.15515770785711547"/>
    <n v="2.4970265347892857"/>
    <n v="478.33727717307175"/>
    <n v="335.9545"/>
    <x v="7"/>
  </r>
  <r>
    <s v="SALE457"/>
    <d v="2025-05-19T00:00:00"/>
    <s v="CUST1229"/>
    <s v="PROD52"/>
    <s v="STORE9"/>
    <n v="2"/>
    <n v="810.17"/>
    <n v="0.27"/>
    <s v="Credit Card"/>
    <n v="1182.8481999999999"/>
    <n v="525425.69033188466"/>
    <n v="518"/>
    <x v="254"/>
    <n v="0.15513509767402467"/>
    <n v="2.4960512113206219"/>
    <n v="478.44265502977055"/>
    <n v="498.82204999999999"/>
    <x v="5"/>
  </r>
  <r>
    <s v="SALE458"/>
    <d v="2024-04-07T00:00:00"/>
    <s v="CUST1205"/>
    <s v="PROD84"/>
    <s v="STORE4"/>
    <n v="3"/>
    <n v="505.01"/>
    <n v="0.02"/>
    <s v="PayPal"/>
    <n v="1484.7293999999999"/>
    <n v="524242.84213188459"/>
    <n v="517"/>
    <x v="257"/>
    <n v="0.15506051007511168"/>
    <n v="2.4963733224968041"/>
    <n v="478.2272476629069"/>
    <n v="498.18984999999998"/>
    <x v="10"/>
  </r>
  <r>
    <s v="SALE459"/>
    <d v="2024-01-24T00:00:00"/>
    <s v="CUST1467"/>
    <s v="PROD72"/>
    <s v="STORE17"/>
    <n v="2"/>
    <n v="736.75"/>
    <n v="0.18"/>
    <s v="Credit Card"/>
    <n v="1208.27"/>
    <n v="524242.84213188459"/>
    <n v="517"/>
    <x v="334"/>
    <n v="0.1551482686911449"/>
    <n v="2.4960460796914088"/>
    <n v="478.20984496483214"/>
    <n v="486.79999999999995"/>
    <x v="4"/>
  </r>
  <r>
    <s v="SALE460"/>
    <d v="2024-01-20T00:00:00"/>
    <s v="CUST1027"/>
    <s v="PROD77"/>
    <s v="STORE9"/>
    <n v="4"/>
    <n v="700.31"/>
    <n v="0.2"/>
    <s v="PayPal"/>
    <n v="2240.9920000000002"/>
    <n v="523034.57213188463"/>
    <n v="516"/>
    <x v="331"/>
    <n v="0.15513211021825229"/>
    <n v="2.4963686064012212"/>
    <n v="478.04174343359983"/>
    <n v="736.3755000000001"/>
    <x v="4"/>
  </r>
  <r>
    <s v="SALE461"/>
    <d v="2023-12-10T00:00:00"/>
    <s v="CUST1129"/>
    <s v="PROD91"/>
    <s v="STORE11"/>
    <n v="4"/>
    <n v="202.46"/>
    <n v="0.24"/>
    <s v="Credit Card"/>
    <n v="615.47840000000008"/>
    <n v="523034.57213188463"/>
    <n v="516"/>
    <x v="66"/>
    <n v="0.15510291835762655"/>
    <n v="2.4953903166200901"/>
    <n v="477.89713168567118"/>
    <n v="205.54460000000003"/>
    <x v="1"/>
  </r>
  <r>
    <s v="SALE462"/>
    <d v="2023-12-19T00:00:00"/>
    <s v="CUST1265"/>
    <s v="PROD87"/>
    <s v="STORE1"/>
    <n v="2"/>
    <n v="291.83999999999997"/>
    <n v="0.25"/>
    <s v="PayPal"/>
    <n v="437.76"/>
    <n v="522419.09373188461"/>
    <n v="515"/>
    <x v="335"/>
    <n v="0.15504764682009897"/>
    <n v="2.4944107530241397"/>
    <n v="478.07645273494569"/>
    <n v="182.96249999999998"/>
    <x v="1"/>
  </r>
  <r>
    <s v="SALE463"/>
    <d v="2023-11-22T00:00:00"/>
    <s v="CUST1163"/>
    <s v="PROD97"/>
    <s v="STORE5"/>
    <n v="2"/>
    <n v="261.48"/>
    <n v="0.17"/>
    <s v="Credit Card"/>
    <n v="434.05680000000001"/>
    <n v="522419.09373188461"/>
    <n v="515"/>
    <x v="336"/>
    <n v="0.15498578860955831"/>
    <n v="2.4947328447199206"/>
    <n v="478.19777941425178"/>
    <n v="174.42670000000001"/>
    <x v="3"/>
  </r>
  <r>
    <s v="SALE464"/>
    <d v="2025-10-08T00:00:00"/>
    <s v="CUST1300"/>
    <s v="PROD36"/>
    <s v="STORE14"/>
    <n v="1"/>
    <n v="850.83"/>
    <n v="0.28000000000000003"/>
    <s v="PayPal"/>
    <n v="612.59760000000006"/>
    <n v="521985.03693188465"/>
    <n v="514"/>
    <x v="337"/>
    <n v="0.15497600098805214"/>
    <n v="2.495055356352724"/>
    <n v="478.33905567201862"/>
    <n v="366.17690000000005"/>
    <x v="11"/>
  </r>
  <r>
    <s v="SALE465"/>
    <d v="2025-02-23T00:00:00"/>
    <s v="CUST1405"/>
    <s v="PROD46"/>
    <s v="STORE9"/>
    <n v="1"/>
    <n v="83.83"/>
    <n v="0.05"/>
    <s v="Credit Card"/>
    <n v="79.638499999999993"/>
    <n v="521985.03693188465"/>
    <n v="514"/>
    <x v="294"/>
    <n v="0.15489444586801826"/>
    <n v="2.4960306044651523"/>
    <n v="478.0960739731745"/>
    <n v="41.129624999999997"/>
    <x v="6"/>
  </r>
  <r>
    <s v="SALE466"/>
    <d v="2025-02-25T00:00:00"/>
    <s v="CUST1006"/>
    <s v="PROD88"/>
    <s v="STORE16"/>
    <n v="3"/>
    <n v="649.95000000000005"/>
    <n v="0.28000000000000003"/>
    <s v="COD"/>
    <n v="1403.8920000000001"/>
    <n v="521905.39843188465"/>
    <n v="513"/>
    <x v="219"/>
    <n v="0.15496291482746213"/>
    <n v="2.49700712574744"/>
    <n v="478.35342780736067"/>
    <n v="514.28050000000007"/>
    <x v="6"/>
  </r>
  <r>
    <s v="SALE467"/>
    <d v="2024-09-30T00:00:00"/>
    <s v="CUST1366"/>
    <s v="PROD73"/>
    <s v="STORE6"/>
    <n v="4"/>
    <n v="934.96"/>
    <n v="0.18"/>
    <s v="PayPal"/>
    <n v="3066.6687999999999"/>
    <n v="521905.39843188465"/>
    <n v="513"/>
    <x v="338"/>
    <n v="0.15488124462160155"/>
    <n v="2.4966785869660866"/>
    <n v="478.24134644080777"/>
    <n v="1001.4521999999999"/>
    <x v="8"/>
  </r>
  <r>
    <s v="SALE468"/>
    <d v="2023-12-19T00:00:00"/>
    <s v="CUST1206"/>
    <s v="PROD17"/>
    <s v="STORE14"/>
    <n v="1"/>
    <n v="880.89"/>
    <n v="0.13"/>
    <s v="COD"/>
    <n v="766.37429999999995"/>
    <n v="521905.39843188465"/>
    <n v="513"/>
    <x v="335"/>
    <n v="0.15486482713442615"/>
    <n v="2.4956960239510315"/>
    <n v="477.94283751691279"/>
    <n v="412.09857499999998"/>
    <x v="1"/>
  </r>
  <r>
    <s v="SALE469"/>
    <d v="2024-11-18T00:00:00"/>
    <s v="CUST1477"/>
    <s v="PROD98"/>
    <s v="STORE8"/>
    <n v="4"/>
    <n v="610.6"/>
    <n v="0.1"/>
    <s v="PayPal"/>
    <n v="2198.16"/>
    <n v="521905.39843188465"/>
    <n v="513"/>
    <x v="339"/>
    <n v="0.15488108928428515"/>
    <n v="2.4966742424101231"/>
    <n v="477.67930111241111"/>
    <n v="703.21499999999992"/>
    <x v="3"/>
  </r>
  <r>
    <s v="SALE470"/>
    <d v="2025-09-12T00:00:00"/>
    <s v="CUST1075"/>
    <s v="PROD28"/>
    <s v="STORE18"/>
    <n v="1"/>
    <n v="514.19000000000005"/>
    <n v="0.2"/>
    <s v="Credit Card"/>
    <n v="411.35200000000009"/>
    <n v="521905.39843188465"/>
    <n v="513"/>
    <x v="340"/>
    <n v="0.15491700622753402"/>
    <n v="2.4956903904745276"/>
    <n v="477.59231112622808"/>
    <n v="231.68550000000005"/>
    <x v="8"/>
  </r>
  <r>
    <s v="SALE471"/>
    <d v="2025-01-31T00:00:00"/>
    <s v="CUST1399"/>
    <s v="PROD37"/>
    <s v="STORE13"/>
    <n v="1"/>
    <n v="546.20000000000005"/>
    <n v="0.22"/>
    <s v="PayPal"/>
    <n v="426.03600000000012"/>
    <n v="521494.04643188464"/>
    <n v="512"/>
    <x v="298"/>
    <n v="0.15488748232853439"/>
    <n v="2.4966698864735286"/>
    <n v="477.56834407392046"/>
    <n v="243.36400000000003"/>
    <x v="4"/>
  </r>
  <r>
    <s v="SALE472"/>
    <d v="2024-10-26T00:00:00"/>
    <s v="CUST1197"/>
    <s v="PROD37"/>
    <s v="STORE0"/>
    <n v="3"/>
    <n v="416.01"/>
    <n v="0.02"/>
    <s v="Credit Card"/>
    <n v="1223.0694000000001"/>
    <n v="521494.04643188464"/>
    <n v="512"/>
    <x v="341"/>
    <n v="0.15484481357514546"/>
    <n v="2.4976506662156477"/>
    <n v="477.52336920109877"/>
    <n v="410.52485000000001"/>
    <x v="11"/>
  </r>
  <r>
    <s v="SALE473"/>
    <d v="2025-07-26T00:00:00"/>
    <s v="CUST1384"/>
    <s v="PROD74"/>
    <s v="STORE10"/>
    <n v="1"/>
    <n v="30.94"/>
    <n v="0.21"/>
    <s v="COD"/>
    <n v="24.442599999999999"/>
    <n v="520270.9770318846"/>
    <n v="511"/>
    <x v="342"/>
    <n v="0.15493323640371934"/>
    <n v="2.4973212568164449"/>
    <n v="477.56370583664039"/>
    <n v="14.148149999999999"/>
    <x v="0"/>
  </r>
  <r>
    <s v="SALE474"/>
    <d v="2025-08-06T00:00:00"/>
    <s v="CUST1200"/>
    <s v="PROD58"/>
    <s v="STORE16"/>
    <n v="3"/>
    <n v="666.39"/>
    <n v="0.21"/>
    <s v="COD"/>
    <n v="1579.3443"/>
    <n v="520270.9770318846"/>
    <n v="511"/>
    <x v="13"/>
    <n v="0.15489710335674015"/>
    <n v="2.4983037510794479"/>
    <n v="477.85676601107389"/>
    <n v="562.23607500000003"/>
    <x v="7"/>
  </r>
  <r>
    <s v="SALE475"/>
    <d v="2025-05-20T00:00:00"/>
    <s v="CUST1166"/>
    <s v="PROD81"/>
    <s v="STORE10"/>
    <n v="2"/>
    <n v="145.26"/>
    <n v="0.19"/>
    <s v="PayPal"/>
    <n v="235.3212"/>
    <n v="520270.9770318846"/>
    <n v="511"/>
    <x v="343"/>
    <n v="0.15486092285992908"/>
    <n v="2.4979743379153501"/>
    <n v="477.7329753124601"/>
    <n v="95.692800000000005"/>
    <x v="5"/>
  </r>
  <r>
    <s v="SALE476"/>
    <d v="2024-03-13T00:00:00"/>
    <s v="CUST1118"/>
    <s v="PROD91"/>
    <s v="STORE5"/>
    <n v="4"/>
    <n v="940.77"/>
    <n v="0.24"/>
    <s v="COD"/>
    <n v="2859.9407999999999"/>
    <n v="520270.9770318846"/>
    <n v="511"/>
    <x v="344"/>
    <n v="0.15483783542422599"/>
    <n v="2.4983015221058333"/>
    <n v="477.95142010570089"/>
    <n v="951.2376999999999"/>
    <x v="9"/>
  </r>
  <r>
    <s v="SALE477"/>
    <d v="2025-02-12T00:00:00"/>
    <s v="CUST1469"/>
    <s v="PROD46"/>
    <s v="STORE17"/>
    <n v="1"/>
    <n v="708.88"/>
    <n v="0.09"/>
    <s v="Credit Card"/>
    <n v="645.08080000000007"/>
    <n v="520270.9770318846"/>
    <n v="511"/>
    <x v="345"/>
    <n v="0.15478184452049443"/>
    <n v="2.4973142121269416"/>
    <n v="477.64713438584926"/>
    <n v="338.7627"/>
    <x v="6"/>
  </r>
  <r>
    <s v="SALE478"/>
    <d v="2025-09-24T00:00:00"/>
    <s v="CUST1307"/>
    <s v="PROD30"/>
    <s v="STORE2"/>
    <n v="1"/>
    <n v="790.73"/>
    <n v="0.24"/>
    <s v="PayPal"/>
    <n v="600.95479999999998"/>
    <n v="519625.8962318846"/>
    <n v="510"/>
    <x v="268"/>
    <n v="0.15482446415504736"/>
    <n v="2.4982992872664989"/>
    <n v="477.49500750057678"/>
    <n v="348.2312"/>
    <x v="8"/>
  </r>
  <r>
    <s v="SALE479"/>
    <d v="2024-10-09T00:00:00"/>
    <s v="CUST1449"/>
    <s v="PROD15"/>
    <s v="STORE9"/>
    <n v="3"/>
    <n v="635.13"/>
    <n v="0.09"/>
    <s v="PayPal"/>
    <n v="1733.9049"/>
    <n v="519625.8962318846"/>
    <n v="510"/>
    <x v="346"/>
    <n v="0.15476839072789467"/>
    <n v="2.4992856594108481"/>
    <n v="477.28879618227563"/>
    <n v="593.03122499999995"/>
    <x v="11"/>
  </r>
  <r>
    <s v="SALE480"/>
    <d v="2023-11-03T00:00:00"/>
    <s v="CUST1266"/>
    <s v="PROD93"/>
    <s v="STORE14"/>
    <n v="1"/>
    <n v="744.88"/>
    <n v="0.15"/>
    <s v="COD"/>
    <n v="633.14800000000002"/>
    <n v="519625.8962318846"/>
    <n v="510"/>
    <x v="305"/>
    <n v="0.15481105765195785"/>
    <n v="2.4989558080665866"/>
    <n v="477.18481646961584"/>
    <n v="344.79449999999997"/>
    <x v="3"/>
  </r>
  <r>
    <s v="SALE481"/>
    <d v="2025-03-29T00:00:00"/>
    <s v="CUST1183"/>
    <s v="PROD28"/>
    <s v="STORE1"/>
    <n v="3"/>
    <n v="205.34"/>
    <n v="0.25"/>
    <s v="Credit Card"/>
    <n v="462.01499999999999"/>
    <n v="519625.8962318846"/>
    <n v="510"/>
    <x v="142"/>
    <n v="0.15481422908086487"/>
    <n v="2.4999439134113897"/>
    <n v="477.00835293399916"/>
    <n v="167.65125"/>
    <x v="9"/>
  </r>
  <r>
    <s v="SALE482"/>
    <d v="2025-07-13T00:00:00"/>
    <s v="CUST1419"/>
    <s v="PROD29"/>
    <s v="STORE8"/>
    <n v="2"/>
    <n v="756.8"/>
    <n v="0.15"/>
    <s v="Credit Card"/>
    <n v="1286.56"/>
    <n v="519163.88123188465"/>
    <n v="509"/>
    <x v="103"/>
    <n v="0.15475144163302901"/>
    <n v="2.4996140611115294"/>
    <n v="477.18755369450975"/>
    <n v="511.37749999999994"/>
    <x v="0"/>
  </r>
  <r>
    <s v="SALE483"/>
    <d v="2024-01-17T00:00:00"/>
    <s v="CUST1044"/>
    <s v="PROD21"/>
    <s v="STORE10"/>
    <n v="1"/>
    <n v="771.73"/>
    <n v="0.2"/>
    <s v="Credit Card"/>
    <n v="617.38400000000001"/>
    <n v="517877.32123188465"/>
    <n v="508"/>
    <x v="238"/>
    <n v="0.15475457789813332"/>
    <n v="2.4999438393696889"/>
    <n v="477.00299102368109"/>
    <n v="347.57850000000002"/>
    <x v="4"/>
  </r>
  <r>
    <s v="SALE484"/>
    <d v="2024-12-13T00:00:00"/>
    <s v="CUST1479"/>
    <s v="PROD66"/>
    <s v="STORE17"/>
    <n v="1"/>
    <n v="440.19"/>
    <n v="0.03"/>
    <s v="PayPal"/>
    <n v="426.98430000000002"/>
    <n v="517259.93723188463"/>
    <n v="507"/>
    <x v="236"/>
    <n v="0.15472469320718096"/>
    <n v="2.5009345552477402"/>
    <n v="476.80832325024892"/>
    <n v="217.051075"/>
    <x v="1"/>
  </r>
  <r>
    <s v="SALE485"/>
    <d v="2025-09-19T00:00:00"/>
    <s v="CUST1047"/>
    <s v="PROD4"/>
    <s v="STORE2"/>
    <n v="2"/>
    <n v="409"/>
    <n v="0.17"/>
    <s v="Credit Card"/>
    <n v="678.93999999999994"/>
    <n v="517259.93723188463"/>
    <n v="507"/>
    <x v="347"/>
    <n v="0.15480712856290282"/>
    <n v="2.5019265807303888"/>
    <n v="476.83252571108852"/>
    <n v="272.52749999999997"/>
    <x v="8"/>
  </r>
  <r>
    <s v="SALE486"/>
    <d v="2024-02-11T00:00:00"/>
    <s v="CUST1343"/>
    <s v="PROD38"/>
    <s v="STORE19"/>
    <n v="3"/>
    <n v="134.58000000000001"/>
    <n v="0.04"/>
    <s v="COD"/>
    <n v="387.59039999999999"/>
    <n v="516580.99723188463"/>
    <n v="506"/>
    <x v="348"/>
    <n v="0.15479708036750794"/>
    <n v="2.5022585427546815"/>
    <n v="476.87738849264343"/>
    <n v="131.30259999999998"/>
    <x v="6"/>
  </r>
  <r>
    <s v="SALE487"/>
    <d v="2025-06-03T00:00:00"/>
    <s v="CUST1348"/>
    <s v="PROD39"/>
    <s v="STORE7"/>
    <n v="4"/>
    <n v="284.44"/>
    <n v="0.02"/>
    <s v="Credit Card"/>
    <n v="1115.0047999999999"/>
    <n v="516580.99723188463"/>
    <n v="506"/>
    <x v="323"/>
    <n v="0.15487305460997483"/>
    <n v="2.5019291308041551"/>
    <n v="477.10392548039499"/>
    <n v="350.86619999999999"/>
    <x v="2"/>
  </r>
  <r>
    <s v="SALE488"/>
    <d v="2025-03-10T00:00:00"/>
    <s v="CUST1405"/>
    <s v="PROD73"/>
    <s v="STORE13"/>
    <n v="4"/>
    <n v="922.69"/>
    <n v="0.16"/>
    <s v="Credit Card"/>
    <n v="3100.2384000000002"/>
    <n v="515465.99243188463"/>
    <n v="505"/>
    <x v="349"/>
    <n v="0.15496237451369005"/>
    <n v="2.5009370308907806"/>
    <n v="477.23151748402444"/>
    <n v="1006.7721"/>
    <x v="9"/>
  </r>
  <r>
    <s v="SALE489"/>
    <d v="2024-12-18T00:00:00"/>
    <s v="CUST1275"/>
    <s v="PROD36"/>
    <s v="STORE6"/>
    <n v="2"/>
    <n v="992.55"/>
    <n v="0.28000000000000003"/>
    <s v="Credit Card"/>
    <n v="1429.2719999999999"/>
    <n v="512365.75403188454"/>
    <n v="504"/>
    <x v="350"/>
    <n v="0.15495903612701922"/>
    <n v="2.4999436160669837"/>
    <n v="476.93631636903706"/>
    <n v="606.02549999999997"/>
    <x v="1"/>
  </r>
  <r>
    <s v="SALE490"/>
    <d v="2024-03-20T00:00:00"/>
    <s v="CUST1418"/>
    <s v="PROD89"/>
    <s v="STORE18"/>
    <n v="1"/>
    <n v="170.43"/>
    <n v="0.03"/>
    <s v="Credit Card"/>
    <n v="165.31710000000001"/>
    <n v="510936.48203188466"/>
    <n v="503"/>
    <x v="160"/>
    <n v="0.15487611771596285"/>
    <n v="2.5002751436638451"/>
    <n v="476.59439748068758"/>
    <n v="84.194275000000005"/>
    <x v="9"/>
  </r>
  <r>
    <s v="SALE491"/>
    <d v="2024-06-19T00:00:00"/>
    <s v="CUST1223"/>
    <s v="PROD72"/>
    <s v="STORE2"/>
    <n v="3"/>
    <n v="480.51"/>
    <n v="0.03"/>
    <s v="Credit Card"/>
    <n v="1398.2841000000001"/>
    <n v="510771.16493188462"/>
    <n v="502"/>
    <x v="55"/>
    <n v="0.15495898176222428"/>
    <n v="2.5012706812508814"/>
    <n v="476.7975589919555"/>
    <n v="470.45602500000001"/>
    <x v="2"/>
  </r>
  <r>
    <s v="SALE492"/>
    <d v="2024-12-06T00:00:00"/>
    <s v="CUST1156"/>
    <s v="PROD49"/>
    <s v="STORE7"/>
    <n v="2"/>
    <n v="955.66"/>
    <n v="0.28999999999999998"/>
    <s v="COD"/>
    <n v="1357.0372"/>
    <n v="509372.88083188469"/>
    <n v="501"/>
    <x v="351"/>
    <n v="0.15504195585369987"/>
    <n v="2.5009395196846471"/>
    <n v="476.79509389168453"/>
    <n v="578.74680000000001"/>
    <x v="1"/>
  </r>
  <r>
    <s v="SALE493"/>
    <d v="2025-07-25T00:00:00"/>
    <s v="CUST1451"/>
    <s v="PROD72"/>
    <s v="STORE0"/>
    <n v="2"/>
    <n v="488.02"/>
    <n v="0.27"/>
    <s v="PayPal"/>
    <n v="712.50919999999996"/>
    <n v="509372.88083188469"/>
    <n v="501"/>
    <x v="198"/>
    <n v="0.15495228273466577"/>
    <n v="2.5012723698638393"/>
    <n v="476.47691122981854"/>
    <n v="300.69979999999998"/>
    <x v="0"/>
  </r>
  <r>
    <s v="SALE494"/>
    <d v="2024-07-28T00:00:00"/>
    <s v="CUST1240"/>
    <s v="PROD18"/>
    <s v="STORE0"/>
    <n v="1"/>
    <n v="917.17"/>
    <n v="0.13"/>
    <s v="COD"/>
    <n v="797.93790000000001"/>
    <n v="509372.88083188469"/>
    <n v="501"/>
    <x v="286"/>
    <n v="0.15487578824180318"/>
    <n v="2.5016056626629513"/>
    <n v="476.46923630377461"/>
    <n v="429.05947500000002"/>
    <x v="0"/>
  </r>
  <r>
    <s v="SALE495"/>
    <d v="2024-10-03T00:00:00"/>
    <s v="CUST1324"/>
    <s v="PROD8"/>
    <s v="STORE5"/>
    <n v="2"/>
    <n v="406.46"/>
    <n v="0.3"/>
    <s v="PayPal"/>
    <n v="569.04399999999998"/>
    <n v="509372.88083188469"/>
    <n v="501"/>
    <x v="352"/>
    <n v="0.15489233899911642"/>
    <n v="2.5026047349601321"/>
    <n v="476.17602222280567"/>
    <n v="244.45099999999999"/>
    <x v="11"/>
  </r>
  <r>
    <s v="SALE496"/>
    <d v="2023-11-08T00:00:00"/>
    <s v="CUST1232"/>
    <s v="PROD95"/>
    <s v="STORE0"/>
    <n v="2"/>
    <n v="264.39"/>
    <n v="0.11"/>
    <s v="COD"/>
    <n v="470.61419999999998"/>
    <n v="509372.88083188469"/>
    <n v="501"/>
    <x v="353"/>
    <n v="0.15479572937128624"/>
    <n v="2.5029393586185607"/>
    <n v="476.22243768367321"/>
    <n v="184.27855"/>
    <x v="3"/>
  </r>
  <r>
    <s v="SALE497"/>
    <d v="2025-04-07T00:00:00"/>
    <s v="CUST1191"/>
    <s v="PROD68"/>
    <s v="STORE16"/>
    <n v="1"/>
    <n v="414.97"/>
    <n v="0.22"/>
    <s v="PayPal"/>
    <n v="323.67660000000001"/>
    <n v="509372.88083188469"/>
    <n v="501"/>
    <x v="190"/>
    <n v="0.15482557329491803"/>
    <n v="2.5032744281446226"/>
    <n v="476.36356522376889"/>
    <n v="184.96665000000002"/>
    <x v="10"/>
  </r>
  <r>
    <s v="SALE498"/>
    <d v="2023-12-20T00:00:00"/>
    <s v="CUST1146"/>
    <s v="PROD25"/>
    <s v="STORE12"/>
    <n v="2"/>
    <n v="583.51"/>
    <n v="0.2"/>
    <s v="COD"/>
    <n v="933.61599999999999"/>
    <n v="509372.88083188469"/>
    <n v="501"/>
    <x v="354"/>
    <n v="0.15478212367711466"/>
    <n v="2.504276611096719"/>
    <n v="476.40449426725132"/>
    <n v="379.83150000000001"/>
    <x v="1"/>
  </r>
  <r>
    <s v="SALE499"/>
    <d v="2025-09-11T00:00:00"/>
    <s v="CUST1011"/>
    <s v="PROD31"/>
    <s v="STORE17"/>
    <n v="1"/>
    <n v="659.27"/>
    <n v="0.15"/>
    <s v="PayPal"/>
    <n v="560.37950000000001"/>
    <n v="509372.88083188469"/>
    <n v="501"/>
    <x v="355"/>
    <n v="0.15475195831599198"/>
    <n v="2.5046130197765701"/>
    <n v="476.33304296255966"/>
    <n v="305.19987500000002"/>
    <x v="8"/>
  </r>
  <r>
    <s v="SALE500"/>
    <d v="2024-12-01T00:00:00"/>
    <s v="CUST1445"/>
    <s v="PROD2"/>
    <s v="STORE4"/>
    <n v="4"/>
    <n v="106.66"/>
    <n v="0.2"/>
    <s v="COD"/>
    <n v="341.31200000000001"/>
    <n v="509372.88083188469"/>
    <n v="501"/>
    <x v="356"/>
    <n v="0.15475513051780507"/>
    <n v="2.5056174343425091"/>
    <n v="476.21092216346938"/>
    <n v="113.04300000000001"/>
    <x v="1"/>
  </r>
  <r>
    <s v="SALE501"/>
    <d v="2024-11-21T00:00:00"/>
    <s v="CUST1163"/>
    <s v="PROD10"/>
    <s v="STORE5"/>
    <n v="4"/>
    <n v="168.55"/>
    <n v="0.15"/>
    <s v="PayPal"/>
    <n v="573.07000000000005"/>
    <n v="509372.88083188469"/>
    <n v="501"/>
    <x v="136"/>
    <n v="0.15472490682409618"/>
    <n v="2.5046191827956434"/>
    <n v="476.4577831669186"/>
    <n v="186.44250000000002"/>
    <x v="3"/>
  </r>
  <r>
    <s v="SALE502"/>
    <d v="2025-08-30T00:00:00"/>
    <s v="CUST1488"/>
    <s v="PROD44"/>
    <s v="STORE2"/>
    <n v="1"/>
    <n v="230.53"/>
    <n v="0.06"/>
    <s v="COD"/>
    <n v="216.69820000000001"/>
    <n v="509372.88083188469"/>
    <n v="501"/>
    <x v="357"/>
    <n v="0.15472806518427271"/>
    <n v="2.5036195966878867"/>
    <n v="476.6636038775917"/>
    <n v="112.07205"/>
    <x v="7"/>
  </r>
  <r>
    <s v="SALE503"/>
    <d v="2025-08-20T00:00:00"/>
    <s v="CUST1007"/>
    <s v="PROD54"/>
    <s v="STORE1"/>
    <n v="2"/>
    <n v="355.41"/>
    <n v="0.13"/>
    <s v="COD"/>
    <n v="618.41340000000002"/>
    <n v="509372.88083188469"/>
    <n v="501"/>
    <x v="69"/>
    <n v="0.15479142843857657"/>
    <n v="2.5046253623044001"/>
    <n v="476.82824173971716"/>
    <n v="243.98835000000003"/>
    <x v="7"/>
  </r>
  <r>
    <s v="SALE504"/>
    <d v="2025-10-13T00:00:00"/>
    <s v="CUST1167"/>
    <s v="PROD47"/>
    <s v="STORE2"/>
    <n v="3"/>
    <n v="843.44"/>
    <n v="0.22"/>
    <s v="Credit Card"/>
    <n v="1973.6496"/>
    <n v="509372.88083188469"/>
    <n v="501"/>
    <x v="186"/>
    <n v="0.15480802243351538"/>
    <n v="2.5049631302845237"/>
    <n v="476.90951231651746"/>
    <n v="705.07740000000001"/>
    <x v="11"/>
  </r>
  <r>
    <s v="SALE505"/>
    <d v="2024-01-15T00:00:00"/>
    <s v="CUST1163"/>
    <s v="PROD95"/>
    <s v="STORE1"/>
    <n v="1"/>
    <n v="301.60000000000002"/>
    <n v="0.27"/>
    <s v="Credit Card"/>
    <n v="220.16800000000001"/>
    <n v="507399.23123188468"/>
    <n v="500"/>
    <x v="358"/>
    <n v="0.15476435734472338"/>
    <n v="2.5046315583691081"/>
    <n v="476.66401299455936"/>
    <n v="130.7595"/>
    <x v="4"/>
  </r>
  <r>
    <s v="SALE506"/>
    <d v="2025-04-25T00:00:00"/>
    <s v="CUST1042"/>
    <s v="PROD89"/>
    <s v="STORE2"/>
    <n v="3"/>
    <n v="21.59"/>
    <n v="0.16"/>
    <s v="COD"/>
    <n v="54.406799999999997"/>
    <n v="507179.06323188468"/>
    <n v="499"/>
    <x v="359"/>
    <n v="0.15468712165929754"/>
    <n v="2.5056400245610444"/>
    <n v="476.78134812391221"/>
    <n v="19.789200000000001"/>
    <x v="10"/>
  </r>
  <r>
    <s v="SALE507"/>
    <d v="2024-02-24T00:00:00"/>
    <s v="CUST1212"/>
    <s v="PROD13"/>
    <s v="STORE2"/>
    <n v="4"/>
    <n v="284.24"/>
    <n v="0.09"/>
    <s v="Credit Card"/>
    <n v="1034.6335999999999"/>
    <n v="507179.06323188468"/>
    <n v="499"/>
    <x v="360"/>
    <n v="0.15468355836061165"/>
    <n v="2.5053084618679264"/>
    <n v="477.08664077858958"/>
    <n v="330.74089999999995"/>
    <x v="6"/>
  </r>
  <r>
    <s v="SALE508"/>
    <d v="2024-12-30T00:00:00"/>
    <s v="CUST1368"/>
    <s v="PROD5"/>
    <s v="STORE9"/>
    <n v="1"/>
    <n v="191.6"/>
    <n v="0.27"/>
    <s v="PayPal"/>
    <n v="139.86799999999999"/>
    <n v="506144.42963188468"/>
    <n v="498"/>
    <x v="361"/>
    <n v="0.15472697014474629"/>
    <n v="2.5043053131846165"/>
    <n v="477.2160680542799"/>
    <n v="83.1845"/>
    <x v="1"/>
  </r>
  <r>
    <s v="SALE509"/>
    <d v="2025-04-15T00:00:00"/>
    <s v="CUST1311"/>
    <s v="PROD78"/>
    <s v="STORE12"/>
    <n v="2"/>
    <n v="616.97"/>
    <n v="0.22"/>
    <s v="Credit Card"/>
    <n v="962.47320000000002"/>
    <n v="506144.42963188468"/>
    <n v="498"/>
    <x v="362"/>
    <n v="0.15464955373785894"/>
    <n v="2.5053155921054926"/>
    <n v="477.40788542704979"/>
    <n v="395.41579999999999"/>
    <x v="10"/>
  </r>
  <r>
    <s v="SALE510"/>
    <d v="2024-10-15T00:00:00"/>
    <s v="CUST1168"/>
    <s v="PROD28"/>
    <s v="STORE10"/>
    <n v="3"/>
    <n v="125.68"/>
    <n v="0.26"/>
    <s v="COD"/>
    <n v="279.00959999999998"/>
    <n v="505181.95643188467"/>
    <n v="497"/>
    <x v="93"/>
    <n v="0.15460563542719893"/>
    <n v="2.5056551859173912"/>
    <n v="477.31409368338524"/>
    <n v="101.98739999999999"/>
    <x v="11"/>
  </r>
  <r>
    <s v="SALE511"/>
    <d v="2025-01-19T00:00:00"/>
    <s v="CUST1352"/>
    <s v="PROD43"/>
    <s v="STORE4"/>
    <n v="3"/>
    <n v="307.48"/>
    <n v="0.24"/>
    <s v="Credit Card"/>
    <n v="701.0544000000001"/>
    <n v="505181.95643188467"/>
    <n v="497"/>
    <x v="197"/>
    <n v="0.15453475824860255"/>
    <n v="2.505322741523254"/>
    <n v="477.55056583784614"/>
    <n v="252.94360000000003"/>
    <x v="4"/>
  </r>
  <r>
    <s v="SALE512"/>
    <d v="2024-07-22T00:00:00"/>
    <s v="CUST1298"/>
    <s v="PROD2"/>
    <s v="STORE19"/>
    <n v="1"/>
    <n v="505.23"/>
    <n v="0.11"/>
    <s v="Credit Card"/>
    <n v="449.65469999999999"/>
    <n v="504480.90203188465"/>
    <n v="496"/>
    <x v="123"/>
    <n v="0.15447724462696633"/>
    <n v="2.5049898496938621"/>
    <n v="477.66501440166695"/>
    <n v="238.99867499999999"/>
    <x v="0"/>
  </r>
  <r>
    <s v="SALE513"/>
    <d v="2025-03-19T00:00:00"/>
    <s v="CUST1365"/>
    <s v="PROD45"/>
    <s v="STORE16"/>
    <n v="1"/>
    <n v="853.12"/>
    <n v="0.19"/>
    <s v="COD"/>
    <n v="691.02719999999999"/>
    <n v="504031.24733188469"/>
    <n v="495"/>
    <x v="226"/>
    <n v="0.15450719563344914"/>
    <n v="2.5060033108721069"/>
    <n v="477.64645212180284"/>
    <n v="386.33429999999998"/>
    <x v="9"/>
  </r>
  <r>
    <s v="SALE514"/>
    <d v="2024-01-21T00:00:00"/>
    <s v="CUST1129"/>
    <s v="PROD0"/>
    <s v="STORE7"/>
    <n v="4"/>
    <n v="191.65"/>
    <n v="0.19"/>
    <s v="PayPal"/>
    <n v="620.94600000000003"/>
    <n v="504031.24733188469"/>
    <n v="495"/>
    <x v="86"/>
    <n v="0.15448327864937467"/>
    <n v="2.5070181379009964"/>
    <n v="477.39343760166929"/>
    <n v="204.19650000000001"/>
    <x v="4"/>
  </r>
  <r>
    <s v="SALE515"/>
    <d v="2023-12-26T00:00:00"/>
    <s v="CUST1160"/>
    <s v="PROD47"/>
    <s v="STORE3"/>
    <n v="1"/>
    <n v="169.69"/>
    <n v="0.22"/>
    <s v="Credit Card"/>
    <n v="132.35820000000001"/>
    <n v="504031.24733188469"/>
    <n v="495"/>
    <x v="363"/>
    <n v="0.15445932941043289"/>
    <n v="2.5060114070432089"/>
    <n v="477.58611692574323"/>
    <n v="75.817049999999995"/>
    <x v="1"/>
  </r>
  <r>
    <s v="SALE516"/>
    <d v="2024-03-21T00:00:00"/>
    <s v="CUST1175"/>
    <s v="PROD62"/>
    <s v="STORE14"/>
    <n v="1"/>
    <n v="145.43"/>
    <n v="0.08"/>
    <s v="Credit Card"/>
    <n v="133.79560000000001"/>
    <n v="503898.88913188467"/>
    <n v="494"/>
    <x v="364"/>
    <n v="0.15441510493635088"/>
    <n v="2.507027609072253"/>
    <n v="477.79387408966068"/>
    <n v="70.076400000000007"/>
    <x v="9"/>
  </r>
  <r>
    <s v="SALE517"/>
    <d v="2024-12-07T00:00:00"/>
    <s v="CUST1084"/>
    <s v="PROD93"/>
    <s v="STORE12"/>
    <n v="4"/>
    <n v="828.35"/>
    <n v="0.17"/>
    <s v="Credit Card"/>
    <n v="2750.1219999999998"/>
    <n v="503765.09353188472"/>
    <n v="493"/>
    <x v="56"/>
    <n v="0.15446535146230383"/>
    <n v="2.5080451834200397"/>
    <n v="478.01829264070034"/>
    <n v="895.66049999999996"/>
    <x v="1"/>
  </r>
  <r>
    <s v="SALE518"/>
    <d v="2024-11-02T00:00:00"/>
    <s v="CUST1362"/>
    <s v="PROD95"/>
    <s v="STORE7"/>
    <n v="3"/>
    <n v="268.76"/>
    <n v="0.01"/>
    <s v="PayPal"/>
    <n v="798.21719999999993"/>
    <n v="501014.97153188474"/>
    <n v="492"/>
    <x v="118"/>
    <n v="0.15445485507815676"/>
    <n v="2.5070371058412695"/>
    <n v="477.78158202761966"/>
    <n v="267.49680000000001"/>
    <x v="3"/>
  </r>
  <r>
    <s v="SALE519"/>
    <d v="2024-07-22T00:00:00"/>
    <s v="CUST1233"/>
    <s v="PROD88"/>
    <s v="STORE0"/>
    <n v="4"/>
    <n v="370.09"/>
    <n v="0.22"/>
    <s v="COD"/>
    <n v="1154.6808000000001"/>
    <n v="501014.97153188474"/>
    <n v="492"/>
    <x v="123"/>
    <n v="0.15455252570363218"/>
    <n v="2.5067037975964017"/>
    <n v="477.92290831702314"/>
    <n v="382.24770000000001"/>
    <x v="0"/>
  </r>
  <r>
    <s v="SALE520"/>
    <d v="2023-10-30T00:00:00"/>
    <s v="CUST1253"/>
    <s v="PROD78"/>
    <s v="STORE6"/>
    <n v="3"/>
    <n v="679.22"/>
    <n v="0.11"/>
    <s v="PayPal"/>
    <n v="1813.5174"/>
    <n v="501014.97153188474"/>
    <n v="492"/>
    <x v="365"/>
    <n v="0.15450824459788362"/>
    <n v="2.505693448339025"/>
    <n v="477.99586698300214"/>
    <n v="623.96185000000003"/>
    <x v="11"/>
  </r>
  <r>
    <s v="SALE521"/>
    <d v="2024-05-21T00:00:00"/>
    <s v="CUST1373"/>
    <s v="PROD73"/>
    <s v="STORE0"/>
    <n v="3"/>
    <n v="780.69"/>
    <n v="0.1"/>
    <s v="COD"/>
    <n v="2107.8629999999998"/>
    <n v="501014.97153188474"/>
    <n v="492"/>
    <x v="138"/>
    <n v="0.15453837881900612"/>
    <n v="2.5053587790420302"/>
    <n v="477.85962857202253"/>
    <n v="722.91324999999995"/>
    <x v="5"/>
  </r>
  <r>
    <s v="SALE522"/>
    <d v="2025-04-19T00:00:00"/>
    <s v="CUST1261"/>
    <s v="PROD42"/>
    <s v="STORE2"/>
    <n v="2"/>
    <n v="42.97"/>
    <n v="0.18"/>
    <s v="PayPal"/>
    <n v="70.470799999999997"/>
    <n v="501014.97153188474"/>
    <n v="492"/>
    <x v="366"/>
    <n v="0.15457532894015719"/>
    <n v="2.5050236562636035"/>
    <n v="477.65445894368366"/>
    <n v="28.905200000000001"/>
    <x v="10"/>
  </r>
  <r>
    <s v="SALE523"/>
    <d v="2024-12-13T00:00:00"/>
    <s v="CUST1286"/>
    <s v="PROD82"/>
    <s v="STORE0"/>
    <n v="4"/>
    <n v="854.37"/>
    <n v="7.0000000000000007E-2"/>
    <s v="PayPal"/>
    <n v="3178.2564000000002"/>
    <n v="501014.97153188474"/>
    <n v="492"/>
    <x v="236"/>
    <n v="0.15455809187503186"/>
    <n v="2.5053660451831044"/>
    <n v="477.94916027178112"/>
    <n v="1009.1741000000001"/>
    <x v="1"/>
  </r>
  <r>
    <s v="SALE524"/>
    <d v="2025-04-27T00:00:00"/>
    <s v="CUST1100"/>
    <s v="PROD24"/>
    <s v="STORE16"/>
    <n v="2"/>
    <n v="409.52"/>
    <n v="0.06"/>
    <s v="COD"/>
    <n v="769.8975999999999"/>
    <n v="501014.97153188474"/>
    <n v="492"/>
    <x v="367"/>
    <n v="0.15461545828743012"/>
    <n v="2.5043520465706099"/>
    <n v="477.69378656775933"/>
    <n v="295.36939999999998"/>
    <x v="10"/>
  </r>
  <r>
    <s v="SALE525"/>
    <d v="2024-10-04T00:00:00"/>
    <s v="CUST1164"/>
    <s v="PROD74"/>
    <s v="STORE10"/>
    <n v="2"/>
    <n v="407.46"/>
    <n v="0.21"/>
    <s v="Credit Card"/>
    <n v="643.78679999999997"/>
    <n v="501014.97153188474"/>
    <n v="492"/>
    <x v="368"/>
    <n v="0.15467969145666802"/>
    <n v="2.5046944444297887"/>
    <n v="477.74006883969952"/>
    <n v="263.36419999999998"/>
    <x v="11"/>
  </r>
  <r>
    <s v="SALE526"/>
    <d v="2025-07-18T00:00:00"/>
    <s v="CUST1228"/>
    <s v="PROD4"/>
    <s v="STORE8"/>
    <n v="1"/>
    <n v="728.84"/>
    <n v="0.28000000000000003"/>
    <s v="PayPal"/>
    <n v="524.76480000000004"/>
    <n v="500371.18473188474"/>
    <n v="491"/>
    <x v="241"/>
    <n v="0.15464210972532064"/>
    <n v="2.50503730750345"/>
    <n v="477.78781345168295"/>
    <n v="313.72120000000001"/>
    <x v="0"/>
  </r>
  <r>
    <s v="SALE527"/>
    <d v="2024-03-11T00:00:00"/>
    <s v="CUST1453"/>
    <s v="PROD78"/>
    <s v="STORE6"/>
    <n v="4"/>
    <n v="467.24"/>
    <n v="0.08"/>
    <s v="PayPal"/>
    <n v="1719.4431999999999"/>
    <n v="500371.18473188474"/>
    <n v="491"/>
    <x v="369"/>
    <n v="0.15455689022139496"/>
    <n v="2.5060604463936635"/>
    <n v="477.6171457517861"/>
    <n v="547.69079999999997"/>
    <x v="9"/>
  </r>
  <r>
    <s v="SALE528"/>
    <d v="2024-06-14T00:00:00"/>
    <s v="CUST1092"/>
    <s v="PROD10"/>
    <s v="STORE11"/>
    <n v="1"/>
    <n v="57.94"/>
    <n v="0.13"/>
    <s v="PayPal"/>
    <n v="50.407799999999988"/>
    <n v="500371.18473188474"/>
    <n v="491"/>
    <x v="370"/>
    <n v="0.15460760919433469"/>
    <n v="2.5050441609830467"/>
    <n v="477.62420503461044"/>
    <n v="27.369449999999997"/>
    <x v="2"/>
  </r>
  <r>
    <s v="SALE529"/>
    <d v="2024-02-16T00:00:00"/>
    <s v="CUST1344"/>
    <s v="PROD49"/>
    <s v="STORE17"/>
    <n v="1"/>
    <n v="540.1"/>
    <n v="0.22"/>
    <s v="Credit Card"/>
    <n v="421.27800000000002"/>
    <n v="500371.18473188474"/>
    <n v="491"/>
    <x v="214"/>
    <n v="0.1546243604599537"/>
    <n v="2.5060686975119664"/>
    <n v="477.90989884334738"/>
    <n v="240.64950000000002"/>
    <x v="6"/>
  </r>
  <r>
    <s v="SALE530"/>
    <d v="2024-09-17T00:00:00"/>
    <s v="CUST1077"/>
    <s v="PROD8"/>
    <s v="STORE19"/>
    <n v="4"/>
    <n v="816.28"/>
    <n v="0.15"/>
    <s v="COD"/>
    <n v="2775.3519999999999"/>
    <n v="499949.90673188475"/>
    <n v="490"/>
    <x v="25"/>
    <n v="0.15457982664555314"/>
    <n v="2.5070946298672201"/>
    <n v="477.86753501422157"/>
    <n v="898.94549999999992"/>
    <x v="8"/>
  </r>
  <r>
    <s v="SALE531"/>
    <d v="2025-08-26T00:00:00"/>
    <s v="CUST1178"/>
    <s v="PROD42"/>
    <s v="STORE8"/>
    <n v="4"/>
    <n v="727.49"/>
    <n v="0.11"/>
    <s v="Credit Card"/>
    <n v="2589.8643999999999"/>
    <n v="499949.90673188475"/>
    <n v="490"/>
    <x v="371"/>
    <n v="0.15458294854510701"/>
    <n v="2.5060769711282065"/>
    <n v="477.63685167067297"/>
    <n v="830.36609999999996"/>
    <x v="7"/>
  </r>
  <r>
    <s v="SALE532"/>
    <d v="2024-06-04T00:00:00"/>
    <s v="CUST1171"/>
    <s v="PROD86"/>
    <s v="STORE13"/>
    <n v="4"/>
    <n v="817.92"/>
    <n v="0.21"/>
    <s v="Credit Card"/>
    <n v="2584.6271999999999"/>
    <n v="497360.04233188473"/>
    <n v="489"/>
    <x v="21"/>
    <n v="0.15461335983333699"/>
    <n v="2.5050579240416635"/>
    <n v="477.46641978231736"/>
    <n v="851.6893"/>
    <x v="2"/>
  </r>
  <r>
    <s v="SALE533"/>
    <d v="2024-10-13T00:00:00"/>
    <s v="CUST1325"/>
    <s v="PROD38"/>
    <s v="STORE7"/>
    <n v="2"/>
    <n v="358.45"/>
    <n v="7.0000000000000007E-2"/>
    <s v="COD"/>
    <n v="666.71699999999998"/>
    <n v="494775.41513188474"/>
    <n v="488"/>
    <x v="372"/>
    <n v="0.15457555325301844"/>
    <n v="2.5040374857645586"/>
    <n v="477.23402825998454"/>
    <n v="256.80925000000002"/>
    <x v="11"/>
  </r>
  <r>
    <s v="SALE534"/>
    <d v="2025-02-09T00:00:00"/>
    <s v="CUST1201"/>
    <s v="PROD87"/>
    <s v="STORE9"/>
    <n v="1"/>
    <n v="972.06"/>
    <n v="0.3"/>
    <s v="COD"/>
    <n v="680.44199999999989"/>
    <n v="494775.41513188474"/>
    <n v="488"/>
    <x v="373"/>
    <n v="0.15463332343966665"/>
    <n v="2.5043817736646714"/>
    <n v="477.31516489130962"/>
    <n v="413.45049999999992"/>
    <x v="6"/>
  </r>
  <r>
    <s v="SALE535"/>
    <d v="2023-12-21T00:00:00"/>
    <s v="CUST1032"/>
    <s v="PROD16"/>
    <s v="STORE0"/>
    <n v="1"/>
    <n v="791.36"/>
    <n v="0.06"/>
    <s v="PayPal"/>
    <n v="743.87839999999994"/>
    <n v="494775.41513188474"/>
    <n v="488"/>
    <x v="374"/>
    <n v="0.1545339613914368"/>
    <n v="2.5054100592242508"/>
    <n v="476.97699343874046"/>
    <n v="384.07459999999998"/>
    <x v="1"/>
  </r>
  <r>
    <s v="SALE536"/>
    <d v="2025-07-17T00:00:00"/>
    <s v="CUST1314"/>
    <s v="PROD64"/>
    <s v="STORE5"/>
    <n v="4"/>
    <n v="839.65"/>
    <n v="0.26"/>
    <s v="COD"/>
    <n v="2485.364"/>
    <n v="494775.41513188474"/>
    <n v="488"/>
    <x v="375"/>
    <n v="0.15459862210374281"/>
    <n v="2.5064397514672221"/>
    <n v="476.76195718254263"/>
    <n v="832.31849999999997"/>
    <x v="0"/>
  </r>
  <r>
    <s v="SALE537"/>
    <d v="2025-05-16T00:00:00"/>
    <s v="CUST1255"/>
    <s v="PROD72"/>
    <s v="STORE2"/>
    <n v="2"/>
    <n v="245.52"/>
    <n v="0.11"/>
    <s v="COD"/>
    <n v="437.0256"/>
    <n v="494775.41513188474"/>
    <n v="488"/>
    <x v="376"/>
    <n v="0.15452647879238329"/>
    <n v="2.5054174651917034"/>
    <n v="476.51357385412547"/>
    <n v="171.16390000000001"/>
    <x v="5"/>
  </r>
  <r>
    <s v="SALE538"/>
    <d v="2025-08-12T00:00:00"/>
    <s v="CUST1388"/>
    <s v="PROD82"/>
    <s v="STORE8"/>
    <n v="3"/>
    <n v="787.91"/>
    <n v="0.06"/>
    <s v="PayPal"/>
    <n v="2221.9061999999999"/>
    <n v="494775.41513188474"/>
    <n v="488"/>
    <x v="377"/>
    <n v="0.15455697638059726"/>
    <n v="2.5057636415377251"/>
    <n v="476.67178863073786"/>
    <n v="753.21904999999992"/>
    <x v="7"/>
  </r>
  <r>
    <s v="SALE539"/>
    <d v="2025-08-21T00:00:00"/>
    <s v="CUST1053"/>
    <s v="PROD75"/>
    <s v="STORE4"/>
    <n v="2"/>
    <n v="709.17"/>
    <n v="0.22"/>
    <s v="Credit Card"/>
    <n v="1106.3052"/>
    <n v="494775.41513188474"/>
    <n v="488"/>
    <x v="271"/>
    <n v="0.15462178582294173"/>
    <n v="2.505424891463385"/>
    <n v="476.45846566201323"/>
    <n v="454.42380000000003"/>
    <x v="7"/>
  </r>
  <r>
    <s v="SALE540"/>
    <d v="2023-11-21T00:00:00"/>
    <s v="CUST1235"/>
    <s v="PROD91"/>
    <s v="STORE7"/>
    <n v="2"/>
    <n v="533.91999999999996"/>
    <n v="0.13"/>
    <s v="Credit Card"/>
    <n v="929.02079999999989"/>
    <n v="493669.10993188474"/>
    <n v="487"/>
    <x v="378"/>
    <n v="0.15457694479812895"/>
    <n v="2.505771547767544"/>
    <n v="476.29885555615732"/>
    <n v="366.26769999999999"/>
    <x v="3"/>
  </r>
  <r>
    <s v="SALE541"/>
    <d v="2025-02-07T00:00:00"/>
    <s v="CUST1492"/>
    <s v="PROD42"/>
    <s v="STORE0"/>
    <n v="1"/>
    <n v="878.84"/>
    <n v="0.28000000000000003"/>
    <s v="COD"/>
    <n v="632.76480000000004"/>
    <n v="492740.08913188474"/>
    <n v="486"/>
    <x v="379"/>
    <n v="0.15459381298261632"/>
    <n v="2.506118679921125"/>
    <n v="476.25930775626443"/>
    <n v="378.22120000000001"/>
    <x v="6"/>
  </r>
  <r>
    <s v="SALE542"/>
    <d v="2023-12-27T00:00:00"/>
    <s v="CUST1204"/>
    <s v="PROD44"/>
    <s v="STORE16"/>
    <n v="1"/>
    <n v="442.36"/>
    <n v="0.14000000000000001"/>
    <s v="Credit Card"/>
    <n v="380.42959999999999"/>
    <n v="492740.08913188474"/>
    <n v="486"/>
    <x v="380"/>
    <n v="0.15450768235966483"/>
    <n v="2.5071531020914004"/>
    <n v="475.98281002807511"/>
    <n v="205.98239999999998"/>
    <x v="1"/>
  </r>
  <r>
    <s v="SALE543"/>
    <d v="2025-02-23T00:00:00"/>
    <s v="CUST1333"/>
    <s v="PROD35"/>
    <s v="STORE6"/>
    <n v="1"/>
    <n v="763.34"/>
    <n v="0.11"/>
    <s v="COD"/>
    <n v="679.37260000000003"/>
    <n v="492359.65953188477"/>
    <n v="485"/>
    <x v="294"/>
    <n v="0.15451765327537592"/>
    <n v="2.5081889461478206"/>
    <n v="476.0059184885755"/>
    <n v="360.95564999999999"/>
    <x v="6"/>
  </r>
  <r>
    <s v="SALE544"/>
    <d v="2025-07-04T00:00:00"/>
    <s v="CUST1166"/>
    <s v="PROD59"/>
    <s v="STORE18"/>
    <n v="3"/>
    <n v="178.22"/>
    <n v="0.15"/>
    <s v="COD"/>
    <n v="454.46100000000001"/>
    <n v="492359.65953188477"/>
    <n v="485"/>
    <x v="253"/>
    <n v="0.15454827064351578"/>
    <n v="2.5092262150241256"/>
    <n v="475.80830220142872"/>
    <n v="158.95775"/>
    <x v="0"/>
  </r>
  <r>
    <s v="SALE545"/>
    <d v="2023-11-25T00:00:00"/>
    <s v="CUST1103"/>
    <s v="PROD26"/>
    <s v="STORE1"/>
    <n v="4"/>
    <n v="90.32"/>
    <n v="0.08"/>
    <s v="PayPal"/>
    <n v="332.37759999999997"/>
    <n v="492359.65953188477"/>
    <n v="485"/>
    <x v="65"/>
    <n v="0.15455140090548658"/>
    <n v="2.5088884491707355"/>
    <n v="476.01311176935815"/>
    <n v="106.69439999999999"/>
    <x v="3"/>
  </r>
  <r>
    <s v="SALE546"/>
    <d v="2025-02-07T00:00:00"/>
    <s v="CUST1378"/>
    <s v="PROD10"/>
    <s v="STORE6"/>
    <n v="3"/>
    <n v="370.93"/>
    <n v="0.15"/>
    <s v="Credit Card"/>
    <n v="1112.79"/>
    <n v="492359.65953188477"/>
    <n v="485"/>
    <x v="379"/>
    <n v="0.15460274484550413"/>
    <n v="2.5078615128409631"/>
    <n v="476.27874063421308"/>
    <n v="371.71749999999997"/>
    <x v="6"/>
  </r>
  <r>
    <s v="SALE547"/>
    <d v="2023-12-21T00:00:00"/>
    <s v="CUST1046"/>
    <s v="PROD23"/>
    <s v="STORE15"/>
    <n v="1"/>
    <n v="352.43"/>
    <n v="0.14000000000000001"/>
    <s v="PayPal"/>
    <n v="303.08980000000003"/>
    <n v="491246.86953188479"/>
    <n v="484"/>
    <x v="374"/>
    <n v="0.15460591696462575"/>
    <n v="2.5075223408994338"/>
    <n v="476.35134486621462"/>
    <n v="164.16495"/>
    <x v="1"/>
  </r>
  <r>
    <s v="SALE548"/>
    <d v="2024-01-04T00:00:00"/>
    <s v="CUST1123"/>
    <s v="PROD12"/>
    <s v="STORE15"/>
    <n v="2"/>
    <n v="562.97"/>
    <n v="0.2"/>
    <s v="Credit Card"/>
    <n v="900.75200000000007"/>
    <n v="491246.86953188479"/>
    <n v="484"/>
    <x v="381"/>
    <n v="0.15461599001080825"/>
    <n v="2.5085620114793645"/>
    <n v="476.43680786267407"/>
    <n v="366.48050000000001"/>
    <x v="4"/>
  </r>
  <r>
    <s v="SALE549"/>
    <d v="2023-11-30T00:00:00"/>
    <s v="CUST1157"/>
    <s v="PROD55"/>
    <s v="STORE7"/>
    <n v="1"/>
    <n v="522.85"/>
    <n v="0.12"/>
    <s v="PayPal"/>
    <n v="460.108"/>
    <n v="490346.11753188475"/>
    <n v="483"/>
    <x v="382"/>
    <n v="0.15458466909294133"/>
    <n v="2.5089129859524348"/>
    <n v="476.37708861344197"/>
    <n v="246.01949999999999"/>
    <x v="3"/>
  </r>
  <r>
    <s v="SALE550"/>
    <d v="2025-07-13T00:00:00"/>
    <s v="CUST1349"/>
    <s v="PROD21"/>
    <s v="STORE16"/>
    <n v="4"/>
    <n v="714.89"/>
    <n v="0.15"/>
    <s v="Credit Card"/>
    <n v="2430.6260000000002"/>
    <n v="490346.11753188475"/>
    <n v="483"/>
    <x v="103"/>
    <n v="0.15460855353292263"/>
    <n v="2.5099550529316841"/>
    <n v="476.34499406137945"/>
    <n v="787.41650000000004"/>
    <x v="0"/>
  </r>
  <r>
    <s v="SALE551"/>
    <d v="2023-10-23T00:00:00"/>
    <s v="CUST1187"/>
    <s v="PROD43"/>
    <s v="STORE2"/>
    <n v="3"/>
    <n v="137.77000000000001"/>
    <n v="0.26"/>
    <s v="PayPal"/>
    <n v="305.84940000000012"/>
    <n v="487915.49153188471"/>
    <n v="482"/>
    <x v="383"/>
    <n v="0.15461173843515685"/>
    <n v="2.5089253052142904"/>
    <n v="476.18013918512605"/>
    <n v="111.71985000000004"/>
    <x v="11"/>
  </r>
  <r>
    <s v="SALE552"/>
    <d v="2025-10-10T00:00:00"/>
    <s v="CUST1027"/>
    <s v="PROD92"/>
    <s v="STORE11"/>
    <n v="3"/>
    <n v="862.18"/>
    <n v="0.22"/>
    <s v="PayPal"/>
    <n v="2017.5011999999999"/>
    <n v="487915.49153188471"/>
    <n v="482"/>
    <x v="280"/>
    <n v="0.15453885581996679"/>
    <n v="2.5085856961584221"/>
    <n v="476.41417109327631"/>
    <n v="720.72529999999995"/>
    <x v="11"/>
  </r>
  <r>
    <s v="SALE553"/>
    <d v="2025-06-14T00:00:00"/>
    <s v="CUST1057"/>
    <s v="PROD38"/>
    <s v="STORE14"/>
    <n v="2"/>
    <n v="833.64"/>
    <n v="0.24"/>
    <s v="PayPal"/>
    <n v="1267.1328000000001"/>
    <n v="487915.49153188471"/>
    <n v="482"/>
    <x v="384"/>
    <n v="0.15449355399008441"/>
    <n v="2.5082456170554175"/>
    <n v="476.14720512171448"/>
    <n v="525.75319999999999"/>
    <x v="2"/>
  </r>
  <r>
    <s v="SALE554"/>
    <d v="2025-04-05T00:00:00"/>
    <s v="CUST1270"/>
    <s v="PROD19"/>
    <s v="STORE15"/>
    <n v="3"/>
    <n v="543.22"/>
    <n v="0.05"/>
    <s v="COD"/>
    <n v="1548.1769999999999"/>
    <n v="487915.49153188471"/>
    <n v="482"/>
    <x v="385"/>
    <n v="0.15443433899977282"/>
    <n v="2.5085975877043483"/>
    <n v="475.89963393412575"/>
    <n v="523.61175000000003"/>
    <x v="10"/>
  </r>
  <r>
    <s v="SALE555"/>
    <d v="2025-01-20T00:00:00"/>
    <s v="CUST1278"/>
    <s v="PROD88"/>
    <s v="STORE2"/>
    <n v="3"/>
    <n v="691.02"/>
    <n v="0.12"/>
    <s v="COD"/>
    <n v="1824.2927999999999"/>
    <n v="487915.49153188471"/>
    <n v="482"/>
    <x v="43"/>
    <n v="0.15450671206907274"/>
    <n v="2.5082570454920847"/>
    <n v="475.85298087378897"/>
    <n v="629.60820000000001"/>
    <x v="4"/>
  </r>
  <r>
    <s v="SALE556"/>
    <d v="2023-11-23T00:00:00"/>
    <s v="CUST1087"/>
    <s v="PROD86"/>
    <s v="STORE17"/>
    <n v="4"/>
    <n v="338.73"/>
    <n v="0.18"/>
    <s v="Credit Card"/>
    <n v="1111.0344"/>
    <n v="487915.49153188471"/>
    <n v="482"/>
    <x v="205"/>
    <n v="0.15453064182778917"/>
    <n v="2.507916030960526"/>
    <n v="475.70376657481108"/>
    <n v="363.48610000000002"/>
    <x v="3"/>
  </r>
  <r>
    <s v="SALE557"/>
    <d v="2024-04-07T00:00:00"/>
    <s v="CUST1062"/>
    <s v="PROD84"/>
    <s v="STORE16"/>
    <n v="3"/>
    <n v="366.08"/>
    <n v="0.05"/>
    <s v="Credit Card"/>
    <n v="1043.328"/>
    <n v="486804.4571318847"/>
    <n v="481"/>
    <x v="257"/>
    <n v="0.15451296704765574"/>
    <n v="2.506880580600332"/>
    <n v="475.79882123586225"/>
    <n v="353.11450000000002"/>
    <x v="10"/>
  </r>
  <r>
    <s v="SALE558"/>
    <d v="2025-07-02T00:00:00"/>
    <s v="CUST1105"/>
    <s v="PROD13"/>
    <s v="STORE13"/>
    <n v="4"/>
    <n v="539.48"/>
    <n v="0.28000000000000003"/>
    <s v="COD"/>
    <n v="1553.7023999999999"/>
    <n v="485761.12913188472"/>
    <n v="480"/>
    <x v="263"/>
    <n v="0.15458554549699441"/>
    <n v="2.5065381365590818"/>
    <n v="475.8750148617205"/>
    <n v="524.36559999999997"/>
    <x v="0"/>
  </r>
  <r>
    <s v="SALE559"/>
    <d v="2023-11-26T00:00:00"/>
    <s v="CUST1389"/>
    <s v="PROD91"/>
    <s v="STORE16"/>
    <n v="1"/>
    <n v="499.59"/>
    <n v="0.03"/>
    <s v="COD"/>
    <n v="484.60230000000001"/>
    <n v="485761.12913188472"/>
    <n v="480"/>
    <x v="386"/>
    <n v="0.15449839160227377"/>
    <n v="2.5055002895379279"/>
    <n v="475.83081403813588"/>
    <n v="246.30557499999998"/>
    <x v="3"/>
  </r>
  <r>
    <s v="SALE560"/>
    <d v="2024-02-04T00:00:00"/>
    <s v="CUST1188"/>
    <s v="PROD30"/>
    <s v="STORE8"/>
    <n v="3"/>
    <n v="330.04"/>
    <n v="0.2"/>
    <s v="Credit Card"/>
    <n v="792.09600000000012"/>
    <n v="485761.12913188472"/>
    <n v="480"/>
    <x v="387"/>
    <n v="0.15458496906514044"/>
    <n v="2.5065472299339904"/>
    <n v="475.81429165568676"/>
    <n v="281.33400000000006"/>
    <x v="6"/>
  </r>
  <r>
    <s v="SALE561"/>
    <d v="2024-06-16T00:00:00"/>
    <s v="CUST1182"/>
    <s v="PROD11"/>
    <s v="STORE17"/>
    <n v="2"/>
    <n v="813.01"/>
    <n v="0.06"/>
    <s v="PayPal"/>
    <n v="1528.4588000000001"/>
    <n v="484969.0331318847"/>
    <n v="479"/>
    <x v="170"/>
    <n v="0.15455336500742656"/>
    <n v="2.5062038390014458"/>
    <n v="475.91573514326899"/>
    <n v="585.88220000000001"/>
    <x v="2"/>
  </r>
  <r>
    <s v="SALE562"/>
    <d v="2025-02-27T00:00:00"/>
    <s v="CUST1026"/>
    <s v="PROD1"/>
    <s v="STORE2"/>
    <n v="4"/>
    <n v="204.8"/>
    <n v="0.03"/>
    <s v="PayPal"/>
    <n v="794.62400000000002"/>
    <n v="484969.0331318847"/>
    <n v="479"/>
    <x v="388"/>
    <n v="0.15461920996913089"/>
    <n v="2.5065563486386337"/>
    <n v="475.68098983348017"/>
    <n v="250.86350000000002"/>
    <x v="6"/>
  </r>
  <r>
    <s v="SALE563"/>
    <d v="2023-10-24T00:00:00"/>
    <s v="CUST1011"/>
    <s v="PROD3"/>
    <s v="STORE3"/>
    <n v="3"/>
    <n v="728.32"/>
    <n v="0.01"/>
    <s v="Credit Card"/>
    <n v="2163.1104"/>
    <n v="484969.0331318847"/>
    <n v="479"/>
    <x v="389"/>
    <n v="0.15470605262416165"/>
    <n v="2.505515621355455"/>
    <n v="475.8697570737823"/>
    <n v="723.61009999999999"/>
    <x v="11"/>
  </r>
  <r>
    <s v="SALE564"/>
    <d v="2024-08-03T00:00:00"/>
    <s v="CUST1452"/>
    <s v="PROD59"/>
    <s v="STORE7"/>
    <n v="3"/>
    <n v="836.4"/>
    <n v="0.15"/>
    <s v="Credit Card"/>
    <n v="2509.1999999999998"/>
    <n v="482805.92273188476"/>
    <n v="478"/>
    <x v="390"/>
    <n v="0.15480696340005018"/>
    <n v="2.5051707926395244"/>
    <n v="475.693710879273"/>
    <n v="837.1875"/>
    <x v="7"/>
  </r>
  <r>
    <s v="SALE565"/>
    <d v="2025-07-05T00:00:00"/>
    <s v="CUST1149"/>
    <s v="PROD90"/>
    <s v="STORE12"/>
    <n v="1"/>
    <n v="780.16"/>
    <n v="0.02"/>
    <s v="COD"/>
    <n v="764.55679999999995"/>
    <n v="480296.72273188474"/>
    <n v="477"/>
    <x v="20"/>
    <n v="0.15481031787555616"/>
    <n v="2.5048254826553227"/>
    <n v="475.44199679056356"/>
    <n v="386.43419999999998"/>
    <x v="0"/>
  </r>
  <r>
    <s v="SALE566"/>
    <d v="2025-05-27T00:00:00"/>
    <s v="CUST1470"/>
    <s v="PROD46"/>
    <s v="STORE13"/>
    <n v="4"/>
    <n v="354.12"/>
    <n v="0.06"/>
    <s v="PayPal"/>
    <n v="1331.4911999999999"/>
    <n v="480296.72273188474"/>
    <n v="477"/>
    <x v="391"/>
    <n v="0.15490445915898882"/>
    <n v="2.5058763384393004"/>
    <n v="475.22920488888099"/>
    <n v="422.4178"/>
    <x v="5"/>
  </r>
  <r>
    <s v="SALE567"/>
    <d v="2024-11-06T00:00:00"/>
    <s v="CUST1452"/>
    <s v="PROD63"/>
    <s v="STORE2"/>
    <n v="4"/>
    <n v="282.48"/>
    <n v="0.11"/>
    <s v="PayPal"/>
    <n v="1005.6288"/>
    <n v="480296.72273188474"/>
    <n v="477"/>
    <x v="392"/>
    <n v="0.15497077953575961"/>
    <n v="2.5048322268658825"/>
    <n v="475.31383745693751"/>
    <n v="323.05470000000003"/>
    <x v="3"/>
  </r>
  <r>
    <s v="SALE568"/>
    <d v="2024-06-03T00:00:00"/>
    <s v="CUST1328"/>
    <s v="PROD20"/>
    <s v="STORE6"/>
    <n v="2"/>
    <n v="740.68"/>
    <n v="0.02"/>
    <s v="PayPal"/>
    <n v="1451.7328"/>
    <n v="480296.72273188474"/>
    <n v="477"/>
    <x v="2"/>
    <n v="0.15500222763333701"/>
    <n v="2.5037866549965577"/>
    <n v="475.44868629432"/>
    <n v="548.60820000000001"/>
    <x v="2"/>
  </r>
  <r>
    <s v="SALE569"/>
    <d v="2024-04-02T00:00:00"/>
    <s v="CUST1105"/>
    <s v="PROD56"/>
    <s v="STORE9"/>
    <n v="3"/>
    <n v="600.58000000000004"/>
    <n v="0.28999999999999998"/>
    <s v="COD"/>
    <n v="1279.2354"/>
    <n v="480296.72273188474"/>
    <n v="477"/>
    <x v="393"/>
    <n v="0.15509670085071514"/>
    <n v="2.5041391998915872"/>
    <n v="475.26308005659729"/>
    <n v="470.77634999999998"/>
    <x v="10"/>
  </r>
  <r>
    <s v="SALE570"/>
    <d v="2024-02-26T00:00:00"/>
    <s v="CUST1461"/>
    <s v="PROD65"/>
    <s v="STORE3"/>
    <n v="3"/>
    <n v="345.58"/>
    <n v="0.22"/>
    <s v="Credit Card"/>
    <n v="808.65719999999999"/>
    <n v="480296.72273188474"/>
    <n v="477"/>
    <x v="196"/>
    <n v="0.15500223075327166"/>
    <n v="2.5037919584349284"/>
    <n v="475.17532310985825"/>
    <n v="289.36430000000001"/>
    <x v="6"/>
  </r>
  <r>
    <s v="SALE571"/>
    <d v="2025-01-31T00:00:00"/>
    <s v="CUST1284"/>
    <s v="PROD18"/>
    <s v="STORE11"/>
    <n v="1"/>
    <n v="974.52"/>
    <n v="0.01"/>
    <s v="PayPal"/>
    <n v="964.77480000000003"/>
    <n v="479488.06553188467"/>
    <n v="476"/>
    <x v="298"/>
    <n v="0.15495668221140291"/>
    <n v="2.5034442303048898"/>
    <n v="475.266139734322"/>
    <n v="485.07619999999997"/>
    <x v="4"/>
  </r>
  <r>
    <s v="SALE572"/>
    <d v="2023-11-19T00:00:00"/>
    <s v="CUST1040"/>
    <s v="PROD17"/>
    <s v="STORE1"/>
    <n v="3"/>
    <n v="282.33"/>
    <n v="7.0000000000000007E-2"/>
    <s v="Credit Card"/>
    <n v="787.70069999999998"/>
    <n v="479488.06553188467"/>
    <n v="476"/>
    <x v="394"/>
    <n v="0.15505833486372506"/>
    <n v="2.5044985390217938"/>
    <n v="474.91603183792262"/>
    <n v="268.27517499999999"/>
    <x v="3"/>
  </r>
  <r>
    <s v="SALE573"/>
    <d v="2025-03-10T00:00:00"/>
    <s v="CUST1382"/>
    <s v="PROD76"/>
    <s v="STORE19"/>
    <n v="4"/>
    <n v="158.46"/>
    <n v="0.09"/>
    <s v="PayPal"/>
    <n v="576.7944"/>
    <n v="478700.36483188468"/>
    <n v="475"/>
    <x v="349"/>
    <n v="0.15511802492327856"/>
    <n v="2.5041508186983004"/>
    <n v="475.05117993044036"/>
    <n v="184.83609999999999"/>
    <x v="9"/>
  </r>
  <r>
    <s v="SALE574"/>
    <d v="2023-12-23T00:00:00"/>
    <s v="CUST1343"/>
    <s v="PROD55"/>
    <s v="STORE7"/>
    <n v="2"/>
    <n v="778.56"/>
    <n v="0.11"/>
    <s v="COD"/>
    <n v="1385.8368"/>
    <n v="478700.36483188468"/>
    <n v="475"/>
    <x v="395"/>
    <n v="0.15516375387336512"/>
    <n v="2.5031003628125545"/>
    <n v="475.27350519724547"/>
    <n v="541.62670000000003"/>
    <x v="1"/>
  </r>
  <r>
    <s v="SALE575"/>
    <d v="2024-03-02T00:00:00"/>
    <s v="CUST1237"/>
    <s v="PROD50"/>
    <s v="STORE19"/>
    <n v="4"/>
    <n v="280.16000000000003"/>
    <n v="0.18"/>
    <s v="COD"/>
    <n v="918.92480000000012"/>
    <n v="478700.36483188468"/>
    <n v="475"/>
    <x v="396"/>
    <n v="0.15519549228086574"/>
    <n v="2.5034539119079962"/>
    <n v="475.06037343701871"/>
    <n v="300.81620000000004"/>
    <x v="9"/>
  </r>
  <r>
    <s v="SALE576"/>
    <d v="2024-10-27T00:00:00"/>
    <s v="CUST1287"/>
    <s v="PROD71"/>
    <s v="STORE13"/>
    <n v="2"/>
    <n v="649.54999999999995"/>
    <n v="0.28999999999999998"/>
    <s v="PayPal"/>
    <n v="922.36099999999988"/>
    <n v="478700.36483188468"/>
    <n v="475"/>
    <x v="397"/>
    <n v="0.15517804888584524"/>
    <n v="2.5024014884986485"/>
    <n v="475.19743417783235"/>
    <n v="393.55024999999995"/>
    <x v="11"/>
  </r>
  <r>
    <s v="SALE577"/>
    <d v="2024-03-09T00:00:00"/>
    <s v="CUST1007"/>
    <s v="PROD88"/>
    <s v="STORE2"/>
    <n v="2"/>
    <n v="994.32"/>
    <n v="0.27"/>
    <s v="PayPal"/>
    <n v="1451.7072000000001"/>
    <n v="478700.36483188468"/>
    <n v="475"/>
    <x v="398"/>
    <n v="0.15508317066549748"/>
    <n v="2.5027550433814767"/>
    <n v="475.07473708717635"/>
    <n v="612.07429999999999"/>
    <x v="9"/>
  </r>
  <r>
    <s v="SALE578"/>
    <d v="2024-12-23T00:00:00"/>
    <s v="CUST1223"/>
    <s v="PROD81"/>
    <s v="STORE12"/>
    <n v="1"/>
    <n v="64.94"/>
    <n v="0.21"/>
    <s v="PayPal"/>
    <n v="51.302599999999998"/>
    <n v="478700.36483188468"/>
    <n v="475"/>
    <x v="42"/>
    <n v="0.15500224332089574"/>
    <n v="2.5031090962289286"/>
    <n v="474.70907140906871"/>
    <n v="29.363149999999997"/>
    <x v="1"/>
  </r>
  <r>
    <s v="SALE579"/>
    <d v="2025-02-21T00:00:00"/>
    <s v="CUST1136"/>
    <s v="PROD39"/>
    <s v="STORE7"/>
    <n v="2"/>
    <n v="507.66"/>
    <n v="0.15"/>
    <s v="COD"/>
    <n v="1015.32"/>
    <n v="478700.36483188468"/>
    <n v="475"/>
    <x v="326"/>
    <n v="0.15496348521189002"/>
    <n v="2.5041683697287374"/>
    <n v="474.99784453902578"/>
    <n v="381.28250000000003"/>
    <x v="6"/>
  </r>
  <r>
    <s v="SALE580"/>
    <d v="2023-12-13T00:00:00"/>
    <s v="CUST1242"/>
    <s v="PROD81"/>
    <s v="STORE4"/>
    <n v="4"/>
    <n v="968.27"/>
    <n v="0.03"/>
    <s v="PayPal"/>
    <n v="3756.8876"/>
    <n v="478700.36483188468"/>
    <n v="475"/>
    <x v="399"/>
    <n v="0.15496698555407049"/>
    <n v="2.5045239186495616"/>
    <n v="474.9748105788982"/>
    <n v="1182.2969000000001"/>
    <x v="1"/>
  </r>
  <r>
    <s v="SALE581"/>
    <d v="2023-11-20T00:00:00"/>
    <s v="CUST1017"/>
    <s v="PROD88"/>
    <s v="STORE5"/>
    <n v="4"/>
    <n v="510.33"/>
    <n v="0.2"/>
    <s v="PayPal"/>
    <n v="1633.056"/>
    <n v="478700.36483188468"/>
    <n v="475"/>
    <x v="400"/>
    <n v="0.1550551767929936"/>
    <n v="2.5034685367996321"/>
    <n v="474.62668412200253"/>
    <n v="536.89650000000006"/>
    <x v="3"/>
  </r>
  <r>
    <s v="SALE582"/>
    <d v="2024-09-04T00:00:00"/>
    <s v="CUST1011"/>
    <s v="PROD44"/>
    <s v="STORE19"/>
    <n v="2"/>
    <n v="156.72999999999999"/>
    <n v="0.18"/>
    <s v="COD"/>
    <n v="257.03719999999998"/>
    <n v="478700.36483188468"/>
    <n v="475"/>
    <x v="401"/>
    <n v="0.15502343609863839"/>
    <n v="2.5024116642973717"/>
    <n v="474.60146991587396"/>
    <n v="103.98679999999999"/>
    <x v="8"/>
  </r>
  <r>
    <s v="SALE583"/>
    <d v="2025-06-02T00:00:00"/>
    <s v="CUST1142"/>
    <s v="PROD99"/>
    <s v="STORE10"/>
    <n v="3"/>
    <n v="53.83"/>
    <n v="0.24"/>
    <s v="Credit Card"/>
    <n v="122.7324"/>
    <n v="478700.36483188468"/>
    <n v="475"/>
    <x v="402"/>
    <n v="0.15500578481672928"/>
    <n v="2.502766725544225"/>
    <n v="474.82611406422444"/>
    <n v="44.950600000000001"/>
    <x v="2"/>
  </r>
  <r>
    <s v="SALE584"/>
    <d v="2024-02-28T00:00:00"/>
    <s v="CUST1377"/>
    <s v="PROD78"/>
    <s v="STORE4"/>
    <n v="1"/>
    <n v="34.71"/>
    <n v="0.1"/>
    <s v="COD"/>
    <n v="31.239000000000001"/>
    <n v="478577.6324318847"/>
    <n v="474"/>
    <x v="87"/>
    <n v="0.15494567575365767"/>
    <n v="2.5024150754208474"/>
    <n v="475.12384823258668"/>
    <n v="16.762250000000002"/>
    <x v="6"/>
  </r>
  <r>
    <s v="SALE585"/>
    <d v="2024-12-07T00:00:00"/>
    <s v="CUST1229"/>
    <s v="PROD77"/>
    <s v="STORE1"/>
    <n v="2"/>
    <n v="829.15"/>
    <n v="0.11"/>
    <s v="PayPal"/>
    <n v="1475.8869999999999"/>
    <n v="478577.6324318847"/>
    <n v="474"/>
    <x v="56"/>
    <n v="0.15498456158221655"/>
    <n v="2.5034783557290008"/>
    <n v="475.43553531555386"/>
    <n v="576.78674999999998"/>
    <x v="1"/>
  </r>
  <r>
    <s v="SALE586"/>
    <d v="2025-05-21T00:00:00"/>
    <s v="CUST1264"/>
    <s v="PROD98"/>
    <s v="STORE3"/>
    <n v="2"/>
    <n v="481.86"/>
    <n v="0.1"/>
    <s v="COD"/>
    <n v="867.34800000000007"/>
    <n v="478577.6324318847"/>
    <n v="474"/>
    <x v="104"/>
    <n v="0.15501642033687818"/>
    <n v="2.5038349268024636"/>
    <n v="475.18502932073483"/>
    <n v="337.827"/>
    <x v="5"/>
  </r>
  <r>
    <s v="SALE587"/>
    <d v="2024-03-03T00:00:00"/>
    <s v="CUST1147"/>
    <s v="PROD52"/>
    <s v="STORE7"/>
    <n v="4"/>
    <n v="915.17"/>
    <n v="0.19"/>
    <s v="COD"/>
    <n v="2965.1507999999999"/>
    <n v="478577.6324318847"/>
    <n v="474"/>
    <x v="166"/>
    <n v="0.15505541142145426"/>
    <n v="2.5041920032920468"/>
    <n v="475.18029865405924"/>
    <n v="971.1277"/>
    <x v="9"/>
  </r>
  <r>
    <s v="SALE588"/>
    <d v="2024-03-06T00:00:00"/>
    <s v="CUST1214"/>
    <s v="PROD71"/>
    <s v="STORE18"/>
    <n v="1"/>
    <n v="250.95"/>
    <n v="0.03"/>
    <s v="PayPal"/>
    <n v="243.42150000000001"/>
    <n v="478577.6324318847"/>
    <n v="474"/>
    <x v="403"/>
    <n v="0.15503062802529927"/>
    <n v="2.5031311465567931"/>
    <n v="474.86824922048049"/>
    <n v="123.850375"/>
    <x v="9"/>
  </r>
  <r>
    <s v="SALE589"/>
    <d v="2023-11-27T00:00:00"/>
    <s v="CUST1325"/>
    <s v="PROD96"/>
    <s v="STORE5"/>
    <n v="3"/>
    <n v="882.84"/>
    <n v="0.1"/>
    <s v="Credit Card"/>
    <n v="2383.6680000000001"/>
    <n v="478577.6324318847"/>
    <n v="474"/>
    <x v="57"/>
    <n v="0.15511936516371327"/>
    <n v="2.5041979536160954"/>
    <n v="475.02716919863559"/>
    <n v="817.40200000000004"/>
    <x v="3"/>
  </r>
  <r>
    <s v="SALE590"/>
    <d v="2025-02-14T00:00:00"/>
    <s v="CUST1138"/>
    <s v="PROD19"/>
    <s v="STORE18"/>
    <n v="4"/>
    <n v="573.37"/>
    <n v="0.04"/>
    <s v="COD"/>
    <n v="2201.7408"/>
    <n v="476193.9644318847"/>
    <n v="473"/>
    <x v="404"/>
    <n v="0.15515851244010792"/>
    <n v="2.5038458214808794"/>
    <n v="474.73752940403233"/>
    <n v="694.78769999999997"/>
    <x v="6"/>
  </r>
  <r>
    <s v="SALE591"/>
    <d v="2024-01-27T00:00:00"/>
    <s v="CUST1058"/>
    <s v="PROD32"/>
    <s v="STORE12"/>
    <n v="3"/>
    <n v="622.72"/>
    <n v="0.04"/>
    <s v="Credit Card"/>
    <n v="1793.4336000000001"/>
    <n v="476193.9644318847"/>
    <n v="473"/>
    <x v="405"/>
    <n v="0.15524035928619187"/>
    <n v="2.5027824567484562"/>
    <n v="474.66742814561303"/>
    <n v="604.79840000000002"/>
    <x v="4"/>
  </r>
  <r>
    <s v="SALE592"/>
    <d v="2025-10-13T00:00:00"/>
    <s v="CUST1388"/>
    <s v="PROD92"/>
    <s v="STORE17"/>
    <n v="3"/>
    <n v="259.74"/>
    <n v="0.24"/>
    <s v="Credit Card"/>
    <n v="592.20720000000006"/>
    <n v="474400.53083188465"/>
    <n v="472"/>
    <x v="186"/>
    <n v="0.15532232255737694"/>
    <n v="2.5024288169595148"/>
    <n v="474.56212759664123"/>
    <n v="213.79680000000002"/>
    <x v="11"/>
  </r>
  <r>
    <s v="SALE593"/>
    <d v="2025-04-22T00:00:00"/>
    <s v="CUST1054"/>
    <s v="PROD28"/>
    <s v="STORE13"/>
    <n v="4"/>
    <n v="951.09"/>
    <n v="0.14000000000000001"/>
    <s v="COD"/>
    <n v="3271.7496000000001"/>
    <n v="473808.32363188465"/>
    <n v="471"/>
    <x v="406"/>
    <n v="0.15526205374780921"/>
    <n v="2.5020746737687389"/>
    <n v="474.71502590809786"/>
    <n v="1056.7449000000001"/>
    <x v="10"/>
  </r>
  <r>
    <s v="SALE594"/>
    <d v="2025-04-18T00:00:00"/>
    <s v="CUST1199"/>
    <s v="PROD99"/>
    <s v="STORE2"/>
    <n v="1"/>
    <n v="71.709999999999994"/>
    <n v="0.23"/>
    <s v="COD"/>
    <n v="55.216700000000003"/>
    <n v="473808.32363188465"/>
    <n v="471"/>
    <x v="407"/>
    <n v="0.15527292415646152"/>
    <n v="2.5010077753882323"/>
    <n v="474.3757274935025"/>
    <n v="32.039175"/>
    <x v="10"/>
  </r>
  <r>
    <s v="SALE595"/>
    <d v="2025-08-22T00:00:00"/>
    <s v="CUST1173"/>
    <s v="PROD20"/>
    <s v="STORE7"/>
    <n v="4"/>
    <n v="894.93"/>
    <n v="0.05"/>
    <s v="COD"/>
    <n v="3400.733999999999"/>
    <n v="473808.32363188465"/>
    <n v="471"/>
    <x v="99"/>
    <n v="0.15521966180732144"/>
    <n v="2.5020776312509465"/>
    <n v="474.66273086306313"/>
    <n v="1074.9284999999998"/>
    <x v="7"/>
  </r>
  <r>
    <s v="SALE596"/>
    <d v="2025-07-04T00:00:00"/>
    <s v="CUST1202"/>
    <s v="PROD78"/>
    <s v="STORE8"/>
    <n v="4"/>
    <n v="870.18"/>
    <n v="0.13"/>
    <s v="COD"/>
    <n v="3028.2264"/>
    <n v="473808.32363188465"/>
    <n v="471"/>
    <x v="253"/>
    <n v="0.15529471149477314"/>
    <n v="2.5010092130136075"/>
    <n v="474.36296818892833"/>
    <n v="975.63409999999999"/>
    <x v="0"/>
  </r>
  <r>
    <s v="SALE597"/>
    <d v="2024-03-31T00:00:00"/>
    <s v="CUST1278"/>
    <s v="PROD64"/>
    <s v="STORE2"/>
    <n v="2"/>
    <n v="552.72"/>
    <n v="0.06"/>
    <s v="PayPal"/>
    <n v="1039.1135999999999"/>
    <n v="473808.32363188465"/>
    <n v="471"/>
    <x v="408"/>
    <n v="0.1553127662495874"/>
    <n v="2.4999392695539453"/>
    <n v="474.08044354095472"/>
    <n v="398.47339999999997"/>
    <x v="9"/>
  </r>
  <r>
    <s v="SALE598"/>
    <d v="2023-11-06T00:00:00"/>
    <s v="CUST1246"/>
    <s v="PROD39"/>
    <s v="STORE8"/>
    <n v="3"/>
    <n v="700.43"/>
    <n v="0.01"/>
    <s v="COD"/>
    <n v="2080.2770999999998"/>
    <n v="473808.32363188465"/>
    <n v="471"/>
    <x v="409"/>
    <n v="0.15538084679690856"/>
    <n v="2.5002963690321982"/>
    <n v="474.02427242919828"/>
    <n v="695.92927499999996"/>
    <x v="3"/>
  </r>
  <r>
    <s v="SALE599"/>
    <d v="2025-05-29T00:00:00"/>
    <s v="CUST1339"/>
    <s v="PROD9"/>
    <s v="STORE2"/>
    <n v="2"/>
    <n v="823.03"/>
    <n v="0.18"/>
    <s v="PayPal"/>
    <n v="1349.7692"/>
    <n v="473808.32363188465"/>
    <n v="471"/>
    <x v="330"/>
    <n v="0.15548476448582699"/>
    <n v="2.4999391827341513"/>
    <n v="473.86243845666729"/>
    <n v="543.74479999999994"/>
    <x v="5"/>
  </r>
  <r>
    <s v="SALE600"/>
    <d v="2024-04-19T00:00:00"/>
    <s v="CUST1255"/>
    <s v="PROD92"/>
    <s v="STORE6"/>
    <n v="1"/>
    <n v="117.37"/>
    <n v="0.21"/>
    <s v="Credit Card"/>
    <n v="92.722300000000004"/>
    <n v="473808.32363188465"/>
    <n v="471"/>
    <x v="410"/>
    <n v="0.15546722855198283"/>
    <n v="2.5002967930222302"/>
    <n v="473.61267625241595"/>
    <n v="52.825575000000001"/>
    <x v="10"/>
  </r>
  <r>
    <s v="SALE601"/>
    <d v="2025-02-28T00:00:00"/>
    <s v="CUST1104"/>
    <s v="PROD56"/>
    <s v="STORE1"/>
    <n v="4"/>
    <n v="165.37"/>
    <n v="0.28999999999999998"/>
    <s v="Credit Card"/>
    <n v="469.6508"/>
    <n v="473715.60133188462"/>
    <n v="470"/>
    <x v="59"/>
    <n v="0.15542819292460411"/>
    <n v="2.5013707348926824"/>
    <n v="473.867681747228"/>
    <n v="159.82769999999999"/>
    <x v="6"/>
  </r>
  <r>
    <s v="SALE602"/>
    <d v="2025-03-02T00:00:00"/>
    <s v="CUST1378"/>
    <s v="PROD6"/>
    <s v="STORE10"/>
    <n v="3"/>
    <n v="483.06"/>
    <n v="0.05"/>
    <s v="Credit Card"/>
    <n v="1376.721"/>
    <n v="473245.95053188462"/>
    <n v="469"/>
    <x v="132"/>
    <n v="0.15533179478199996"/>
    <n v="2.500297218227133"/>
    <n v="474.08866862527043"/>
    <n v="465.70775000000003"/>
    <x v="9"/>
  </r>
  <r>
    <s v="SALE603"/>
    <d v="2024-03-28T00:00:00"/>
    <s v="CUST1293"/>
    <s v="PROD81"/>
    <s v="STORE7"/>
    <n v="4"/>
    <n v="262.05"/>
    <n v="0.24"/>
    <s v="PayPal"/>
    <n v="796.63200000000006"/>
    <n v="471869.22953188466"/>
    <n v="468"/>
    <x v="411"/>
    <n v="0.15540730144492615"/>
    <n v="2.499939008347726"/>
    <n v="474.08223756335309"/>
    <n v="265.73050000000001"/>
    <x v="9"/>
  </r>
  <r>
    <s v="SALE604"/>
    <d v="2024-12-09T00:00:00"/>
    <s v="CUST1463"/>
    <s v="PROD14"/>
    <s v="STORE14"/>
    <n v="3"/>
    <n v="970.89"/>
    <n v="0.11"/>
    <s v="COD"/>
    <n v="2592.2763"/>
    <n v="471869.22953188466"/>
    <n v="468"/>
    <x v="36"/>
    <n v="0.15534661801698132"/>
    <n v="2.4988629244225806"/>
    <n v="474.23434103362808"/>
    <n v="891.569075"/>
    <x v="1"/>
  </r>
  <r>
    <s v="SALE605"/>
    <d v="2023-10-23T00:00:00"/>
    <s v="CUST1216"/>
    <s v="PROD72"/>
    <s v="STORE0"/>
    <n v="1"/>
    <n v="61.11"/>
    <n v="0.1"/>
    <s v="PayPal"/>
    <n v="54.999000000000002"/>
    <n v="471869.22953188466"/>
    <n v="468"/>
    <x v="383"/>
    <n v="0.15537917122445941"/>
    <n v="2.4985031705994816"/>
    <n v="473.87780430788047"/>
    <n v="29.302250000000001"/>
    <x v="11"/>
  </r>
  <r>
    <s v="SALE606"/>
    <d v="2024-09-20T00:00:00"/>
    <s v="CUST1029"/>
    <s v="PROD27"/>
    <s v="STORE8"/>
    <n v="3"/>
    <n v="827.88"/>
    <n v="0.19"/>
    <s v="PayPal"/>
    <n v="2011.7483999999999"/>
    <n v="471869.22953188466"/>
    <n v="468"/>
    <x v="224"/>
    <n v="0.15541895511183332"/>
    <n v="2.499579681497901"/>
    <n v="474.17433290292928"/>
    <n v="710.70460000000003"/>
    <x v="8"/>
  </r>
  <r>
    <s v="SALE607"/>
    <d v="2024-10-18T00:00:00"/>
    <s v="CUST1430"/>
    <s v="PROD87"/>
    <s v="STORE13"/>
    <n v="3"/>
    <n v="926.85"/>
    <n v="0.18"/>
    <s v="COD"/>
    <n v="2280.0509999999999"/>
    <n v="471869.22953188466"/>
    <n v="468"/>
    <x v="246"/>
    <n v="0.1553940945475715"/>
    <n v="2.4992199256973961"/>
    <n v="473.92005133060928"/>
    <n v="802.52025000000003"/>
    <x v="11"/>
  </r>
  <r>
    <s v="SALE608"/>
    <d v="2025-01-05T00:00:00"/>
    <s v="CUST1317"/>
    <s v="PROD10"/>
    <s v="STORE14"/>
    <n v="1"/>
    <n v="874.59"/>
    <n v="0.28999999999999998"/>
    <s v="PayPal"/>
    <n v="620.95889999999997"/>
    <n v="471869.22953188466"/>
    <n v="468"/>
    <x v="125"/>
    <n v="0.15537639245731796"/>
    <n v="2.4988596522626465"/>
    <n v="473.5942024466745"/>
    <n v="374.20972499999999"/>
    <x v="4"/>
  </r>
  <r>
    <s v="SALE609"/>
    <d v="2025-09-21T00:00:00"/>
    <s v="CUST1470"/>
    <s v="PROD15"/>
    <s v="STORE1"/>
    <n v="4"/>
    <n v="479.11"/>
    <n v="0.24"/>
    <s v="PayPal"/>
    <n v="1456.4944"/>
    <n v="471869.22953188466"/>
    <n v="468"/>
    <x v="275"/>
    <n v="0.15527947121358673"/>
    <n v="2.4999387448848656"/>
    <n v="473.30550856794633"/>
    <n v="484.96109999999999"/>
    <x v="8"/>
  </r>
  <r>
    <s v="SALE610"/>
    <d v="2024-07-17T00:00:00"/>
    <s v="CUST1213"/>
    <s v="PROD32"/>
    <s v="STORE17"/>
    <n v="3"/>
    <n v="182.91"/>
    <n v="0.28999999999999998"/>
    <s v="Credit Card"/>
    <n v="389.59829999999999"/>
    <n v="471869.22953188466"/>
    <n v="468"/>
    <x v="412"/>
    <n v="0.15521843336863975"/>
    <n v="2.498858009110287"/>
    <n v="473.3013266576927"/>
    <n v="143.94957499999998"/>
    <x v="0"/>
  </r>
  <r>
    <s v="SALE611"/>
    <d v="2024-12-26T00:00:00"/>
    <s v="CUST1272"/>
    <s v="PROD34"/>
    <s v="STORE5"/>
    <n v="4"/>
    <n v="745.51"/>
    <n v="0.05"/>
    <s v="Credit Card"/>
    <n v="2832.9380000000001"/>
    <n v="471479.63123188465"/>
    <n v="467"/>
    <x v="413"/>
    <n v="0.15512125848282046"/>
    <n v="2.4984966954903234"/>
    <n v="473.51069315131764"/>
    <n v="895.62450000000001"/>
    <x v="1"/>
  </r>
  <r>
    <s v="SALE612"/>
    <d v="2024-11-02T00:00:00"/>
    <s v="CUST1481"/>
    <s v="PROD88"/>
    <s v="STORE15"/>
    <n v="3"/>
    <n v="920.61"/>
    <n v="0.04"/>
    <s v="Credit Card"/>
    <n v="2651.3568"/>
    <n v="468646.69323188462"/>
    <n v="466"/>
    <x v="118"/>
    <n v="0.15519710354666086"/>
    <n v="2.4974133597727843"/>
    <n v="473.3144454551786"/>
    <n v="893.75170000000003"/>
    <x v="3"/>
  </r>
  <r>
    <s v="SALE613"/>
    <d v="2025-04-25T00:00:00"/>
    <s v="CUST1425"/>
    <s v="PROD75"/>
    <s v="STORE10"/>
    <n v="4"/>
    <n v="659.03"/>
    <n v="0.15"/>
    <s v="Credit Card"/>
    <n v="2240.7020000000002"/>
    <n v="465995.33643188461"/>
    <n v="465"/>
    <x v="359"/>
    <n v="0.15528027835066568"/>
    <n v="2.4970504813321868"/>
    <n v="472.99148837608482"/>
    <n v="725.97050000000002"/>
    <x v="10"/>
  </r>
  <r>
    <s v="SALE614"/>
    <d v="2024-02-16T00:00:00"/>
    <s v="CUST1491"/>
    <s v="PROD9"/>
    <s v="STORE2"/>
    <n v="1"/>
    <n v="312.91000000000003"/>
    <n v="0.12"/>
    <s v="PayPal"/>
    <n v="275.36079999999998"/>
    <n v="463754.63443188462"/>
    <n v="464"/>
    <x v="214"/>
    <n v="0.15528409358068782"/>
    <n v="2.4959645351481781"/>
    <n v="472.8570674861831"/>
    <n v="147.3477"/>
    <x v="6"/>
  </r>
  <r>
    <s v="SALE615"/>
    <d v="2024-08-20T00:00:00"/>
    <s v="CUST1228"/>
    <s v="PROD12"/>
    <s v="STORE18"/>
    <n v="4"/>
    <n v="705.64"/>
    <n v="0.11"/>
    <s v="PayPal"/>
    <n v="2512.0783999999999"/>
    <n v="463754.63443188462"/>
    <n v="464"/>
    <x v="414"/>
    <n v="0.1553096063020043"/>
    <n v="2.4970462159400424"/>
    <n v="472.97271974033066"/>
    <n v="805.45709999999997"/>
    <x v="7"/>
  </r>
  <r>
    <s v="SALE616"/>
    <d v="2024-07-24T00:00:00"/>
    <s v="CUST1144"/>
    <s v="PROD9"/>
    <s v="STORE10"/>
    <n v="4"/>
    <n v="386.41"/>
    <n v="0.13"/>
    <s v="COD"/>
    <n v="1344.7067999999999"/>
    <n v="463754.63443188462"/>
    <n v="464"/>
    <x v="184"/>
    <n v="0.15534239183478435"/>
    <n v="2.495958695112213"/>
    <n v="472.80436425533821"/>
    <n v="433.81169999999997"/>
    <x v="0"/>
  </r>
  <r>
    <s v="SALE617"/>
    <d v="2024-08-30T00:00:00"/>
    <s v="CUST1029"/>
    <s v="PROD94"/>
    <s v="STORE11"/>
    <n v="3"/>
    <n v="265.89"/>
    <n v="0.08"/>
    <s v="COD"/>
    <n v="733.85640000000001"/>
    <n v="463754.63443188462"/>
    <n v="464"/>
    <x v="415"/>
    <n v="0.15536074258919041"/>
    <n v="2.494869599308529"/>
    <n v="472.86692353430664"/>
    <n v="250.70659999999998"/>
    <x v="7"/>
  </r>
  <r>
    <s v="SALE618"/>
    <d v="2025-09-25T00:00:00"/>
    <s v="CUST1075"/>
    <s v="PROD30"/>
    <s v="STORE16"/>
    <n v="1"/>
    <n v="703.16"/>
    <n v="0.28999999999999998"/>
    <s v="Credit Card"/>
    <n v="499.24360000000001"/>
    <n v="463754.63443188462"/>
    <n v="464"/>
    <x v="108"/>
    <n v="0.15541535182295069"/>
    <n v="2.4945035627862886"/>
    <n v="473.01690681223005"/>
    <n v="300.92340000000002"/>
    <x v="8"/>
  </r>
  <r>
    <s v="SALE619"/>
    <d v="2025-04-18T00:00:00"/>
    <s v="CUST1471"/>
    <s v="PROD97"/>
    <s v="STORE13"/>
    <n v="2"/>
    <n v="394.5"/>
    <n v="0.28999999999999998"/>
    <s v="COD"/>
    <n v="560.18999999999994"/>
    <n v="463255.39083188458"/>
    <n v="463"/>
    <x v="407"/>
    <n v="0.15531775599396083"/>
    <n v="2.4955873217150679"/>
    <n v="472.85001551912785"/>
    <n v="239.245"/>
    <x v="10"/>
  </r>
  <r>
    <s v="SALE620"/>
    <d v="2025-08-13T00:00:00"/>
    <s v="CUST1117"/>
    <s v="PROD97"/>
    <s v="STORE7"/>
    <n v="3"/>
    <n v="411.25"/>
    <n v="0.05"/>
    <s v="Credit Card"/>
    <n v="1172.0625"/>
    <n v="463255.39083188458"/>
    <n v="463"/>
    <x v="416"/>
    <n v="0.15522001851645281"/>
    <n v="2.4959469641836565"/>
    <n v="472.90687329526656"/>
    <n v="396.59062499999999"/>
    <x v="7"/>
  </r>
  <r>
    <s v="SALE621"/>
    <d v="2025-09-23T00:00:00"/>
    <s v="CUST1353"/>
    <s v="PROD48"/>
    <s v="STORE2"/>
    <n v="4"/>
    <n v="395.45"/>
    <n v="0.01"/>
    <s v="Credit Card"/>
    <n v="1565.982"/>
    <n v="462083.32833188464"/>
    <n v="462"/>
    <x v="28"/>
    <n v="0.15529643102082205"/>
    <n v="2.4955809125962802"/>
    <n v="472.95164952859642"/>
    <n v="491.3605"/>
    <x v="8"/>
  </r>
  <r>
    <s v="SALE622"/>
    <d v="2024-05-09T00:00:00"/>
    <s v="CUST1036"/>
    <s v="PROD90"/>
    <s v="STORE5"/>
    <n v="2"/>
    <n v="678.98"/>
    <n v="0.23"/>
    <s v="Credit Card"/>
    <n v="1045.6292000000001"/>
    <n v="460517.34633188462"/>
    <n v="461"/>
    <x v="417"/>
    <n v="0.15540202435731976"/>
    <n v="2.4944875847711327"/>
    <n v="473.00797340180037"/>
    <n v="431.70980000000003"/>
    <x v="5"/>
  </r>
  <r>
    <s v="SALE623"/>
    <d v="2024-11-12T00:00:00"/>
    <s v="CUST1072"/>
    <s v="PROD27"/>
    <s v="STORE14"/>
    <n v="4"/>
    <n v="757.71"/>
    <n v="0.26"/>
    <s v="COD"/>
    <n v="2242.8216000000002"/>
    <n v="459471.71713188459"/>
    <n v="460"/>
    <x v="418"/>
    <n v="0.15534777128412508"/>
    <n v="2.4948472121055114"/>
    <n v="472.85817556427446"/>
    <n v="751.19790000000012"/>
    <x v="3"/>
  </r>
  <r>
    <s v="SALE624"/>
    <d v="2024-12-18T00:00:00"/>
    <s v="CUST1059"/>
    <s v="PROD94"/>
    <s v="STORE4"/>
    <n v="1"/>
    <n v="647.86"/>
    <n v="0.05"/>
    <s v="COD"/>
    <n v="615.46699999999998"/>
    <n v="459471.71713188459"/>
    <n v="460"/>
    <x v="350"/>
    <n v="0.15527160517880056"/>
    <n v="2.4937517588392124"/>
    <n v="472.65085982596599"/>
    <n v="316.09424999999999"/>
    <x v="1"/>
  </r>
  <r>
    <s v="SALE625"/>
    <d v="2024-08-13T00:00:00"/>
    <s v="CUST1135"/>
    <s v="PROD12"/>
    <s v="STORE6"/>
    <n v="2"/>
    <n v="179.64"/>
    <n v="0.1"/>
    <s v="PayPal"/>
    <n v="323.35199999999998"/>
    <n v="459471.71713188459"/>
    <n v="460"/>
    <x v="18"/>
    <n v="0.15534827787011798"/>
    <n v="2.4948397062236549"/>
    <n v="472.52324938155664"/>
    <n v="126.273"/>
    <x v="7"/>
  </r>
  <r>
    <s v="SALE626"/>
    <d v="2024-09-10T00:00:00"/>
    <s v="CUST1396"/>
    <s v="PROD62"/>
    <s v="STORE4"/>
    <n v="3"/>
    <n v="392.65"/>
    <n v="0.17"/>
    <s v="PayPal"/>
    <n v="977.69849999999985"/>
    <n v="459471.71713188459"/>
    <n v="460"/>
    <x v="81"/>
    <n v="0.15538861918051894"/>
    <n v="2.495200376563468"/>
    <n v="472.73672113766565"/>
    <n v="343.37962499999998"/>
    <x v="8"/>
  </r>
  <r>
    <s v="SALE627"/>
    <d v="2024-09-12T00:00:00"/>
    <s v="CUST1176"/>
    <s v="PROD91"/>
    <s v="STORE16"/>
    <n v="4"/>
    <n v="969.55"/>
    <n v="0.09"/>
    <s v="COD"/>
    <n v="3529.1619999999998"/>
    <n v="459471.71713188459"/>
    <n v="460"/>
    <x v="419"/>
    <n v="0.15537796171821441"/>
    <n v="2.4948321784427994"/>
    <n v="472.79513595979375"/>
    <n v="1125.7004999999999"/>
    <x v="8"/>
  </r>
  <r>
    <s v="SALE628"/>
    <d v="2024-05-21T00:00:00"/>
    <s v="CUST1462"/>
    <s v="PROD74"/>
    <s v="STORE12"/>
    <n v="3"/>
    <n v="322.94"/>
    <n v="0.01"/>
    <s v="Credit Card"/>
    <n v="959.13179999999988"/>
    <n v="459471.71713188459"/>
    <n v="460"/>
    <x v="138"/>
    <n v="0.15542568285815472"/>
    <n v="2.4937335157993266"/>
    <n v="472.43254116852353"/>
    <n v="321.27044999999998"/>
    <x v="5"/>
  </r>
  <r>
    <s v="SALE629"/>
    <d v="2025-05-15T00:00:00"/>
    <s v="CUST1362"/>
    <s v="PROD83"/>
    <s v="STORE0"/>
    <n v="1"/>
    <n v="92.83"/>
    <n v="0.26"/>
    <s v="PayPal"/>
    <n v="68.694199999999995"/>
    <n v="458512.58533188462"/>
    <n v="459"/>
    <x v="420"/>
    <n v="0.15553191053007448"/>
    <n v="2.4933637082871276"/>
    <n v="472.54173951853699"/>
    <n v="40.69605"/>
    <x v="5"/>
  </r>
  <r>
    <s v="SALE630"/>
    <d v="2025-05-27T00:00:00"/>
    <s v="CUST1420"/>
    <s v="PROD8"/>
    <s v="STORE3"/>
    <n v="4"/>
    <n v="432.29"/>
    <n v="0.16"/>
    <s v="COD"/>
    <n v="1452.4944"/>
    <n v="458512.58533188462"/>
    <n v="459"/>
    <x v="391"/>
    <n v="0.15545554496759645"/>
    <n v="2.4944553484247645"/>
    <n v="472.81930657958861"/>
    <n v="472.23610000000002"/>
    <x v="5"/>
  </r>
  <r>
    <s v="SALE631"/>
    <d v="2024-01-20T00:00:00"/>
    <s v="CUST1080"/>
    <s v="PROD39"/>
    <s v="STORE13"/>
    <n v="2"/>
    <n v="925.78"/>
    <n v="0.14000000000000001"/>
    <s v="COD"/>
    <n v="1592.3416"/>
    <n v="458512.58533188462"/>
    <n v="459"/>
    <x v="331"/>
    <n v="0.15545222056742644"/>
    <n v="2.4933539990088351"/>
    <n v="472.8489549384617"/>
    <n v="630.06539999999995"/>
    <x v="4"/>
  </r>
  <r>
    <s v="SALE632"/>
    <d v="2024-11-09T00:00:00"/>
    <s v="CUST1477"/>
    <s v="PROD25"/>
    <s v="STORE11"/>
    <n v="2"/>
    <n v="151.47"/>
    <n v="0.21"/>
    <s v="PayPal"/>
    <n v="239.32259999999999"/>
    <n v="458512.58533188462"/>
    <n v="459"/>
    <x v="421"/>
    <n v="0.15546353258833967"/>
    <n v="2.4937151659187977"/>
    <n v="472.5173802349027"/>
    <n v="98.250650000000007"/>
    <x v="3"/>
  </r>
  <r>
    <s v="SALE633"/>
    <d v="2024-02-16T00:00:00"/>
    <s v="CUST1449"/>
    <s v="PROD83"/>
    <s v="STORE10"/>
    <n v="1"/>
    <n v="343.05"/>
    <n v="0.28000000000000003"/>
    <s v="PayPal"/>
    <n v="246.99600000000001"/>
    <n v="458512.58533188462"/>
    <n v="459"/>
    <x v="214"/>
    <n v="0.15542357913236041"/>
    <n v="2.4940768620110463"/>
    <n v="472.75257978086228"/>
    <n v="147.83150000000001"/>
    <x v="6"/>
  </r>
  <r>
    <s v="SALE634"/>
    <d v="2024-12-16T00:00:00"/>
    <s v="CUST1066"/>
    <s v="PROD17"/>
    <s v="STORE4"/>
    <n v="1"/>
    <n v="373.06"/>
    <n v="0.11"/>
    <s v="PayPal"/>
    <n v="332.02339999999998"/>
    <n v="458512.58533188462"/>
    <n v="459"/>
    <x v="422"/>
    <n v="0.15533224744550733"/>
    <n v="2.4951722262793825"/>
    <n v="472.84766964873683"/>
    <n v="176.54835"/>
    <x v="1"/>
  </r>
  <r>
    <s v="SALE635"/>
    <d v="2025-02-05T00:00:00"/>
    <s v="CUST1411"/>
    <s v="PROD18"/>
    <s v="STORE15"/>
    <n v="1"/>
    <n v="124.98"/>
    <n v="7.0000000000000007E-2"/>
    <s v="COD"/>
    <n v="116.23139999999999"/>
    <n v="458512.58533188462"/>
    <n v="459"/>
    <x v="227"/>
    <n v="0.15536550661457957"/>
    <n v="2.4962691978320453"/>
    <n v="472.92088143864794"/>
    <n v="60.570349999999998"/>
    <x v="6"/>
  </r>
  <r>
    <s v="SALE636"/>
    <d v="2025-04-16T00:00:00"/>
    <s v="CUST1272"/>
    <s v="PROD73"/>
    <s v="STORE19"/>
    <n v="4"/>
    <n v="221.49"/>
    <n v="0.26"/>
    <s v="PayPal"/>
    <n v="655.61040000000003"/>
    <n v="458512.58533188462"/>
    <n v="459"/>
    <x v="171"/>
    <n v="0.15542818319799703"/>
    <n v="2.4973677802093084"/>
    <n v="473.17634464087899"/>
    <n v="220.34010000000001"/>
    <x v="10"/>
  </r>
  <r>
    <s v="SALE637"/>
    <d v="2024-10-07T00:00:00"/>
    <s v="CUST1170"/>
    <s v="PROD23"/>
    <s v="STORE15"/>
    <n v="1"/>
    <n v="563.32000000000005"/>
    <n v="0.01"/>
    <s v="PayPal"/>
    <n v="557.68680000000006"/>
    <n v="458512.58533188462"/>
    <n v="459"/>
    <x v="423"/>
    <n v="0.15535134865222039"/>
    <n v="2.4962637153894773"/>
    <n v="473.36127215347335"/>
    <n v="280.50420000000003"/>
    <x v="11"/>
  </r>
  <r>
    <s v="SALE638"/>
    <d v="2024-02-16T00:00:00"/>
    <s v="CUST1390"/>
    <s v="PROD11"/>
    <s v="STORE0"/>
    <n v="1"/>
    <n v="362.93"/>
    <n v="0.27"/>
    <s v="Credit Card"/>
    <n v="264.93889999999999"/>
    <n v="458512.58533188462"/>
    <n v="459"/>
    <x v="214"/>
    <n v="0.15545822464387643"/>
    <n v="2.4973639092978512"/>
    <n v="473.29512603005674"/>
    <n v="157.28472499999998"/>
    <x v="6"/>
  </r>
  <r>
    <s v="SALE639"/>
    <d v="2024-03-22T00:00:00"/>
    <s v="CUST1336"/>
    <s v="PROD11"/>
    <s v="STORE15"/>
    <n v="4"/>
    <n v="369.22"/>
    <n v="0.18"/>
    <s v="COD"/>
    <n v="1211.0416"/>
    <n v="458247.64643188461"/>
    <n v="458"/>
    <x v="297"/>
    <n v="0.15537394077680056"/>
    <n v="2.4984657223289757"/>
    <n v="473.3763365716535"/>
    <n v="396.11040000000003"/>
    <x v="9"/>
  </r>
  <r>
    <s v="SALE640"/>
    <d v="2024-10-25T00:00:00"/>
    <s v="CUST1410"/>
    <s v="PROD96"/>
    <s v="STORE14"/>
    <n v="3"/>
    <n v="950.83"/>
    <n v="0.06"/>
    <s v="PayPal"/>
    <n v="2681.3406"/>
    <n v="458247.64643188461"/>
    <n v="458"/>
    <x v="424"/>
    <n v="0.1553558067125714"/>
    <n v="2.4973600269845937"/>
    <n v="473.45303490491676"/>
    <n v="908.80764999999997"/>
    <x v="11"/>
  </r>
  <r>
    <s v="SALE641"/>
    <d v="2024-03-14T00:00:00"/>
    <s v="CUST1143"/>
    <s v="PROD37"/>
    <s v="STORE13"/>
    <n v="3"/>
    <n v="338.79"/>
    <n v="0.01"/>
    <s v="Credit Card"/>
    <n v="1006.2063000000001"/>
    <n v="458247.64643188461"/>
    <n v="458"/>
    <x v="425"/>
    <n v="0.15542607628273541"/>
    <n v="2.4969896216986571"/>
    <n v="473.10124642658599"/>
    <n v="337.001575"/>
    <x v="9"/>
  </r>
  <r>
    <s v="SALE642"/>
    <d v="2025-02-23T00:00:00"/>
    <s v="CUST1146"/>
    <s v="PROD90"/>
    <s v="STORE1"/>
    <n v="3"/>
    <n v="853.32"/>
    <n v="7.0000000000000007E-2"/>
    <s v="COD"/>
    <n v="2380.7628"/>
    <n v="457241.44013188453"/>
    <n v="457"/>
    <x v="294"/>
    <n v="0.15553332265167549"/>
    <n v="2.4966186700922406"/>
    <n v="473.20029601834597"/>
    <n v="809.28819999999996"/>
    <x v="6"/>
  </r>
  <r>
    <s v="SALE643"/>
    <d v="2024-10-21T00:00:00"/>
    <s v="CUST1149"/>
    <s v="PROD76"/>
    <s v="STORE6"/>
    <n v="3"/>
    <n v="89.78"/>
    <n v="0.2"/>
    <s v="COD"/>
    <n v="215.47200000000001"/>
    <n v="457241.44013188453"/>
    <n v="457"/>
    <x v="426"/>
    <n v="0.15559644687503466"/>
    <n v="2.4962471709557774"/>
    <n v="472.91976487149589"/>
    <n v="77.113"/>
    <x v="11"/>
  </r>
  <r>
    <s v="SALE644"/>
    <d v="2024-02-12T00:00:00"/>
    <s v="CUST1191"/>
    <s v="PROD55"/>
    <s v="STORE1"/>
    <n v="1"/>
    <n v="172.04"/>
    <n v="0.04"/>
    <s v="PayPal"/>
    <n v="165.1584"/>
    <n v="457241.44013188453"/>
    <n v="457"/>
    <x v="427"/>
    <n v="0.15556365252265283"/>
    <n v="2.4958751230761287"/>
    <n v="473.20273367863888"/>
    <n v="84.559599999999989"/>
    <x v="6"/>
  </r>
  <r>
    <s v="SALE645"/>
    <d v="2024-02-11T00:00:00"/>
    <s v="CUST1467"/>
    <s v="PROD54"/>
    <s v="STORE1"/>
    <n v="1"/>
    <n v="389.2"/>
    <n v="0.05"/>
    <s v="Credit Card"/>
    <n v="369.74"/>
    <n v="457241.44013188453"/>
    <n v="457"/>
    <x v="348"/>
    <n v="0.15564906542178267"/>
    <n v="2.4969807218367173"/>
    <n v="473.42532254314631"/>
    <n v="189.9975"/>
    <x v="6"/>
  </r>
  <r>
    <s v="SALE646"/>
    <d v="2025-05-01T00:00:00"/>
    <s v="CUST1461"/>
    <s v="PROD77"/>
    <s v="STORE13"/>
    <n v="3"/>
    <n v="865.96"/>
    <n v="0.12"/>
    <s v="PayPal"/>
    <n v="2286.1343999999999"/>
    <n v="456871.70013188454"/>
    <n v="456"/>
    <x v="428"/>
    <n v="0.15572720822165084"/>
    <n v="2.4980879560984306"/>
    <n v="473.48761937934694"/>
    <n v="788.80359999999996"/>
    <x v="5"/>
  </r>
  <r>
    <s v="SALE647"/>
    <d v="2024-10-27T00:00:00"/>
    <s v="CUST1169"/>
    <s v="PROD19"/>
    <s v="STORE1"/>
    <n v="3"/>
    <n v="79.95"/>
    <n v="0.2"/>
    <s v="COD"/>
    <n v="191.88"/>
    <n v="456871.70013188454"/>
    <n v="456"/>
    <x v="397"/>
    <n v="0.15575365323143742"/>
    <n v="2.4977164445929523"/>
    <n v="473.1971142863635"/>
    <n v="68.757499999999993"/>
    <x v="11"/>
  </r>
  <r>
    <s v="SALE648"/>
    <d v="2023-11-29T00:00:00"/>
    <s v="CUST1381"/>
    <s v="PROD26"/>
    <s v="STORE7"/>
    <n v="1"/>
    <n v="566.5"/>
    <n v="0.25"/>
    <s v="COD"/>
    <n v="424.875"/>
    <n v="456871.70013188454"/>
    <n v="456"/>
    <x v="3"/>
    <n v="0.15572087815975699"/>
    <n v="2.4973443827000579"/>
    <n v="473.48840844509414"/>
    <n v="248.15625"/>
    <x v="3"/>
  </r>
  <r>
    <s v="SALE649"/>
    <d v="2025-05-24T00:00:00"/>
    <s v="CUST1402"/>
    <s v="PROD21"/>
    <s v="STORE0"/>
    <n v="2"/>
    <n v="347.95"/>
    <n v="0.13"/>
    <s v="COD"/>
    <n v="605.43299999999999"/>
    <n v="456871.70013188454"/>
    <n v="456"/>
    <x v="11"/>
    <n v="0.15565099000420454"/>
    <n v="2.4984543488844171"/>
    <n v="473.41945989686951"/>
    <n v="238.87824999999998"/>
    <x v="5"/>
  </r>
  <r>
    <s v="SALE650"/>
    <d v="2024-02-25T00:00:00"/>
    <s v="CUST1209"/>
    <s v="PROD58"/>
    <s v="STORE3"/>
    <n v="2"/>
    <n v="250.83"/>
    <n v="0.15"/>
    <s v="PayPal"/>
    <n v="426.411"/>
    <n v="456871.70013188454"/>
    <n v="456"/>
    <x v="121"/>
    <n v="0.15567001892854002"/>
    <n v="2.4988241221402654"/>
    <n v="473.51253813121434"/>
    <n v="169.84775000000002"/>
    <x v="6"/>
  </r>
  <r>
    <s v="SALE651"/>
    <d v="2025-03-05T00:00:00"/>
    <s v="CUST1149"/>
    <s v="PROD71"/>
    <s v="STORE1"/>
    <n v="1"/>
    <n v="888.05"/>
    <n v="0.2"/>
    <s v="PayPal"/>
    <n v="710.44"/>
    <n v="456871.70013188454"/>
    <n v="456"/>
    <x v="237"/>
    <n v="0.15567422829671265"/>
    <n v="2.4991944444284173"/>
    <n v="473.67785553146024"/>
    <n v="399.92250000000001"/>
    <x v="9"/>
  </r>
  <r>
    <s v="SALE652"/>
    <d v="2024-08-27T00:00:00"/>
    <s v="CUST1006"/>
    <s v="PROD39"/>
    <s v="STORE18"/>
    <n v="2"/>
    <n v="673.02"/>
    <n v="0.11"/>
    <s v="PayPal"/>
    <n v="1197.9756"/>
    <n v="456871.70013188454"/>
    <n v="456"/>
    <x v="429"/>
    <n v="0.15564129681699251"/>
    <n v="2.5003082590230896"/>
    <n v="473.37000104077049"/>
    <n v="468.27639999999997"/>
    <x v="7"/>
  </r>
  <r>
    <s v="SALE653"/>
    <d v="2024-02-10T00:00:00"/>
    <s v="CUST1440"/>
    <s v="PROD64"/>
    <s v="STORE3"/>
    <n v="2"/>
    <n v="492.62"/>
    <n v="0.26"/>
    <s v="COD"/>
    <n v="729.07759999999996"/>
    <n v="456871.70013188454"/>
    <n v="456"/>
    <x v="430"/>
    <n v="0.15567523086667057"/>
    <n v="2.5006802354238502"/>
    <n v="473.22156237983421"/>
    <n v="305.98939999999999"/>
    <x v="6"/>
  </r>
  <r>
    <s v="SALE654"/>
    <d v="2024-02-22T00:00:00"/>
    <s v="CUST1376"/>
    <s v="PROD85"/>
    <s v="STORE3"/>
    <n v="4"/>
    <n v="986.93"/>
    <n v="0.01"/>
    <s v="Credit Card"/>
    <n v="3908.2428"/>
    <n v="456871.70013188454"/>
    <n v="456"/>
    <x v="431"/>
    <n v="0.15559760827058924"/>
    <n v="2.5010527653609214"/>
    <n v="473.20712901850959"/>
    <n v="1224.7956999999999"/>
    <x v="6"/>
  </r>
  <r>
    <s v="SALE655"/>
    <d v="2024-04-06T00:00:00"/>
    <s v="CUST1479"/>
    <s v="PROD22"/>
    <s v="STORE12"/>
    <n v="4"/>
    <n v="411.68"/>
    <n v="0.06"/>
    <s v="PayPal"/>
    <n v="1547.9168"/>
    <n v="452963.45733188454"/>
    <n v="455"/>
    <x v="432"/>
    <n v="0.15570602048821439"/>
    <n v="2.4999366467945481"/>
    <n v="472.82461012723536"/>
    <n v="490.91419999999999"/>
    <x v="10"/>
  </r>
  <r>
    <s v="SALE656"/>
    <d v="2024-04-15T00:00:00"/>
    <s v="CUST1219"/>
    <s v="PROD36"/>
    <s v="STORE17"/>
    <n v="2"/>
    <n v="637.55999999999995"/>
    <n v="0.05"/>
    <s v="COD"/>
    <n v="1211.364"/>
    <n v="452963.45733188454"/>
    <n v="455"/>
    <x v="433"/>
    <n v="0.15577733644983005"/>
    <n v="2.4988188648622041"/>
    <n v="472.87017242986366"/>
    <n v="462.74349999999998"/>
    <x v="10"/>
  </r>
  <r>
    <s v="SALE657"/>
    <d v="2024-12-07T00:00:00"/>
    <s v="CUST1014"/>
    <s v="PROD13"/>
    <s v="STORE3"/>
    <n v="3"/>
    <n v="706.87"/>
    <n v="0.27"/>
    <s v="Credit Card"/>
    <n v="1548.0453"/>
    <n v="452963.45733188454"/>
    <n v="455"/>
    <x v="56"/>
    <n v="0.15585621589535564"/>
    <n v="2.499190840152929"/>
    <n v="472.74736122362185"/>
    <n v="564.54632500000002"/>
    <x v="1"/>
  </r>
  <r>
    <s v="SALE658"/>
    <d v="2024-12-03T00:00:00"/>
    <s v="CUST1055"/>
    <s v="PROD15"/>
    <s v="STORE6"/>
    <n v="2"/>
    <n v="884.48"/>
    <n v="0.15"/>
    <s v="COD"/>
    <n v="1768.96"/>
    <n v="451415.4120318846"/>
    <n v="454"/>
    <x v="434"/>
    <n v="0.15577103396691935"/>
    <n v="2.4988171019739385"/>
    <n v="472.57264283647527"/>
    <n v="663.89750000000004"/>
    <x v="1"/>
  </r>
  <r>
    <s v="SALE659"/>
    <d v="2023-12-31T00:00:00"/>
    <s v="CUST1047"/>
    <s v="PROD92"/>
    <s v="STORE4"/>
    <n v="3"/>
    <n v="718.23"/>
    <n v="0.19"/>
    <s v="PayPal"/>
    <n v="1745.2989"/>
    <n v="451415.4120318846"/>
    <n v="454"/>
    <x v="49"/>
    <n v="0.15577534392507239"/>
    <n v="2.4991896315497217"/>
    <n v="472.2650197168611"/>
    <n v="616.67972499999996"/>
    <x v="1"/>
  </r>
  <r>
    <s v="SALE660"/>
    <d v="2025-09-14T00:00:00"/>
    <s v="CUST1180"/>
    <s v="PROD90"/>
    <s v="STORE18"/>
    <n v="3"/>
    <n v="107.44"/>
    <n v="0.27"/>
    <s v="PayPal"/>
    <n v="235.2936"/>
    <n v="451415.4120318846"/>
    <n v="454"/>
    <x v="62"/>
    <n v="0.15574976495939602"/>
    <n v="2.4988153338154544"/>
    <n v="472.08118938780041"/>
    <n v="86.500900000000001"/>
    <x v="8"/>
  </r>
  <r>
    <s v="SALE661"/>
    <d v="2025-01-16T00:00:00"/>
    <s v="CUST1056"/>
    <s v="PROD46"/>
    <s v="STORE3"/>
    <n v="4"/>
    <n v="608.97"/>
    <n v="0.14000000000000001"/>
    <s v="COD"/>
    <n v="2094.8568"/>
    <n v="451415.4120318846"/>
    <n v="454"/>
    <x v="435"/>
    <n v="0.15566431227798944"/>
    <n v="2.4984404761743289"/>
    <n v="472.35392026991536"/>
    <n v="676.99170000000004"/>
    <x v="4"/>
  </r>
  <r>
    <s v="SALE662"/>
    <d v="2025-02-01T00:00:00"/>
    <s v="CUST1354"/>
    <s v="PROD61"/>
    <s v="STORE6"/>
    <n v="3"/>
    <n v="260.45999999999998"/>
    <n v="0.09"/>
    <s v="Credit Card"/>
    <n v="711.05579999999986"/>
    <n v="451415.4120318846"/>
    <n v="454"/>
    <x v="50"/>
    <n v="0.15567603706262867"/>
    <n v="2.497316554375058"/>
    <n v="472.25166272520732"/>
    <n v="243.65144999999995"/>
    <x v="6"/>
  </r>
  <r>
    <s v="SALE663"/>
    <d v="2024-12-20T00:00:00"/>
    <s v="CUST1123"/>
    <s v="PROD22"/>
    <s v="STORE6"/>
    <n v="1"/>
    <n v="747.03"/>
    <n v="0.01"/>
    <s v="Credit Card"/>
    <n v="739.55970000000002"/>
    <n v="450704.35623188462"/>
    <n v="453"/>
    <x v="175"/>
    <n v="0.1557252325960089"/>
    <n v="2.4969400124682228"/>
    <n v="472.41030816545094"/>
    <n v="371.899925"/>
    <x v="1"/>
  </r>
  <r>
    <s v="SALE664"/>
    <d v="2024-07-02T00:00:00"/>
    <s v="CUST1404"/>
    <s v="PROD16"/>
    <s v="STORE8"/>
    <n v="4"/>
    <n v="700.88"/>
    <n v="0.23"/>
    <s v="PayPal"/>
    <n v="2158.7103999999999"/>
    <n v="449964.79653188464"/>
    <n v="452"/>
    <x v="235"/>
    <n v="0.15583447190080352"/>
    <n v="2.4980621564056054"/>
    <n v="472.20444632749394"/>
    <n v="715.95510000000002"/>
    <x v="0"/>
  </r>
  <r>
    <s v="SALE665"/>
    <d v="2025-05-04T00:00:00"/>
    <s v="CUST1048"/>
    <s v="PROD95"/>
    <s v="STORE14"/>
    <n v="4"/>
    <n v="20.09"/>
    <n v="0.16"/>
    <s v="PayPal"/>
    <n v="67.502399999999994"/>
    <n v="449964.79653188464"/>
    <n v="452"/>
    <x v="8"/>
    <n v="0.15577883384521521"/>
    <n v="2.4969354213391428"/>
    <n v="472.03289677485139"/>
    <n v="22.938099999999999"/>
    <x v="5"/>
  </r>
  <r>
    <s v="SALE666"/>
    <d v="2024-12-28T00:00:00"/>
    <s v="CUST1062"/>
    <s v="PROD37"/>
    <s v="STORE11"/>
    <n v="3"/>
    <n v="917.64"/>
    <n v="0.24"/>
    <s v="PayPal"/>
    <n v="2092.2192"/>
    <n v="449964.79653188464"/>
    <n v="452"/>
    <x v="243"/>
    <n v="0.15577566480155547"/>
    <n v="2.4958069944782868"/>
    <n v="472.37219324390156"/>
    <n v="753.27480000000003"/>
    <x v="1"/>
  </r>
  <r>
    <s v="SALE667"/>
    <d v="2024-10-29T00:00:00"/>
    <s v="CUST1051"/>
    <s v="PROD21"/>
    <s v="STORE0"/>
    <n v="1"/>
    <n v="242.08"/>
    <n v="0.18"/>
    <s v="PayPal"/>
    <n v="198.50559999999999"/>
    <n v="449964.79653188464"/>
    <n v="452"/>
    <x v="139"/>
    <n v="0.15571238581192479"/>
    <n v="2.4954281868107273"/>
    <n v="472.03765695032075"/>
    <n v="110.4414"/>
    <x v="11"/>
  </r>
  <r>
    <s v="SALE668"/>
    <d v="2024-10-16T00:00:00"/>
    <s v="CUST1057"/>
    <s v="PROD63"/>
    <s v="STORE7"/>
    <n v="1"/>
    <n v="536.67999999999995"/>
    <n v="0.27"/>
    <s v="Credit Card"/>
    <n v="391.77640000000002"/>
    <n v="449964.79653188464"/>
    <n v="452"/>
    <x v="436"/>
    <n v="0.15569412444787359"/>
    <n v="2.4965525689060737"/>
    <n v="472.21055744426849"/>
    <n v="232.4316"/>
    <x v="11"/>
  </r>
  <r>
    <s v="SALE669"/>
    <d v="2025-04-01T00:00:00"/>
    <s v="CUST1094"/>
    <s v="PROD29"/>
    <s v="STORE4"/>
    <n v="2"/>
    <n v="145.18"/>
    <n v="0.26"/>
    <s v="PayPal"/>
    <n v="214.8664"/>
    <n v="449573.02013188461"/>
    <n v="451"/>
    <x v="283"/>
    <n v="0.15560811551216847"/>
    <n v="2.4976786430737983"/>
    <n v="472.1620477057013"/>
    <n v="90.576599999999999"/>
    <x v="10"/>
  </r>
  <r>
    <s v="SALE670"/>
    <d v="2024-03-18T00:00:00"/>
    <s v="CUST1221"/>
    <s v="PROD67"/>
    <s v="STORE4"/>
    <n v="2"/>
    <n v="132.77000000000001"/>
    <n v="0.13"/>
    <s v="COD"/>
    <n v="231.0198"/>
    <n v="449573.02013188461"/>
    <n v="451"/>
    <x v="19"/>
    <n v="0.15552950716541558"/>
    <n v="2.4980534010881605"/>
    <n v="472.40826912716636"/>
    <n v="91.479950000000002"/>
    <x v="9"/>
  </r>
  <r>
    <s v="SALE671"/>
    <d v="2025-02-13T00:00:00"/>
    <s v="CUST1013"/>
    <s v="PROD41"/>
    <s v="STORE9"/>
    <n v="4"/>
    <n v="682.11"/>
    <n v="0.14000000000000001"/>
    <s v="Credit Card"/>
    <n v="2346.4584"/>
    <n v="449573.02013188461"/>
    <n v="451"/>
    <x v="437"/>
    <n v="0.15554874567872787"/>
    <n v="2.4984287239224399"/>
    <n v="472.66421356509187"/>
    <n v="758.1771"/>
    <x v="6"/>
  </r>
  <r>
    <s v="SALE672"/>
    <d v="2024-08-06T00:00:00"/>
    <s v="CUST1486"/>
    <s v="PROD40"/>
    <s v="STORE17"/>
    <n v="4"/>
    <n v="502.95"/>
    <n v="0.14000000000000001"/>
    <s v="COD"/>
    <n v="1730.1479999999999"/>
    <n v="447226.56173188472"/>
    <n v="450"/>
    <x v="438"/>
    <n v="0.15556047173127593"/>
    <n v="2.4972963172285656"/>
    <n v="472.50626048331594"/>
    <n v="559.30949999999996"/>
    <x v="7"/>
  </r>
  <r>
    <s v="SALE673"/>
    <d v="2024-09-03T00:00:00"/>
    <s v="CUST1234"/>
    <s v="PROD37"/>
    <s v="STORE16"/>
    <n v="2"/>
    <n v="472.08"/>
    <n v="7.0000000000000007E-2"/>
    <s v="Credit Card"/>
    <n v="878.0687999999999"/>
    <n v="447226.56173188472"/>
    <n v="450"/>
    <x v="44"/>
    <n v="0.15557221548352593"/>
    <n v="2.4961622012415683"/>
    <n v="472.4832840761336"/>
    <n v="338.05469999999997"/>
    <x v="8"/>
  </r>
  <r>
    <s v="SALE674"/>
    <d v="2025-01-08T00:00:00"/>
    <s v="CUST1473"/>
    <s v="PROD57"/>
    <s v="STORE17"/>
    <n v="2"/>
    <n v="218.11"/>
    <n v="0.02"/>
    <s v="COD"/>
    <n v="427.49560000000002"/>
    <n v="446348.49293188471"/>
    <n v="449"/>
    <x v="439"/>
    <n v="0.15563684706621742"/>
    <n v="2.4965369461065547"/>
    <n v="472.48358867135721"/>
    <n v="161.90640000000002"/>
    <x v="4"/>
  </r>
  <r>
    <s v="SALE675"/>
    <d v="2025-07-21T00:00:00"/>
    <s v="CUST1057"/>
    <s v="PROD1"/>
    <s v="STORE6"/>
    <n v="4"/>
    <n v="845.58"/>
    <n v="0.06"/>
    <s v="PayPal"/>
    <n v="3179.3807999999999"/>
    <n v="446348.49293188471"/>
    <n v="449"/>
    <x v="440"/>
    <n v="0.15573936924842924"/>
    <n v="2.496912257479273"/>
    <n v="472.67585895757895"/>
    <n v="1007.2551999999999"/>
    <x v="0"/>
  </r>
  <r>
    <s v="SALE676"/>
    <d v="2023-11-25T00:00:00"/>
    <s v="CUST1128"/>
    <s v="PROD80"/>
    <s v="STORE2"/>
    <n v="2"/>
    <n v="111.28"/>
    <n v="0.14000000000000001"/>
    <s v="Credit Card"/>
    <n v="191.4016"/>
    <n v="446348.49293188471"/>
    <n v="449"/>
    <x v="65"/>
    <n v="0.15581178934619658"/>
    <n v="2.4957752773412087"/>
    <n v="472.39378320792508"/>
    <n v="76.205399999999997"/>
    <x v="3"/>
  </r>
  <r>
    <s v="SALE677"/>
    <d v="2025-07-04T00:00:00"/>
    <s v="CUST1177"/>
    <s v="PROD59"/>
    <s v="STORE14"/>
    <n v="2"/>
    <n v="37.21"/>
    <n v="0.19"/>
    <s v="Credit Card"/>
    <n v="60.280200000000008"/>
    <n v="446157.09133188467"/>
    <n v="448"/>
    <x v="253"/>
    <n v="0.15582375890664035"/>
    <n v="2.4961505803520656"/>
    <n v="472.66714716190535"/>
    <n v="24.920050000000003"/>
    <x v="0"/>
  </r>
  <r>
    <s v="SALE678"/>
    <d v="2023-10-21T00:00:00"/>
    <s v="CUST1417"/>
    <s v="PROD62"/>
    <s v="STORE13"/>
    <n v="1"/>
    <n v="331.73"/>
    <n v="0.04"/>
    <s v="Credit Card"/>
    <n v="318.46080000000001"/>
    <n v="446096.81113188469"/>
    <n v="447"/>
    <x v="320"/>
    <n v="0.15579786781490293"/>
    <n v="2.4965264520038475"/>
    <n v="472.9970389400583"/>
    <n v="162.80770000000001"/>
    <x v="11"/>
  </r>
  <r>
    <s v="SALE679"/>
    <d v="2023-12-13T00:00:00"/>
    <s v="CUST1364"/>
    <s v="PROD70"/>
    <s v="STORE12"/>
    <n v="3"/>
    <n v="306.70999999999998"/>
    <n v="0.09"/>
    <s v="PayPal"/>
    <n v="837.31829999999991"/>
    <n v="445778.35033188469"/>
    <n v="446"/>
    <x v="399"/>
    <n v="0.15588565998155562"/>
    <n v="2.4976610437036229"/>
    <n v="473.104140561696"/>
    <n v="286.77957499999997"/>
    <x v="1"/>
  </r>
  <r>
    <s v="SALE680"/>
    <d v="2024-06-13T00:00:00"/>
    <s v="CUST1270"/>
    <s v="PROD25"/>
    <s v="STORE6"/>
    <n v="4"/>
    <n v="484.92"/>
    <n v="0.28000000000000003"/>
    <s v="PayPal"/>
    <n v="1396.5696"/>
    <n v="445778.35033188469"/>
    <n v="446"/>
    <x v="441"/>
    <n v="0.15593564910142024"/>
    <n v="2.4972799064074951"/>
    <n v="473.23038801280507"/>
    <n v="471.44240000000002"/>
    <x v="2"/>
  </r>
  <r>
    <s v="SALE681"/>
    <d v="2024-01-01T00:00:00"/>
    <s v="CUST1043"/>
    <s v="PROD50"/>
    <s v="STORE5"/>
    <n v="2"/>
    <n v="42.04"/>
    <n v="7.0000000000000007E-2"/>
    <s v="Credit Card"/>
    <n v="78.194399999999987"/>
    <n v="445778.35033188469"/>
    <n v="446"/>
    <x v="442"/>
    <n v="0.1558414468607987"/>
    <n v="2.4961388888724971"/>
    <n v="473.22151207355893"/>
    <n v="30.576099999999997"/>
    <x v="4"/>
  </r>
  <r>
    <s v="SALE682"/>
    <d v="2023-12-18T00:00:00"/>
    <s v="CUST1281"/>
    <s v="PROD55"/>
    <s v="STORE6"/>
    <n v="3"/>
    <n v="599.48"/>
    <n v="0.22"/>
    <s v="PayPal"/>
    <n v="1402.7832000000001"/>
    <n v="445700.15593188471"/>
    <n v="445"/>
    <x v="443"/>
    <n v="0.15590667592376284"/>
    <n v="2.4965158941072025"/>
    <n v="473.54915759945067"/>
    <n v="501.37080000000003"/>
    <x v="1"/>
  </r>
  <r>
    <s v="SALE683"/>
    <d v="2023-11-02T00:00:00"/>
    <s v="CUST1357"/>
    <s v="PROD17"/>
    <s v="STORE1"/>
    <n v="3"/>
    <n v="401.42"/>
    <n v="0.01"/>
    <s v="COD"/>
    <n v="1192.2174"/>
    <n v="445700.15593188471"/>
    <n v="445"/>
    <x v="444"/>
    <n v="0.15585793575336265"/>
    <n v="2.4961330164601359"/>
    <n v="473.45339270028666"/>
    <n v="399.16185000000002"/>
    <x v="3"/>
  </r>
  <r>
    <s v="SALE684"/>
    <d v="2025-09-07T00:00:00"/>
    <s v="CUST1192"/>
    <s v="PROD46"/>
    <s v="STORE8"/>
    <n v="4"/>
    <n v="442.54"/>
    <n v="0.06"/>
    <s v="Credit Card"/>
    <n v="1663.9503999999999"/>
    <n v="445700.15593188471"/>
    <n v="445"/>
    <x v="96"/>
    <n v="0.15596893874860873"/>
    <n v="2.4957495560464826"/>
    <n v="473.5082126338487"/>
    <n v="527.63760000000002"/>
    <x v="8"/>
  </r>
  <r>
    <s v="SALE685"/>
    <d v="2023-12-10T00:00:00"/>
    <s v="CUST1456"/>
    <s v="PROD88"/>
    <s v="STORE13"/>
    <n v="4"/>
    <n v="451.41"/>
    <n v="0.06"/>
    <s v="PayPal"/>
    <n v="1697.3016"/>
    <n v="444036.20553188474"/>
    <n v="444"/>
    <x v="66"/>
    <n v="0.15604203009571355"/>
    <n v="2.4946038969117126"/>
    <n v="473.53179847743877"/>
    <n v="538.19290000000001"/>
    <x v="1"/>
  </r>
  <r>
    <s v="SALE686"/>
    <d v="2025-10-12T00:00:00"/>
    <s v="CUST1265"/>
    <s v="PROD91"/>
    <s v="STORE9"/>
    <n v="4"/>
    <n v="547.21"/>
    <n v="0.25"/>
    <s v="Credit Card"/>
    <n v="1641.63"/>
    <n v="444036.20553188474"/>
    <n v="444"/>
    <x v="72"/>
    <n v="0.1561152328625548"/>
    <n v="2.4934564913453343"/>
    <n v="473.54865960432704"/>
    <n v="548.27250000000004"/>
    <x v="11"/>
  </r>
  <r>
    <s v="SALE687"/>
    <d v="2025-04-03T00:00:00"/>
    <s v="CUST1203"/>
    <s v="PROD87"/>
    <s v="STORE4"/>
    <n v="1"/>
    <n v="979.28"/>
    <n v="0.2"/>
    <s v="PayPal"/>
    <n v="783.42399999999998"/>
    <n v="442394.57553188474"/>
    <n v="443"/>
    <x v="178"/>
    <n v="0.15604361976786565"/>
    <n v="2.4923073353509371"/>
    <n v="473.49247246443718"/>
    <n v="440.976"/>
    <x v="10"/>
  </r>
  <r>
    <s v="SALE688"/>
    <d v="2024-01-09T00:00:00"/>
    <s v="CUST1464"/>
    <s v="PROD56"/>
    <s v="STORE7"/>
    <n v="4"/>
    <n v="263.58999999999997"/>
    <n v="0.04"/>
    <s v="Credit Card"/>
    <n v="1012.1856"/>
    <n v="442394.57553188474"/>
    <n v="443"/>
    <x v="217"/>
    <n v="0.15601006527913883"/>
    <n v="2.4934465012557845"/>
    <n v="473.10637511517336"/>
    <n v="319.95389999999998"/>
    <x v="4"/>
  </r>
  <r>
    <s v="SALE689"/>
    <d v="2025-08-07T00:00:00"/>
    <s v="CUST1002"/>
    <s v="PROD54"/>
    <s v="STORE5"/>
    <n v="1"/>
    <n v="692.75"/>
    <n v="0.11"/>
    <s v="COD"/>
    <n v="616.54750000000001"/>
    <n v="441382.38993188471"/>
    <n v="442"/>
    <x v="213"/>
    <n v="0.15609869023351558"/>
    <n v="2.4922955818526189"/>
    <n v="473.2664334613271"/>
    <n v="327.60187500000001"/>
    <x v="7"/>
  </r>
  <r>
    <s v="SALE690"/>
    <d v="2024-01-10T00:00:00"/>
    <s v="CUST1163"/>
    <s v="PROD63"/>
    <s v="STORE3"/>
    <n v="3"/>
    <n v="142.83000000000001"/>
    <n v="0.01"/>
    <s v="Credit Card"/>
    <n v="424.20510000000002"/>
    <n v="441382.38993188471"/>
    <n v="442"/>
    <x v="445"/>
    <n v="0.15613393388048311"/>
    <n v="2.4934364806155029"/>
    <n v="473.09863256947801"/>
    <n v="142.51127500000001"/>
    <x v="4"/>
  </r>
  <r>
    <s v="SALE691"/>
    <d v="2025-07-19T00:00:00"/>
    <s v="CUST1124"/>
    <s v="PROD22"/>
    <s v="STORE2"/>
    <n v="2"/>
    <n v="419.25"/>
    <n v="0.17"/>
    <s v="PayPal"/>
    <n v="695.95499999999993"/>
    <n v="440958.18483188469"/>
    <n v="441"/>
    <x v="446"/>
    <n v="0.15624574255215906"/>
    <n v="2.4930489033244667"/>
    <n v="473.35132471375454"/>
    <n v="279.34375"/>
    <x v="0"/>
  </r>
  <r>
    <s v="SALE692"/>
    <d v="2024-12-24T00:00:00"/>
    <s v="CUST1240"/>
    <s v="PROD26"/>
    <s v="STORE19"/>
    <n v="2"/>
    <n v="800.84"/>
    <n v="0.27"/>
    <s v="COD"/>
    <n v="1169.2264"/>
    <n v="440958.18483188469"/>
    <n v="441"/>
    <x v="447"/>
    <n v="0.15623521096146392"/>
    <n v="2.4934264292841331"/>
    <n v="473.39274992410196"/>
    <n v="493.08410000000003"/>
    <x v="1"/>
  </r>
  <r>
    <s v="SALE693"/>
    <d v="2024-08-16T00:00:00"/>
    <s v="CUST1001"/>
    <s v="PROD48"/>
    <s v="STORE2"/>
    <n v="1"/>
    <n v="301.24"/>
    <n v="0.11"/>
    <s v="PayPal"/>
    <n v="268.10359999999997"/>
    <n v="440958.18483188469"/>
    <n v="441"/>
    <x v="296"/>
    <n v="0.15614803487790949"/>
    <n v="2.493804533827646"/>
    <n v="473.14183249109357"/>
    <n v="142.61340000000001"/>
    <x v="7"/>
  </r>
  <r>
    <s v="SALE694"/>
    <d v="2024-07-24T00:00:00"/>
    <s v="CUST1288"/>
    <s v="PROD85"/>
    <s v="STORE5"/>
    <n v="2"/>
    <n v="701.49"/>
    <n v="0.09"/>
    <s v="PayPal"/>
    <n v="1276.7118"/>
    <n v="440958.18483188469"/>
    <n v="441"/>
    <x v="184"/>
    <n v="0.1561834244752085"/>
    <n v="2.4949500894517467"/>
    <n v="473.27365904975238"/>
    <n v="495.07294999999999"/>
    <x v="0"/>
  </r>
  <r>
    <s v="SALE695"/>
    <d v="2024-11-19T00:00:00"/>
    <s v="CUST1351"/>
    <s v="PROD26"/>
    <s v="STORE10"/>
    <n v="4"/>
    <n v="413.48"/>
    <n v="0.02"/>
    <s v="PayPal"/>
    <n v="1620.8416"/>
    <n v="440958.18483188469"/>
    <n v="441"/>
    <x v="250"/>
    <n v="0.15623421758685485"/>
    <n v="2.4953299437030529"/>
    <n v="473.09851220328261"/>
    <n v="509.58539999999999"/>
    <x v="3"/>
  </r>
  <r>
    <s v="SALE696"/>
    <d v="2024-03-14T00:00:00"/>
    <s v="CUST1197"/>
    <s v="PROD8"/>
    <s v="STORE1"/>
    <n v="4"/>
    <n v="167.83"/>
    <n v="0.15"/>
    <s v="Credit Card"/>
    <n v="570.62200000000007"/>
    <n v="440958.18483188469"/>
    <n v="441"/>
    <x v="425"/>
    <n v="0.1563388521625744"/>
    <n v="2.4941742831375406"/>
    <n v="473.14430215121132"/>
    <n v="185.65050000000002"/>
    <x v="9"/>
  </r>
  <r>
    <s v="SALE697"/>
    <d v="2025-06-24T00:00:00"/>
    <s v="CUST1139"/>
    <s v="PROD15"/>
    <s v="STORE18"/>
    <n v="2"/>
    <n v="669.12"/>
    <n v="0.22"/>
    <s v="Credit Card"/>
    <n v="1043.8271999999999"/>
    <n v="440387.56283188472"/>
    <n v="440"/>
    <x v="448"/>
    <n v="0.15634372445478237"/>
    <n v="2.4930168459992914"/>
    <n v="473.3789787862238"/>
    <n v="428.79179999999997"/>
    <x v="2"/>
  </r>
  <r>
    <s v="SALE698"/>
    <d v="2024-08-26T00:00:00"/>
    <s v="CUST1039"/>
    <s v="PROD37"/>
    <s v="STORE7"/>
    <n v="3"/>
    <n v="346.77"/>
    <n v="0.18"/>
    <s v="PayPal"/>
    <n v="853.05420000000004"/>
    <n v="439343.73563188477"/>
    <n v="439"/>
    <x v="89"/>
    <n v="0.15629475808897836"/>
    <n v="2.4933960897269829"/>
    <n v="473.22840876990551"/>
    <n v="300.75105000000002"/>
    <x v="7"/>
  </r>
  <r>
    <s v="SALE699"/>
    <d v="2025-10-09T00:00:00"/>
    <s v="CUST1059"/>
    <s v="PROD23"/>
    <s v="STORE19"/>
    <n v="3"/>
    <n v="648.33000000000004"/>
    <n v="0.2"/>
    <s v="COD"/>
    <n v="1555.992"/>
    <n v="439343.73563188477"/>
    <n v="439"/>
    <x v="328"/>
    <n v="0.15627650924993985"/>
    <n v="2.4930060944149948"/>
    <n v="473.325759354024"/>
    <n v="551.88049999999998"/>
    <x v="11"/>
  </r>
  <r>
    <s v="SALE700"/>
    <d v="2024-04-19T00:00:00"/>
    <s v="CUST1285"/>
    <s v="PROD6"/>
    <s v="STORE2"/>
    <n v="4"/>
    <n v="254.94"/>
    <n v="0.06"/>
    <s v="PayPal"/>
    <n v="958.57439999999997"/>
    <n v="439343.73563188477"/>
    <n v="439"/>
    <x v="410"/>
    <n v="0.15624282397201222"/>
    <n v="2.4926154981857302"/>
    <n v="473.19093328264819"/>
    <n v="304.39359999999999"/>
    <x v="10"/>
  </r>
  <r>
    <s v="SALE701"/>
    <d v="2024-05-08T00:00:00"/>
    <s v="CUST1338"/>
    <s v="PROD81"/>
    <s v="STORE4"/>
    <n v="1"/>
    <n v="445.5"/>
    <n v="0.28000000000000003"/>
    <s v="Credit Card"/>
    <n v="320.76"/>
    <n v="439343.73563188477"/>
    <n v="439"/>
    <x v="109"/>
    <n v="0.15631702815394899"/>
    <n v="2.4914532896261203"/>
    <n v="473.35920693976658"/>
    <n v="191.88499999999999"/>
    <x v="5"/>
  </r>
  <r>
    <s v="SALE702"/>
    <d v="2024-06-16T00:00:00"/>
    <s v="CUST1221"/>
    <s v="PROD90"/>
    <s v="STORE4"/>
    <n v="1"/>
    <n v="900.94"/>
    <n v="0.1"/>
    <s v="Credit Card"/>
    <n v="810.84600000000012"/>
    <n v="439022.97563188476"/>
    <n v="438"/>
    <x v="170"/>
    <n v="0.15622159376209249"/>
    <n v="2.4926041023495973"/>
    <n v="473.38070324141756"/>
    <n v="428.22150000000005"/>
    <x v="2"/>
  </r>
  <r>
    <s v="SALE703"/>
    <d v="2024-05-17T00:00:00"/>
    <s v="CUST1196"/>
    <s v="PROD15"/>
    <s v="STORE16"/>
    <n v="3"/>
    <n v="262.69"/>
    <n v="0.04"/>
    <s v="PayPal"/>
    <n v="756.54719999999986"/>
    <n v="438212.1296318848"/>
    <n v="437"/>
    <x v="449"/>
    <n v="0.15626500812020994"/>
    <n v="2.4937566923900216"/>
    <n v="473.05054162229902"/>
    <n v="255.56929999999997"/>
    <x v="5"/>
  </r>
  <r>
    <s v="SALE704"/>
    <d v="2024-04-04T00:00:00"/>
    <s v="CUST1482"/>
    <s v="PROD68"/>
    <s v="STORE2"/>
    <n v="3"/>
    <n v="212.72"/>
    <n v="0.22"/>
    <s v="PayPal"/>
    <n v="497.76479999999998"/>
    <n v="438212.1296318848"/>
    <n v="437"/>
    <x v="239"/>
    <n v="0.15635485743096744"/>
    <n v="2.4933654688138165"/>
    <n v="473.2131077286532"/>
    <n v="178.42619999999999"/>
    <x v="10"/>
  </r>
  <r>
    <s v="SALE705"/>
    <d v="2025-05-26T00:00:00"/>
    <s v="CUST1151"/>
    <s v="PROD24"/>
    <s v="STORE18"/>
    <n v="4"/>
    <n v="757.9"/>
    <n v="0.22"/>
    <s v="PayPal"/>
    <n v="2364.6480000000001"/>
    <n v="438212.1296318848"/>
    <n v="437"/>
    <x v="225"/>
    <n v="0.15630563458288621"/>
    <n v="2.4929736400967348"/>
    <n v="473.41457184909302"/>
    <n v="781.69200000000001"/>
    <x v="5"/>
  </r>
  <r>
    <s v="SALE706"/>
    <d v="2024-02-24T00:00:00"/>
    <s v="CUST1017"/>
    <s v="PROD80"/>
    <s v="STORE17"/>
    <n v="1"/>
    <n v="846.04"/>
    <n v="0.08"/>
    <s v="PayPal"/>
    <n v="778.35680000000002"/>
    <n v="438212.1296318848"/>
    <n v="437"/>
    <x v="360"/>
    <n v="0.15625633553844573"/>
    <n v="2.4918072110256029"/>
    <n v="473.19438188922391"/>
    <n v="406.36919999999998"/>
    <x v="6"/>
  </r>
  <r>
    <s v="SALE707"/>
    <d v="2023-12-07T00:00:00"/>
    <s v="CUST1159"/>
    <s v="PROD38"/>
    <s v="STORE7"/>
    <n v="3"/>
    <n v="179.7"/>
    <n v="0.17"/>
    <s v="COD"/>
    <n v="447.45299999999992"/>
    <n v="438212.1296318848"/>
    <n v="437"/>
    <x v="157"/>
    <n v="0.15631540318797202"/>
    <n v="2.4929627549535853"/>
    <n v="472.90557815714743"/>
    <n v="157.58074999999997"/>
    <x v="1"/>
  </r>
  <r>
    <s v="SALE708"/>
    <d v="2024-10-07T00:00:00"/>
    <s v="CUST1446"/>
    <s v="PROD31"/>
    <s v="STORE4"/>
    <n v="4"/>
    <n v="681.08"/>
    <n v="0.15"/>
    <s v="PayPal"/>
    <n v="2724.32"/>
    <n v="438212.1296318848"/>
    <n v="437"/>
    <x v="423"/>
    <n v="0.15630479497338903"/>
    <n v="2.4925697028256426"/>
    <n v="473.13286930300563"/>
    <n v="852.38750000000005"/>
    <x v="11"/>
  </r>
  <r>
    <s v="SALE709"/>
    <d v="2023-11-22T00:00:00"/>
    <s v="CUST1403"/>
    <s v="PROD4"/>
    <s v="STORE7"/>
    <n v="4"/>
    <n v="723.44"/>
    <n v="0.14000000000000001"/>
    <s v="PayPal"/>
    <n v="2488.6336000000001"/>
    <n v="438212.1296318848"/>
    <n v="437"/>
    <x v="336"/>
    <n v="0.15630968620300378"/>
    <n v="2.4914002456517288"/>
    <n v="472.9715449192222"/>
    <n v="804.05340000000001"/>
    <x v="3"/>
  </r>
  <r>
    <s v="SALE710"/>
    <d v="2025-10-09T00:00:00"/>
    <s v="CUST1126"/>
    <s v="PROD31"/>
    <s v="STORE14"/>
    <n v="4"/>
    <n v="471.89"/>
    <n v="0.12"/>
    <s v="COD"/>
    <n v="1661.0527999999999"/>
    <n v="438212.1296318848"/>
    <n v="437"/>
    <x v="328"/>
    <n v="0.1563223490028508"/>
    <n v="2.4902289725505269"/>
    <n v="472.77708183297926"/>
    <n v="534.26569999999992"/>
    <x v="11"/>
  </r>
  <r>
    <s v="SALE711"/>
    <d v="2024-09-24T00:00:00"/>
    <s v="CUST1366"/>
    <s v="PROD71"/>
    <s v="STORE17"/>
    <n v="1"/>
    <n v="613.17999999999995"/>
    <n v="0.14000000000000001"/>
    <s v="COD"/>
    <n v="527.33479999999997"/>
    <n v="438212.1296318848"/>
    <n v="437"/>
    <x v="204"/>
    <n v="0.15635057149624851"/>
    <n v="2.4890558792891051"/>
    <n v="472.77777109625282"/>
    <n v="285.41369999999995"/>
    <x v="8"/>
  </r>
  <r>
    <s v="SALE712"/>
    <d v="2023-10-30T00:00:00"/>
    <s v="CUST1051"/>
    <s v="PROD43"/>
    <s v="STORE4"/>
    <n v="1"/>
    <n v="651.30999999999995"/>
    <n v="0.24"/>
    <s v="PayPal"/>
    <n v="494.99560000000002"/>
    <n v="438212.1296318848"/>
    <n v="437"/>
    <x v="365"/>
    <n v="0.15636328578201544"/>
    <n v="2.490213776551383"/>
    <n v="472.66859362432137"/>
    <n v="286.88639999999998"/>
    <x v="11"/>
  </r>
  <r>
    <s v="SALE713"/>
    <d v="2024-02-11T00:00:00"/>
    <s v="CUST1024"/>
    <s v="PROD3"/>
    <s v="STORE6"/>
    <n v="2"/>
    <n v="635.14"/>
    <n v="0.1"/>
    <s v="COD"/>
    <n v="1143.252"/>
    <n v="438212.1296318848"/>
    <n v="437"/>
    <x v="348"/>
    <n v="0.15629819884488083"/>
    <n v="2.4913734759883877"/>
    <n v="472.52957307461276"/>
    <n v="445.12299999999999"/>
    <x v="6"/>
  </r>
  <r>
    <s v="SALE714"/>
    <d v="2025-04-05T00:00:00"/>
    <s v="CUST1380"/>
    <s v="PROD98"/>
    <s v="STORE14"/>
    <n v="4"/>
    <n v="912.61"/>
    <n v="0.14000000000000001"/>
    <s v="Credit Card"/>
    <n v="3139.3784000000001"/>
    <n v="438212.1296318848"/>
    <n v="437"/>
    <x v="385"/>
    <n v="0.15634204479413696"/>
    <n v="2.4917561656114318"/>
    <n v="472.40292943993563"/>
    <n v="1014.0321"/>
    <x v="10"/>
  </r>
  <r>
    <s v="SALE715"/>
    <d v="2025-05-18T00:00:00"/>
    <s v="CUST1274"/>
    <s v="PROD47"/>
    <s v="STORE7"/>
    <n v="3"/>
    <n v="79.77"/>
    <n v="0.09"/>
    <s v="Credit Card"/>
    <n v="217.77209999999999"/>
    <n v="435072.75123188476"/>
    <n v="436"/>
    <x v="156"/>
    <n v="0.15635478216342311"/>
    <n v="2.4905806053352131"/>
    <n v="472.0598218245342"/>
    <n v="75.158024999999995"/>
    <x v="5"/>
  </r>
  <r>
    <s v="SALE716"/>
    <d v="2025-04-08T00:00:00"/>
    <s v="CUST1277"/>
    <s v="PROD94"/>
    <s v="STORE15"/>
    <n v="4"/>
    <n v="603.52"/>
    <n v="0.25"/>
    <s v="Credit Card"/>
    <n v="1810.56"/>
    <n v="434854.97913188481"/>
    <n v="435"/>
    <x v="82"/>
    <n v="0.15640654096386261"/>
    <n v="2.4901832423128538"/>
    <n v="472.36582012548934"/>
    <n v="604.58249999999998"/>
    <x v="10"/>
  </r>
  <r>
    <s v="SALE717"/>
    <d v="2024-11-29T00:00:00"/>
    <s v="CUST1077"/>
    <s v="PROD77"/>
    <s v="STORE12"/>
    <n v="4"/>
    <n v="453.12"/>
    <n v="0.23"/>
    <s v="COD"/>
    <n v="1395.6096"/>
    <n v="433044.41913188488"/>
    <n v="434"/>
    <x v="450"/>
    <n v="0.15633347815431056"/>
    <n v="2.489004618770553"/>
    <n v="472.26343591013062"/>
    <n v="463.23990000000003"/>
    <x v="3"/>
  </r>
  <r>
    <s v="SALE718"/>
    <d v="2024-12-30T00:00:00"/>
    <s v="CUST1497"/>
    <s v="PROD33"/>
    <s v="STORE9"/>
    <n v="2"/>
    <n v="974.35"/>
    <n v="0.15"/>
    <s v="Credit Card"/>
    <n v="1656.395"/>
    <n v="433044.41913188488"/>
    <n v="434"/>
    <x v="361"/>
    <n v="0.15627592618411862"/>
    <n v="2.4878241536289676"/>
    <n v="472.27839171943543"/>
    <n v="658.22375"/>
    <x v="1"/>
  </r>
  <r>
    <s v="SALE719"/>
    <d v="2025-06-16T00:00:00"/>
    <s v="CUST1476"/>
    <s v="PROD95"/>
    <s v="STORE17"/>
    <n v="4"/>
    <n v="52.35"/>
    <n v="0.23"/>
    <s v="COD"/>
    <n v="161.238"/>
    <n v="431388.0241318848"/>
    <n v="433"/>
    <x v="317"/>
    <n v="0.15628083308496626"/>
    <n v="2.4882055642260186"/>
    <n v="471.88584159568205"/>
    <n v="54.454499999999996"/>
    <x v="2"/>
  </r>
  <r>
    <s v="SALE720"/>
    <d v="2025-06-16T00:00:00"/>
    <s v="CUST1370"/>
    <s v="PROD65"/>
    <s v="STORE17"/>
    <n v="3"/>
    <n v="681.58"/>
    <n v="0.23"/>
    <s v="Credit Card"/>
    <n v="1574.4498000000001"/>
    <n v="431388.0241318848"/>
    <n v="433"/>
    <x v="317"/>
    <n v="0.15622314985576827"/>
    <n v="2.4870226264828466"/>
    <n v="472.21411690209499"/>
    <n v="564.81495000000007"/>
    <x v="2"/>
  </r>
  <r>
    <s v="SALE721"/>
    <d v="2024-04-02T00:00:00"/>
    <s v="CUST1177"/>
    <s v="PROD83"/>
    <s v="STORE15"/>
    <n v="3"/>
    <n v="71.23"/>
    <n v="0.03"/>
    <s v="Credit Card"/>
    <n v="207.27930000000001"/>
    <n v="429813.5743318848"/>
    <n v="432"/>
    <x v="393"/>
    <n v="0.15616537628478611"/>
    <n v="2.4866209214135302"/>
    <n v="472.05016554493136"/>
    <n v="70.384825000000006"/>
    <x v="10"/>
  </r>
  <r>
    <s v="SALE722"/>
    <d v="2024-03-28T00:00:00"/>
    <s v="CUST1241"/>
    <s v="PROD15"/>
    <s v="STORE14"/>
    <n v="1"/>
    <n v="31.36"/>
    <n v="0.21"/>
    <s v="COD"/>
    <n v="24.7744"/>
    <n v="429606.2950318848"/>
    <n v="431"/>
    <x v="411"/>
    <n v="0.15626425197152968"/>
    <n v="2.4862185867124436"/>
    <n v="472.36428793172206"/>
    <n v="14.3361"/>
    <x v="9"/>
  </r>
  <r>
    <s v="SALE723"/>
    <d v="2025-01-17T00:00:00"/>
    <s v="CUST1341"/>
    <s v="PROD41"/>
    <s v="STORE13"/>
    <n v="2"/>
    <n v="555.54999999999995"/>
    <n v="0.14000000000000001"/>
    <s v="Credit Card"/>
    <n v="955.54599999999994"/>
    <n v="429606.2950318848"/>
    <n v="431"/>
    <x v="116"/>
    <n v="0.15622210628680144"/>
    <n v="2.4873842483490809"/>
    <n v="472.71017364774696"/>
    <n v="378.30899999999997"/>
    <x v="4"/>
  </r>
  <r>
    <s v="SALE724"/>
    <d v="2025-04-13T00:00:00"/>
    <s v="CUST1251"/>
    <s v="PROD66"/>
    <s v="STORE16"/>
    <n v="4"/>
    <n v="805.99"/>
    <n v="0.06"/>
    <s v="Credit Card"/>
    <n v="3030.5223999999998"/>
    <n v="428650.74903188477"/>
    <n v="430"/>
    <x v="451"/>
    <n v="0.15623483949424793"/>
    <n v="2.4877668105534365"/>
    <n v="472.64515023616741"/>
    <n v="960.1431"/>
    <x v="10"/>
  </r>
  <r>
    <s v="SALE725"/>
    <d v="2024-07-01T00:00:00"/>
    <s v="CUST1388"/>
    <s v="PROD71"/>
    <s v="STORE1"/>
    <n v="1"/>
    <n v="506.55"/>
    <n v="0.28000000000000003"/>
    <s v="Credit Card"/>
    <n v="364.71600000000001"/>
    <n v="425620.22663188481"/>
    <n v="429"/>
    <x v="452"/>
    <n v="0.15631043638308867"/>
    <n v="2.4865788818892991"/>
    <n v="472.38329253800271"/>
    <n v="218.13650000000001"/>
    <x v="0"/>
  </r>
  <r>
    <s v="SALE726"/>
    <d v="2024-12-14T00:00:00"/>
    <s v="CUST1130"/>
    <s v="PROD41"/>
    <s v="STORE11"/>
    <n v="3"/>
    <n v="28.69"/>
    <n v="0.02"/>
    <s v="Credit Card"/>
    <n v="84.348600000000005"/>
    <n v="425255.5106318848"/>
    <n v="428"/>
    <x v="182"/>
    <n v="0.15621319616011939"/>
    <n v="2.487747575978835"/>
    <n v="472.35643191892876"/>
    <n v="29.014650000000003"/>
    <x v="1"/>
  </r>
  <r>
    <s v="SALE727"/>
    <d v="2023-11-23T00:00:00"/>
    <s v="CUST1387"/>
    <s v="PROD76"/>
    <s v="STORE4"/>
    <n v="1"/>
    <n v="106.07"/>
    <n v="0.23"/>
    <s v="COD"/>
    <n v="81.673900000000003"/>
    <n v="425171.16203188477"/>
    <n v="427"/>
    <x v="205"/>
    <n v="0.15632036625937992"/>
    <n v="2.4873445449607217"/>
    <n v="472.70550070879409"/>
    <n v="47.243475000000004"/>
    <x v="3"/>
  </r>
  <r>
    <s v="SALE728"/>
    <d v="2023-10-26T00:00:00"/>
    <s v="CUST1260"/>
    <s v="PROD91"/>
    <s v="STORE0"/>
    <n v="4"/>
    <n v="289.77"/>
    <n v="0.06"/>
    <s v="PayPal"/>
    <n v="1089.5352"/>
    <n v="425171.16203188477"/>
    <n v="427"/>
    <x v="189"/>
    <n v="0.15626235079974163"/>
    <n v="2.4885156823976993"/>
    <n v="472.99419007943101"/>
    <n v="345.84129999999999"/>
    <x v="11"/>
  </r>
  <r>
    <s v="SALE729"/>
    <d v="2023-12-03T00:00:00"/>
    <s v="CUST1156"/>
    <s v="PROD83"/>
    <s v="STORE18"/>
    <n v="2"/>
    <n v="354.26"/>
    <n v="0.01"/>
    <s v="COD"/>
    <n v="701.4348"/>
    <n v="425171.16203188477"/>
    <n v="427"/>
    <x v="453"/>
    <n v="0.15633820765616382"/>
    <n v="2.4873245994051048"/>
    <n v="473.13857478398529"/>
    <n v="264.42619999999999"/>
    <x v="1"/>
  </r>
  <r>
    <s v="SALE730"/>
    <d v="2024-09-19T00:00:00"/>
    <s v="CUST1385"/>
    <s v="PROD68"/>
    <s v="STORE14"/>
    <n v="1"/>
    <n v="522.72"/>
    <n v="0.25"/>
    <s v="PayPal"/>
    <n v="392.04"/>
    <n v="425171.16203188477"/>
    <n v="427"/>
    <x v="110"/>
    <n v="0.15645361633728067"/>
    <n v="2.4877089247989574"/>
    <n v="473.23232760321559"/>
    <n v="229.0025"/>
    <x v="8"/>
  </r>
  <r>
    <s v="SALE731"/>
    <d v="2024-10-04T00:00:00"/>
    <s v="CUST1057"/>
    <s v="PROD5"/>
    <s v="STORE9"/>
    <n v="3"/>
    <n v="966.02"/>
    <n v="0.03"/>
    <s v="COD"/>
    <n v="2811.1181999999999"/>
    <n v="425171.16203188477"/>
    <n v="427"/>
    <x v="368"/>
    <n v="0.15637978335885705"/>
    <n v="2.4888831228453654"/>
    <n v="473.19326866683298"/>
    <n v="945.04205000000002"/>
    <x v="11"/>
  </r>
  <r>
    <s v="SALE732"/>
    <d v="2023-10-18T00:00:00"/>
    <s v="CUST1224"/>
    <s v="PROD50"/>
    <s v="STORE17"/>
    <n v="1"/>
    <n v="498.61"/>
    <n v="0.04"/>
    <s v="PayPal"/>
    <n v="478.66559999999998"/>
    <n v="425171.16203188477"/>
    <n v="427"/>
    <x v="30"/>
    <n v="0.1564796094120631"/>
    <n v="2.4884793970340269"/>
    <n v="472.80399004808635"/>
    <n v="244.5789"/>
    <x v="11"/>
  </r>
  <r>
    <s v="SALE733"/>
    <d v="2025-05-06T00:00:00"/>
    <s v="CUST1330"/>
    <s v="PROD42"/>
    <s v="STORE6"/>
    <n v="4"/>
    <n v="758.27"/>
    <n v="0.05"/>
    <s v="PayPal"/>
    <n v="2881.4259999999999"/>
    <n v="425171.16203188477"/>
    <n v="427"/>
    <x v="454"/>
    <n v="0.15657168815468134"/>
    <n v="2.4896560605889944"/>
    <n v="472.78359004021917"/>
    <n v="910.93650000000002"/>
    <x v="5"/>
  </r>
  <r>
    <s v="SALE734"/>
    <d v="2024-03-20T00:00:00"/>
    <s v="CUST1198"/>
    <s v="PROD3"/>
    <s v="STORE2"/>
    <n v="2"/>
    <n v="371.03"/>
    <n v="0.23"/>
    <s v="PayPal"/>
    <n v="571.38619999999992"/>
    <n v="425171.16203188477"/>
    <n v="427"/>
    <x v="160"/>
    <n v="0.1566560011991075"/>
    <n v="2.4884611682318658"/>
    <n v="472.55773053866881"/>
    <n v="236.16154999999998"/>
    <x v="9"/>
  </r>
  <r>
    <s v="SALE735"/>
    <d v="2024-06-10T00:00:00"/>
    <s v="CUST1355"/>
    <s v="PROD91"/>
    <s v="STORE17"/>
    <n v="1"/>
    <n v="230.32"/>
    <n v="0.05"/>
    <s v="COD"/>
    <n v="218.804"/>
    <n v="425171.16203188477"/>
    <n v="427"/>
    <x v="95"/>
    <n v="0.15659792994114957"/>
    <n v="2.4888479150000622"/>
    <n v="472.63811670694957"/>
    <n v="112.54349999999999"/>
    <x v="2"/>
  </r>
  <r>
    <s v="SALE736"/>
    <d v="2024-08-22T00:00:00"/>
    <s v="CUST1342"/>
    <s v="PROD61"/>
    <s v="STORE6"/>
    <n v="2"/>
    <n v="985.43"/>
    <n v="0.28000000000000003"/>
    <s v="COD"/>
    <n v="1419.0192"/>
    <n v="425171.16203188477"/>
    <n v="427"/>
    <x v="455"/>
    <n v="0.15668239739752132"/>
    <n v="2.4900276677060837"/>
    <n v="472.83012789292968"/>
    <n v="601.68229999999994"/>
    <x v="7"/>
  </r>
  <r>
    <s v="SALE737"/>
    <d v="2025-04-09T00:00:00"/>
    <s v="CUST1422"/>
    <s v="PROD9"/>
    <s v="STORE4"/>
    <n v="2"/>
    <n v="492.5"/>
    <n v="0.3"/>
    <s v="PayPal"/>
    <n v="689.5"/>
    <n v="425171.16203188477"/>
    <n v="427"/>
    <x v="131"/>
    <n v="0.15658460389823306"/>
    <n v="2.4904162701388408"/>
    <n v="472.42362521877652"/>
    <n v="296.07499999999999"/>
    <x v="10"/>
  </r>
  <r>
    <s v="SALE738"/>
    <d v="2024-12-31T00:00:00"/>
    <s v="CUST1364"/>
    <s v="PROD46"/>
    <s v="STORE11"/>
    <n v="2"/>
    <n v="213.69"/>
    <n v="0.28000000000000003"/>
    <s v="PayPal"/>
    <n v="307.71359999999999"/>
    <n v="425171.16203188477"/>
    <n v="427"/>
    <x v="88"/>
    <n v="0.15647078215529517"/>
    <n v="2.4908054894008558"/>
    <n v="472.40769158799776"/>
    <n v="130.92089999999999"/>
    <x v="1"/>
  </r>
  <r>
    <s v="SALE739"/>
    <d v="2025-02-28T00:00:00"/>
    <s v="CUST1065"/>
    <s v="PROD20"/>
    <s v="STORE8"/>
    <n v="4"/>
    <n v="618.83000000000004"/>
    <n v="0.08"/>
    <s v="PayPal"/>
    <n v="2277.2944000000002"/>
    <n v="425171.16203188477"/>
    <n v="427"/>
    <x v="59"/>
    <n v="0.15637266522293239"/>
    <n v="2.4911953269619369"/>
    <n v="472.61318618020431"/>
    <n v="725.05110000000013"/>
    <x v="6"/>
  </r>
  <r>
    <s v="SALE740"/>
    <d v="2024-01-22T00:00:00"/>
    <s v="CUST1093"/>
    <s v="PROD59"/>
    <s v="STORE11"/>
    <n v="2"/>
    <n v="81.16"/>
    <n v="0.16"/>
    <s v="PayPal"/>
    <n v="136.34880000000001"/>
    <n v="425171.16203188477"/>
    <n v="427"/>
    <x v="154"/>
    <n v="0.15643337481372965"/>
    <n v="2.4899959591773277"/>
    <n v="472.49695659847163"/>
    <n v="54.917200000000001"/>
    <x v="4"/>
  </r>
  <r>
    <s v="SALE741"/>
    <d v="2024-03-21T00:00:00"/>
    <s v="CUST1002"/>
    <s v="PROD86"/>
    <s v="STORE9"/>
    <n v="1"/>
    <n v="431.69"/>
    <n v="0.09"/>
    <s v="Credit Card"/>
    <n v="392.83789999999999"/>
    <n v="425171.16203188477"/>
    <n v="427"/>
    <x v="364"/>
    <n v="0.15643053740308027"/>
    <n v="2.4903857729873335"/>
    <n v="472.80828273737251"/>
    <n v="206.40447499999999"/>
    <x v="9"/>
  </r>
  <r>
    <s v="SALE742"/>
    <d v="2024-12-22T00:00:00"/>
    <s v="CUST1405"/>
    <s v="PROD18"/>
    <s v="STORE5"/>
    <n v="3"/>
    <n v="438.65"/>
    <n v="0.28999999999999998"/>
    <s v="PayPal"/>
    <n v="934.32449999999983"/>
    <n v="424778.32413188473"/>
    <n v="426"/>
    <x v="221"/>
    <n v="0.1564834279583375"/>
    <n v="2.4915723858639161"/>
    <n v="472.84102022362845"/>
    <n v="344.06612499999994"/>
    <x v="1"/>
  </r>
  <r>
    <s v="SALE743"/>
    <d v="2024-04-02T00:00:00"/>
    <s v="CUST1172"/>
    <s v="PROD79"/>
    <s v="STORE3"/>
    <n v="3"/>
    <n v="339.41"/>
    <n v="0.26"/>
    <s v="Credit Card"/>
    <n v="753.49019999999996"/>
    <n v="424778.32413188473"/>
    <n v="426"/>
    <x v="393"/>
    <n v="0.1563770402515314"/>
    <n v="2.491167264259027"/>
    <n v="472.86826406444396"/>
    <n v="274.04005000000001"/>
    <x v="10"/>
  </r>
  <r>
    <s v="SALE744"/>
    <d v="2025-01-30T00:00:00"/>
    <s v="CUST1470"/>
    <s v="PROD79"/>
    <s v="STORE9"/>
    <n v="4"/>
    <n v="848.47"/>
    <n v="0.21"/>
    <s v="COD"/>
    <n v="2681.1651999999999"/>
    <n v="424024.83393188473"/>
    <n v="425"/>
    <x v="456"/>
    <n v="0.15629440631233801"/>
    <n v="2.4907614965271758"/>
    <n v="472.97469011234222"/>
    <n v="883.46129999999994"/>
    <x v="4"/>
  </r>
  <r>
    <s v="SALE745"/>
    <d v="2025-03-31T00:00:00"/>
    <s v="CUST1192"/>
    <s v="PROD67"/>
    <s v="STORE8"/>
    <n v="1"/>
    <n v="664.87"/>
    <n v="0.08"/>
    <s v="PayPal"/>
    <n v="611.68040000000008"/>
    <n v="424024.83393188473"/>
    <n v="425"/>
    <x v="457"/>
    <n v="0.15625154470524491"/>
    <n v="2.4895569965244047"/>
    <n v="472.67501308928752"/>
    <n v="319.4076"/>
    <x v="9"/>
  </r>
  <r>
    <s v="SALE746"/>
    <d v="2025-01-30T00:00:00"/>
    <s v="CUST1099"/>
    <s v="PROD24"/>
    <s v="STORE7"/>
    <n v="1"/>
    <n v="412.11"/>
    <n v="0.23"/>
    <s v="PayPal"/>
    <n v="317.32470000000001"/>
    <n v="424024.83393188473"/>
    <n v="425"/>
    <x v="456"/>
    <n v="0.15631244849494558"/>
    <n v="2.490746738534408"/>
    <n v="472.52150271635566"/>
    <n v="182.66617500000001"/>
    <x v="4"/>
  </r>
  <r>
    <s v="SALE747"/>
    <d v="2025-09-16T00:00:00"/>
    <s v="CUST1122"/>
    <s v="PROD94"/>
    <s v="STORE1"/>
    <n v="1"/>
    <n v="126.09"/>
    <n v="0.05"/>
    <s v="COD"/>
    <n v="119.7855"/>
    <n v="424024.83393188473"/>
    <n v="425"/>
    <x v="120"/>
    <n v="0.15625354557607662"/>
    <n v="2.4919383826099746"/>
    <n v="472.56979328607292"/>
    <n v="61.731375"/>
    <x v="8"/>
  </r>
  <r>
    <s v="SALE748"/>
    <d v="2025-09-17T00:00:00"/>
    <s v="CUST1198"/>
    <s v="PROD67"/>
    <s v="STORE10"/>
    <n v="4"/>
    <n v="602.39"/>
    <n v="0.19"/>
    <s v="COD"/>
    <n v="1951.7436"/>
    <n v="424024.83393188473"/>
    <n v="425"/>
    <x v="207"/>
    <n v="0.1563385484125375"/>
    <n v="2.4931319333160626"/>
    <n v="472.84697712070181"/>
    <n v="639.58090000000004"/>
    <x v="8"/>
  </r>
  <r>
    <s v="SALE749"/>
    <d v="2025-10-11T00:00:00"/>
    <s v="CUST1325"/>
    <s v="PROD82"/>
    <s v="STORE3"/>
    <n v="3"/>
    <n v="447.69"/>
    <n v="0.02"/>
    <s v="COD"/>
    <n v="1316.2085999999999"/>
    <n v="424024.83393188473"/>
    <n v="425"/>
    <x v="458"/>
    <n v="0.15631159769069003"/>
    <n v="2.4919254736950189"/>
    <n v="472.74325972848453"/>
    <n v="441.72964999999999"/>
    <x v="11"/>
  </r>
  <r>
    <s v="SALE750"/>
    <d v="2025-05-01T00:00:00"/>
    <s v="CUST1248"/>
    <s v="PROD34"/>
    <s v="STORE3"/>
    <n v="3"/>
    <n v="35.159999999999997"/>
    <n v="0.04"/>
    <s v="COD"/>
    <n v="101.2608"/>
    <n v="424024.83393188473"/>
    <n v="425"/>
    <x v="428"/>
    <n v="0.15642082172730115"/>
    <n v="2.4915183626963771"/>
    <n v="472.76333445583117"/>
    <n v="34.865200000000002"/>
    <x v="5"/>
  </r>
  <r>
    <s v="SALE751"/>
    <d v="2025-03-24T00:00:00"/>
    <s v="CUST1330"/>
    <s v="PROD72"/>
    <s v="STORE11"/>
    <n v="2"/>
    <n v="838.59"/>
    <n v="0.18"/>
    <s v="COD"/>
    <n v="1375.2876000000001"/>
    <n v="424024.83393188473"/>
    <n v="425"/>
    <x v="459"/>
    <n v="0.15651418245041848"/>
    <n v="2.4911105987530702"/>
    <n v="473.1142593431253"/>
    <n v="554.01440000000002"/>
    <x v="9"/>
  </r>
  <r>
    <s v="SALE752"/>
    <d v="2024-11-02T00:00:00"/>
    <s v="CUST1089"/>
    <s v="PROD59"/>
    <s v="STORE6"/>
    <n v="4"/>
    <n v="867.94"/>
    <n v="0.26"/>
    <s v="PayPal"/>
    <n v="2569.1024000000002"/>
    <n v="424024.83393188473"/>
    <n v="425"/>
    <x v="118"/>
    <n v="0.15649533347967243"/>
    <n v="2.4915047485112987"/>
    <n v="472.820940129115"/>
    <n v="860.32560000000012"/>
    <x v="3"/>
  </r>
  <r>
    <s v="SALE753"/>
    <d v="2024-10-26T00:00:00"/>
    <s v="CUST1196"/>
    <s v="PROD39"/>
    <s v="STORE17"/>
    <n v="1"/>
    <n v="623.88"/>
    <n v="0.25"/>
    <s v="Credit Card"/>
    <n v="467.91"/>
    <n v="424024.83393188473"/>
    <n v="425"/>
    <x v="341"/>
    <n v="0.15641219720134286"/>
    <n v="2.4902931057390187"/>
    <n v="472.50357542239141"/>
    <n v="273.26"/>
    <x v="11"/>
  </r>
  <r>
    <s v="SALE754"/>
    <d v="2024-09-11T00:00:00"/>
    <s v="CUST1177"/>
    <s v="PROD42"/>
    <s v="STORE14"/>
    <n v="2"/>
    <n v="567.95000000000005"/>
    <n v="0.12"/>
    <s v="PayPal"/>
    <n v="999.5920000000001"/>
    <n v="423556.9239318847"/>
    <n v="424"/>
    <x v="460"/>
    <n v="0.15633696584861081"/>
    <n v="2.4914910905507059"/>
    <n v="472.38189019363131"/>
    <n v="392.41550000000007"/>
    <x v="8"/>
  </r>
  <r>
    <s v="SALE755"/>
    <d v="2024-07-10T00:00:00"/>
    <s v="CUST1323"/>
    <s v="PROD31"/>
    <s v="STORE18"/>
    <n v="2"/>
    <n v="671.69"/>
    <n v="0.19"/>
    <s v="Credit Card"/>
    <n v="1088.1378"/>
    <n v="423556.9239318847"/>
    <n v="424"/>
    <x v="231"/>
    <n v="0.15636619912765232"/>
    <n v="2.4918864977032005"/>
    <n v="472.30500514953923"/>
    <n v="440.50445000000002"/>
    <x v="0"/>
  </r>
  <r>
    <s v="SALE756"/>
    <d v="2025-05-09T00:00:00"/>
    <s v="CUST1206"/>
    <s v="PROD6"/>
    <s v="STORE7"/>
    <n v="2"/>
    <n v="257.95999999999998"/>
    <n v="0.21"/>
    <s v="PayPal"/>
    <n v="407.57679999999999"/>
    <n v="422468.78613188473"/>
    <n v="423"/>
    <x v="461"/>
    <n v="0.15633911877268264"/>
    <n v="2.4922825415821883"/>
    <n v="472.14446972695436"/>
    <n v="166.93669999999997"/>
    <x v="5"/>
  </r>
  <r>
    <s v="SALE757"/>
    <d v="2024-07-02T00:00:00"/>
    <s v="CUST1204"/>
    <s v="PROD98"/>
    <s v="STORE19"/>
    <n v="4"/>
    <n v="281.48"/>
    <n v="0.27"/>
    <s v="PayPal"/>
    <n v="821.92160000000001"/>
    <n v="422468.78613188473"/>
    <n v="423"/>
    <x v="235"/>
    <n v="0.1562958787394616"/>
    <n v="2.492679223726896"/>
    <n v="472.31705995235876"/>
    <n v="276.91790000000003"/>
    <x v="0"/>
  </r>
  <r>
    <s v="SALE758"/>
    <d v="2024-06-27T00:00:00"/>
    <s v="CUST1316"/>
    <s v="PROD20"/>
    <s v="STORE11"/>
    <n v="1"/>
    <n v="202.13"/>
    <n v="0.13"/>
    <s v="COD"/>
    <n v="175.85310000000001"/>
    <n v="422468.78613188473"/>
    <n v="423"/>
    <x v="462"/>
    <n v="0.15620418186747728"/>
    <n v="2.4914636424557082"/>
    <n v="472.47096080715909"/>
    <n v="94.778275000000008"/>
    <x v="2"/>
  </r>
  <r>
    <s v="SALE759"/>
    <d v="2023-11-13T00:00:00"/>
    <s v="CUST1271"/>
    <s v="PROD74"/>
    <s v="STORE5"/>
    <n v="1"/>
    <n v="370.66"/>
    <n v="0.01"/>
    <s v="PayPal"/>
    <n v="366.95339999999999"/>
    <n v="422468.78613188473"/>
    <n v="423"/>
    <x v="463"/>
    <n v="0.15622533132822583"/>
    <n v="2.4926674064932031"/>
    <n v="472.68915367302441"/>
    <n v="184.65584999999999"/>
    <x v="3"/>
  </r>
  <r>
    <s v="SALE760"/>
    <d v="2024-02-19T00:00:00"/>
    <s v="CUST1005"/>
    <s v="PROD61"/>
    <s v="STORE12"/>
    <n v="4"/>
    <n v="731.53"/>
    <n v="0.12"/>
    <s v="Credit Card"/>
    <n v="2574.9856"/>
    <n v="422468.78613188473"/>
    <n v="423"/>
    <x v="464"/>
    <n v="0.15634344548923412"/>
    <n v="2.4938731152221956"/>
    <n v="472.77156817518363"/>
    <n v="827.65890000000002"/>
    <x v="6"/>
  </r>
  <r>
    <s v="SALE761"/>
    <d v="2024-03-20T00:00:00"/>
    <s v="CUST1165"/>
    <s v="PROD78"/>
    <s v="STORE1"/>
    <n v="3"/>
    <n v="468.25"/>
    <n v="7.0000000000000007E-2"/>
    <s v="PayPal"/>
    <n v="1306.4175"/>
    <n v="419893.80053188471"/>
    <n v="422"/>
    <x v="160"/>
    <n v="0.15637282580086648"/>
    <n v="2.4926555510469508"/>
    <n v="472.56238593441981"/>
    <n v="444.43437499999999"/>
    <x v="9"/>
  </r>
  <r>
    <s v="SALE762"/>
    <d v="2024-03-09T00:00:00"/>
    <s v="CUST1001"/>
    <s v="PROD67"/>
    <s v="STORE0"/>
    <n v="1"/>
    <n v="928.72"/>
    <n v="0.1"/>
    <s v="COD"/>
    <n v="835.84800000000007"/>
    <n v="419893.80053188471"/>
    <n v="422"/>
    <x v="398"/>
    <n v="0.15644270672788982"/>
    <n v="2.4922450781918108"/>
    <n v="472.56587491980366"/>
    <n v="441.41700000000003"/>
    <x v="9"/>
  </r>
  <r>
    <s v="SALE763"/>
    <d v="2024-07-26T00:00:00"/>
    <s v="CUST1101"/>
    <s v="PROD4"/>
    <s v="STORE18"/>
    <n v="3"/>
    <n v="217.22"/>
    <n v="0.06"/>
    <s v="PayPal"/>
    <n v="612.56039999999996"/>
    <n v="419893.80053188471"/>
    <n v="422"/>
    <x v="5"/>
    <n v="0.15648840932443062"/>
    <n v="2.4934533738016831"/>
    <n v="472.19651935293712"/>
    <n v="208.21009999999998"/>
    <x v="0"/>
  </r>
  <r>
    <s v="SALE764"/>
    <d v="2025-03-29T00:00:00"/>
    <s v="CUST1405"/>
    <s v="PROD24"/>
    <s v="STORE3"/>
    <n v="1"/>
    <n v="387.99"/>
    <n v="0.3"/>
    <s v="Credit Card"/>
    <n v="271.59300000000002"/>
    <n v="419893.80053188471"/>
    <n v="422"/>
    <x v="142"/>
    <n v="0.15656660090411006"/>
    <n v="2.4930428822083295"/>
    <n v="472.40314538158617"/>
    <n v="165.22075000000001"/>
    <x v="9"/>
  </r>
  <r>
    <s v="SALE765"/>
    <d v="2025-03-02T00:00:00"/>
    <s v="CUST1476"/>
    <s v="PROD18"/>
    <s v="STORE6"/>
    <n v="4"/>
    <n v="186.24"/>
    <n v="0.23"/>
    <s v="Credit Card"/>
    <n v="573.61920000000009"/>
    <n v="419622.20753188472"/>
    <n v="421"/>
    <x v="132"/>
    <n v="0.15645027211327803"/>
    <n v="2.4942537847891955"/>
    <n v="472.47160697556961"/>
    <n v="191.02230000000003"/>
    <x v="9"/>
  </r>
  <r>
    <s v="SALE766"/>
    <d v="2024-06-11T00:00:00"/>
    <s v="CUST1296"/>
    <s v="PROD40"/>
    <s v="STORE8"/>
    <n v="4"/>
    <n v="609.05999999999995"/>
    <n v="0.22"/>
    <s v="COD"/>
    <n v="1900.2672"/>
    <n v="419048.5883318847"/>
    <n v="420"/>
    <x v="146"/>
    <n v="0.15639057265882453"/>
    <n v="2.4930315881859402"/>
    <n v="472.70393782538747"/>
    <n v="628.38679999999999"/>
    <x v="2"/>
  </r>
  <r>
    <s v="SALE767"/>
    <d v="2024-05-22T00:00:00"/>
    <s v="CUST1437"/>
    <s v="PROD33"/>
    <s v="STORE11"/>
    <n v="1"/>
    <n v="827.91"/>
    <n v="0.21"/>
    <s v="PayPal"/>
    <n v="654.0489"/>
    <n v="419048.5883318847"/>
    <n v="420"/>
    <x v="244"/>
    <n v="0.15633889968779188"/>
    <n v="2.4918074058855226"/>
    <n v="472.59316929397022"/>
    <n v="370.79222500000003"/>
    <x v="5"/>
  </r>
  <r>
    <s v="SALE768"/>
    <d v="2024-07-13T00:00:00"/>
    <s v="CUST1176"/>
    <s v="PROD83"/>
    <s v="STORE0"/>
    <n v="1"/>
    <n v="303.79000000000002"/>
    <n v="0.24"/>
    <s v="PayPal"/>
    <n v="230.88040000000001"/>
    <n v="419048.5883318847"/>
    <n v="420"/>
    <x v="40"/>
    <n v="0.15629527277696895"/>
    <n v="2.4930202574350231"/>
    <n v="472.30429382185145"/>
    <n v="133.9776"/>
    <x v="0"/>
  </r>
  <r>
    <s v="SALE769"/>
    <d v="2025-09-02T00:00:00"/>
    <s v="CUST1104"/>
    <s v="PROD37"/>
    <s v="STORE6"/>
    <n v="2"/>
    <n v="365.91"/>
    <n v="0.14000000000000001"/>
    <s v="COD"/>
    <n v="629.36520000000007"/>
    <n v="419048.5883318847"/>
    <n v="420"/>
    <x v="465"/>
    <n v="0.15622716478085583"/>
    <n v="2.4942350827055155"/>
    <n v="472.44140878834611"/>
    <n v="249.35380000000004"/>
    <x v="8"/>
  </r>
  <r>
    <s v="SALE770"/>
    <d v="2025-04-15T00:00:00"/>
    <s v="CUST1069"/>
    <s v="PROD25"/>
    <s v="STORE17"/>
    <n v="3"/>
    <n v="852.72"/>
    <n v="0.16"/>
    <s v="Credit Card"/>
    <n v="2148.8544000000002"/>
    <n v="419048.5883318847"/>
    <n v="420"/>
    <x v="362"/>
    <n v="0.15624037908442331"/>
    <n v="2.4946375542712365"/>
    <n v="472.52816074990011"/>
    <n v="751.18360000000007"/>
    <x v="10"/>
  </r>
  <r>
    <s v="SALE771"/>
    <d v="2025-04-05T00:00:00"/>
    <s v="CUST1247"/>
    <s v="PROD10"/>
    <s v="STORE4"/>
    <n v="1"/>
    <n v="768.25"/>
    <n v="0.18"/>
    <s v="Credit Card"/>
    <n v="629.96500000000003"/>
    <n v="416899.73393188469"/>
    <n v="419"/>
    <x v="385"/>
    <n v="0.15623731500869747"/>
    <n v="2.4942256859373093"/>
    <n v="472.21830595018531"/>
    <n v="349.84875"/>
    <x v="10"/>
  </r>
  <r>
    <s v="SALE772"/>
    <d v="2023-11-24T00:00:00"/>
    <s v="CUST1350"/>
    <s v="PROD92"/>
    <s v="STORE19"/>
    <n v="2"/>
    <n v="318.62"/>
    <n v="0.02"/>
    <s v="COD"/>
    <n v="624.49519999999995"/>
    <n v="416269.76893188467"/>
    <n v="418"/>
    <x v="466"/>
    <n v="0.15621793272077636"/>
    <n v="2.4954444670840772"/>
    <n v="471.97684453578904"/>
    <n v="236.28379999999999"/>
    <x v="3"/>
  </r>
  <r>
    <s v="SALE773"/>
    <d v="2025-01-26T00:00:00"/>
    <s v="CUST1049"/>
    <s v="PROD76"/>
    <s v="STORE2"/>
    <n v="4"/>
    <n v="402.11"/>
    <n v="0.14000000000000001"/>
    <s v="PayPal"/>
    <n v="1383.2583999999999"/>
    <n v="416269.76893188467"/>
    <n v="418"/>
    <x v="467"/>
    <n v="0.15632913103320148"/>
    <n v="2.4958489115470028"/>
    <n v="472.1020337966346"/>
    <n v="447.37709999999998"/>
    <x v="4"/>
  </r>
  <r>
    <s v="SALE774"/>
    <d v="2025-05-27T00:00:00"/>
    <s v="CUST1408"/>
    <s v="PROD84"/>
    <s v="STORE17"/>
    <n v="3"/>
    <n v="846.31"/>
    <n v="0.18"/>
    <s v="COD"/>
    <n v="2081.9225999999999"/>
    <n v="416269.76893188467"/>
    <n v="418"/>
    <x v="391"/>
    <n v="0.15634247182652924"/>
    <n v="2.4946200299387895"/>
    <n v="472.1592168307821"/>
    <n v="732.85314999999991"/>
    <x v="5"/>
  </r>
  <r>
    <s v="SALE775"/>
    <d v="2025-06-13T00:00:00"/>
    <s v="CUST1168"/>
    <s v="PROD94"/>
    <s v="STORE14"/>
    <n v="1"/>
    <n v="269.94"/>
    <n v="7.0000000000000007E-2"/>
    <s v="COD"/>
    <n v="251.04419999999999"/>
    <n v="416269.76893188467"/>
    <n v="418"/>
    <x v="468"/>
    <n v="0.15632312797683712"/>
    <n v="2.494206800200391"/>
    <n v="471.85328814462576"/>
    <n v="130.51355000000001"/>
    <x v="2"/>
  </r>
  <r>
    <s v="SALE776"/>
    <d v="2024-06-29T00:00:00"/>
    <s v="CUST1241"/>
    <s v="PROD20"/>
    <s v="STORE4"/>
    <n v="3"/>
    <n v="909.25"/>
    <n v="0.28999999999999998"/>
    <s v="COD"/>
    <n v="1936.7025000000001"/>
    <n v="416269.76893188467"/>
    <n v="418"/>
    <x v="469"/>
    <n v="0.15639376883442865"/>
    <n v="2.4954295553560382"/>
    <n v="472.01851996798479"/>
    <n v="712.31062500000007"/>
    <x v="2"/>
  </r>
  <r>
    <s v="SALE777"/>
    <d v="2024-02-09T00:00:00"/>
    <s v="CUST1363"/>
    <s v="PROD91"/>
    <s v="STORE12"/>
    <n v="2"/>
    <n v="229.81"/>
    <n v="0.21"/>
    <s v="COD"/>
    <n v="363.09980000000002"/>
    <n v="416269.76893188467"/>
    <n v="418"/>
    <x v="316"/>
    <n v="0.15628434522168044"/>
    <n v="2.495016311748631"/>
    <n v="471.66042702774558"/>
    <n v="148.77995000000001"/>
    <x v="6"/>
  </r>
  <r>
    <s v="SALE778"/>
    <d v="2024-06-08T00:00:00"/>
    <s v="CUST1037"/>
    <s v="PROD78"/>
    <s v="STORE15"/>
    <n v="3"/>
    <n v="442.36"/>
    <n v="0.06"/>
    <s v="PayPal"/>
    <n v="1247.4552000000001"/>
    <n v="416269.76893188467"/>
    <n v="418"/>
    <x v="470"/>
    <n v="0.15624031599645233"/>
    <n v="2.4954220628238346"/>
    <n v="471.85866508268634"/>
    <n v="423.21880000000004"/>
    <x v="2"/>
  </r>
  <r>
    <s v="SALE779"/>
    <d v="2024-04-04T00:00:00"/>
    <s v="CUST1239"/>
    <s v="PROD86"/>
    <s v="STORE3"/>
    <n v="3"/>
    <n v="413.74"/>
    <n v="0.01"/>
    <s v="Credit Card"/>
    <n v="1228.8078"/>
    <n v="416269.76893188467"/>
    <n v="418"/>
    <x v="239"/>
    <n v="0.15631926621466105"/>
    <n v="2.4950081350656919"/>
    <n v="471.88286415166311"/>
    <n v="411.38945000000001"/>
    <x v="10"/>
  </r>
  <r>
    <s v="SALE780"/>
    <d v="2024-07-04T00:00:00"/>
    <s v="CUST1496"/>
    <s v="PROD89"/>
    <s v="STORE14"/>
    <n v="4"/>
    <n v="79.75"/>
    <n v="0.18"/>
    <s v="PayPal"/>
    <n v="261.58"/>
    <n v="415040.96113188472"/>
    <n v="417"/>
    <x v="471"/>
    <n v="0.15643939697510001"/>
    <n v="2.4945935276232172"/>
    <n v="471.93060049333116"/>
    <n v="86.377499999999998"/>
    <x v="0"/>
  </r>
  <r>
    <s v="SALE781"/>
    <d v="2024-05-21T00:00:00"/>
    <s v="CUST1495"/>
    <s v="PROD40"/>
    <s v="STORE12"/>
    <n v="4"/>
    <n v="95.06"/>
    <n v="0.03"/>
    <s v="Credit Card"/>
    <n v="368.83280000000002"/>
    <n v="415040.96113188472"/>
    <n v="417"/>
    <x v="138"/>
    <n v="0.15642003739989468"/>
    <n v="2.4933565461340002"/>
    <n v="472.25285242471432"/>
    <n v="116.98070000000001"/>
    <x v="5"/>
  </r>
  <r>
    <s v="SALE782"/>
    <d v="2025-04-12T00:00:00"/>
    <s v="CUST1416"/>
    <s v="PROD98"/>
    <s v="STORE7"/>
    <n v="4"/>
    <n v="107.08"/>
    <n v="0.27"/>
    <s v="COD"/>
    <n v="312.67360000000002"/>
    <n v="414672.12833188468"/>
    <n v="416"/>
    <x v="472"/>
    <n v="0.15652400124644064"/>
    <n v="2.4921175301357557"/>
    <n v="472.56304391519524"/>
    <n v="106.0059"/>
    <x v="10"/>
  </r>
  <r>
    <s v="SALE783"/>
    <d v="2025-05-17T00:00:00"/>
    <s v="CUST1474"/>
    <s v="PROD99"/>
    <s v="STORE18"/>
    <n v="1"/>
    <n v="873.18"/>
    <n v="0.03"/>
    <s v="COD"/>
    <n v="846.98459999999989"/>
    <n v="414672.12833188468"/>
    <n v="416"/>
    <x v="473"/>
    <n v="0.15643060536269285"/>
    <n v="2.4908764746050029"/>
    <n v="472.86385300483732"/>
    <n v="430.29864999999995"/>
    <x v="5"/>
  </r>
  <r>
    <s v="SALE784"/>
    <d v="2025-04-17T00:00:00"/>
    <s v="CUST1377"/>
    <s v="PROD70"/>
    <s v="STORE18"/>
    <n v="1"/>
    <n v="914.75"/>
    <n v="0.1"/>
    <s v="COD"/>
    <n v="823.27499999999998"/>
    <n v="414672.12833188468"/>
    <n v="416"/>
    <x v="267"/>
    <n v="0.156534749189186"/>
    <n v="2.4921045441886971"/>
    <n v="472.53410329561564"/>
    <n v="434.78125"/>
    <x v="10"/>
  </r>
  <r>
    <s v="SALE785"/>
    <d v="2023-12-19T00:00:00"/>
    <s v="CUST1049"/>
    <s v="PROD73"/>
    <s v="STORE13"/>
    <n v="4"/>
    <n v="457.33"/>
    <n v="0.1"/>
    <s v="Credit Card"/>
    <n v="1646.3879999999999"/>
    <n v="414672.12833188468"/>
    <n v="416"/>
    <x v="335"/>
    <n v="0.15658135656691824"/>
    <n v="2.4933346386191908"/>
    <n v="472.16953948959389"/>
    <n v="526.95449999999994"/>
    <x v="1"/>
  </r>
  <r>
    <s v="SALE786"/>
    <d v="2024-11-06T00:00:00"/>
    <s v="CUST1292"/>
    <s v="PROD99"/>
    <s v="STORE3"/>
    <n v="3"/>
    <n v="761.88"/>
    <n v="0.23"/>
    <s v="PayPal"/>
    <n v="1759.9428"/>
    <n v="413025.74033188476"/>
    <n v="415"/>
    <x v="392"/>
    <n v="0.15662804085451471"/>
    <n v="2.492091515383728"/>
    <n v="472.18178333405729"/>
    <n v="631.26319999999998"/>
    <x v="3"/>
  </r>
  <r>
    <s v="SALE787"/>
    <d v="2025-05-16T00:00:00"/>
    <s v="CUST1177"/>
    <s v="PROD37"/>
    <s v="STORE19"/>
    <n v="4"/>
    <n v="122.87"/>
    <n v="0.13"/>
    <s v="Credit Card"/>
    <n v="427.58760000000001"/>
    <n v="413025.74033188476"/>
    <n v="415"/>
    <x v="376"/>
    <n v="0.15656745294440283"/>
    <n v="2.4916721029273972"/>
    <n v="471.9425610246717"/>
    <n v="138.64690000000002"/>
    <x v="5"/>
  </r>
  <r>
    <s v="SALE788"/>
    <d v="2025-05-01T00:00:00"/>
    <s v="CUST1475"/>
    <s v="PROD73"/>
    <s v="STORE4"/>
    <n v="4"/>
    <n v="753"/>
    <n v="0.28000000000000003"/>
    <s v="COD"/>
    <n v="2168.64"/>
    <n v="412598.15273188479"/>
    <n v="414"/>
    <x v="428"/>
    <n v="0.15658940951708414"/>
    <n v="2.490425550946346"/>
    <n v="472.23105074452678"/>
    <n v="731.48"/>
    <x v="5"/>
  </r>
  <r>
    <s v="SALE789"/>
    <d v="2024-02-03T00:00:00"/>
    <s v="CUST1370"/>
    <s v="PROD5"/>
    <s v="STORE5"/>
    <n v="2"/>
    <n v="788.05"/>
    <n v="0.21"/>
    <s v="Credit Card"/>
    <n v="1245.1189999999999"/>
    <n v="412598.15273188479"/>
    <n v="414"/>
    <x v="474"/>
    <n v="0.15648733293273107"/>
    <n v="2.4891769368445642"/>
    <n v="471.99881836300864"/>
    <n v="508.84474999999998"/>
    <x v="6"/>
  </r>
  <r>
    <s v="SALE790"/>
    <d v="2025-08-06T00:00:00"/>
    <s v="CUST1462"/>
    <s v="PROD82"/>
    <s v="STORE10"/>
    <n v="2"/>
    <n v="807.1"/>
    <n v="0.28999999999999998"/>
    <s v="Credit Card"/>
    <n v="1146.0820000000001"/>
    <n v="411353.03373188473"/>
    <n v="413"/>
    <x v="13"/>
    <n v="0.15644303436727802"/>
    <n v="2.4895818846399651"/>
    <n v="471.73718659013031"/>
    <n v="488.86800000000005"/>
    <x v="7"/>
  </r>
  <r>
    <s v="SALE791"/>
    <d v="2024-01-29T00:00:00"/>
    <s v="CUST1134"/>
    <s v="PROD8"/>
    <s v="STORE1"/>
    <n v="2"/>
    <n v="443.09"/>
    <n v="0.02"/>
    <s v="PayPal"/>
    <n v="868.45639999999992"/>
    <n v="410206.95173188474"/>
    <n v="412"/>
    <x v="475"/>
    <n v="0.15633238236592531"/>
    <n v="2.4899875034341989"/>
    <n v="471.4593383602961"/>
    <n v="328.39159999999998"/>
    <x v="4"/>
  </r>
  <r>
    <s v="SALE792"/>
    <d v="2025-08-01T00:00:00"/>
    <s v="CUST1468"/>
    <s v="PROD19"/>
    <s v="STORE15"/>
    <n v="1"/>
    <n v="512.16"/>
    <n v="0.02"/>
    <s v="COD"/>
    <n v="501.91680000000002"/>
    <n v="410206.95173188474"/>
    <n v="412"/>
    <x v="476"/>
    <n v="0.1564454274590977"/>
    <n v="2.4903937948964163"/>
    <n v="471.48286185810724"/>
    <n v="253.77420000000001"/>
    <x v="7"/>
  </r>
  <r>
    <s v="SALE793"/>
    <d v="2024-10-12T00:00:00"/>
    <s v="CUST1208"/>
    <s v="PROD41"/>
    <s v="STORE18"/>
    <n v="2"/>
    <n v="602.54999999999995"/>
    <n v="0.23"/>
    <s v="COD"/>
    <n v="927.92699999999991"/>
    <n v="410206.95173188474"/>
    <n v="412"/>
    <x v="85"/>
    <n v="0.15655866017898076"/>
    <n v="2.4916306362199818"/>
    <n v="471.44910489699373"/>
    <n v="383.17674999999997"/>
    <x v="11"/>
  </r>
  <r>
    <s v="SALE794"/>
    <d v="2025-03-29T00:00:00"/>
    <s v="CUST1164"/>
    <s v="PROD42"/>
    <s v="STORE0"/>
    <n v="3"/>
    <n v="846.19"/>
    <n v="0.09"/>
    <s v="COD"/>
    <n v="2310.0987"/>
    <n v="410206.95173188474"/>
    <n v="412"/>
    <x v="142"/>
    <n v="0.15649766238843174"/>
    <n v="2.4920389673131877"/>
    <n v="471.34021711036326"/>
    <n v="789.84467500000005"/>
    <x v="9"/>
  </r>
  <r>
    <s v="SALE795"/>
    <d v="2025-04-25T00:00:00"/>
    <s v="CUST1326"/>
    <s v="PROD69"/>
    <s v="STORE8"/>
    <n v="1"/>
    <n v="506.73"/>
    <n v="0.28999999999999998"/>
    <s v="Credit Card"/>
    <n v="359.7783"/>
    <n v="410206.95173188474"/>
    <n v="412"/>
    <x v="359"/>
    <n v="0.15655293891577043"/>
    <n v="2.4916167220657339"/>
    <n v="471.02862128086235"/>
    <n v="216.94957500000001"/>
    <x v="10"/>
  </r>
  <r>
    <s v="SALE796"/>
    <d v="2024-01-08T00:00:00"/>
    <s v="CUST1052"/>
    <s v="PROD51"/>
    <s v="STORE16"/>
    <n v="1"/>
    <n v="408.66"/>
    <n v="0.13"/>
    <s v="COD"/>
    <n v="355.5342"/>
    <n v="409847.17343188473"/>
    <n v="411"/>
    <x v="289"/>
    <n v="0.15644191806628271"/>
    <n v="2.4928576677579684"/>
    <n v="470.99891963467331"/>
    <n v="191.33105"/>
    <x v="4"/>
  </r>
  <r>
    <s v="SALE797"/>
    <d v="2024-06-04T00:00:00"/>
    <s v="CUST1110"/>
    <s v="PROD8"/>
    <s v="STORE17"/>
    <n v="3"/>
    <n v="170.48"/>
    <n v="0.06"/>
    <s v="COD"/>
    <n v="480.75359999999989"/>
    <n v="409847.17343188473"/>
    <n v="411"/>
    <x v="21"/>
    <n v="0.15646393465085082"/>
    <n v="2.4941006799709227"/>
    <n v="471.05082547949826"/>
    <n v="163.57339999999996"/>
    <x v="2"/>
  </r>
  <r>
    <s v="SALE798"/>
    <d v="2025-03-01T00:00:00"/>
    <s v="CUST1097"/>
    <s v="PROD18"/>
    <s v="STORE9"/>
    <n v="1"/>
    <n v="423.48"/>
    <n v="0.18"/>
    <s v="PayPal"/>
    <n v="347.25360000000012"/>
    <n v="409847.17343188473"/>
    <n v="411"/>
    <x v="216"/>
    <n v="0.15654432126305987"/>
    <n v="2.493679097204232"/>
    <n v="471.30130116739787"/>
    <n v="192.97840000000002"/>
    <x v="9"/>
  </r>
  <r>
    <s v="SALE799"/>
    <d v="2023-10-14T00:00:00"/>
    <s v="CUST1235"/>
    <s v="PROD92"/>
    <s v="STORE11"/>
    <n v="4"/>
    <n v="23.57"/>
    <n v="0.1"/>
    <s v="Credit Card"/>
    <n v="84.852000000000004"/>
    <n v="409847.17343188473"/>
    <n v="411"/>
    <x v="64"/>
    <n v="0.1565247585618614"/>
    <n v="2.4949248679275051"/>
    <n v="471.34118548863842"/>
    <n v="28.130500000000001"/>
    <x v="11"/>
  </r>
  <r>
    <s v="SALE800"/>
    <d v="2025-06-29T00:00:00"/>
    <s v="CUST1381"/>
    <s v="PROD42"/>
    <s v="STORE18"/>
    <n v="2"/>
    <n v="953.26"/>
    <n v="0.1"/>
    <s v="COD"/>
    <n v="1715.8679999999999"/>
    <n v="409762.32143188472"/>
    <n v="410"/>
    <x v="315"/>
    <n v="0.15657194116500153"/>
    <n v="2.4936685447788633"/>
    <n v="471.71495108587425"/>
    <n v="667.80700000000002"/>
    <x v="2"/>
  </r>
  <r>
    <s v="SALE801"/>
    <d v="2023-12-17T00:00:00"/>
    <s v="CUST1347"/>
    <s v="PROD73"/>
    <s v="STORE7"/>
    <n v="3"/>
    <n v="405.13"/>
    <n v="0.14000000000000001"/>
    <s v="COD"/>
    <n v="1045.2354"/>
    <n v="409762.32143188472"/>
    <n v="410"/>
    <x v="477"/>
    <n v="0.15661920260290046"/>
    <n v="2.494080966286615"/>
    <n v="471.31265781192775"/>
    <n v="363.37635"/>
    <x v="1"/>
  </r>
  <r>
    <s v="SALE802"/>
    <d v="2023-11-18T00:00:00"/>
    <s v="CUST1339"/>
    <s v="PROD2"/>
    <s v="STORE4"/>
    <n v="2"/>
    <n v="333.83"/>
    <n v="0.26"/>
    <s v="PayPal"/>
    <n v="494.0684"/>
    <n v="409762.32143188472"/>
    <n v="410"/>
    <x v="7"/>
    <n v="0.15663309825725069"/>
    <n v="2.4936579570611022"/>
    <n v="471.36799448233893"/>
    <n v="207.53960000000001"/>
    <x v="3"/>
  </r>
  <r>
    <s v="SALE803"/>
    <d v="2025-03-25T00:00:00"/>
    <s v="CUST1333"/>
    <s v="PROD91"/>
    <s v="STORE3"/>
    <n v="2"/>
    <n v="727.18"/>
    <n v="0.22"/>
    <s v="PayPal"/>
    <n v="1134.4007999999999"/>
    <n v="409762.32143188472"/>
    <n v="410"/>
    <x v="478"/>
    <n v="0.15654659875788438"/>
    <n v="2.4940710599540403"/>
    <n v="471.48308903839114"/>
    <n v="465.9502"/>
    <x v="9"/>
  </r>
  <r>
    <s v="SALE804"/>
    <d v="2025-05-01T00:00:00"/>
    <s v="CUST1306"/>
    <s v="PROD5"/>
    <s v="STORE10"/>
    <n v="2"/>
    <n v="516.02"/>
    <n v="0.19"/>
    <s v="COD"/>
    <n v="835.95240000000001"/>
    <n v="409762.32143188472"/>
    <n v="410"/>
    <x v="428"/>
    <n v="0.15649345520575531"/>
    <n v="2.4944848548116236"/>
    <n v="471.26893752167285"/>
    <n v="338.54060000000004"/>
    <x v="5"/>
  </r>
  <r>
    <s v="SALE805"/>
    <d v="2024-03-10T00:00:00"/>
    <s v="CUST1294"/>
    <s v="PROD42"/>
    <s v="STORE11"/>
    <n v="2"/>
    <n v="705.61"/>
    <n v="0.28000000000000003"/>
    <s v="Credit Card"/>
    <n v="1016.0784"/>
    <n v="409762.32143188472"/>
    <n v="410"/>
    <x v="191"/>
    <n v="0.15646536925035356"/>
    <n v="2.4948993433739131"/>
    <n v="471.23142615329209"/>
    <n v="430.99209999999999"/>
    <x v="9"/>
  </r>
  <r>
    <s v="SALE806"/>
    <d v="2024-05-02T00:00:00"/>
    <s v="CUST1275"/>
    <s v="PROD84"/>
    <s v="STORE8"/>
    <n v="3"/>
    <n v="654.47"/>
    <n v="0.18"/>
    <s v="COD"/>
    <n v="1609.9962"/>
    <n v="408746.24303188478"/>
    <n v="409"/>
    <x v="479"/>
    <n v="0.15636173281516091"/>
    <n v="2.4953145273868107"/>
    <n v="471.0347998329508"/>
    <n v="566.91155000000003"/>
    <x v="5"/>
  </r>
  <r>
    <s v="SALE807"/>
    <d v="2025-03-18T00:00:00"/>
    <s v="CUST1171"/>
    <s v="PROD88"/>
    <s v="STORE15"/>
    <n v="2"/>
    <n v="315.27"/>
    <n v="0.23"/>
    <s v="Credit Card"/>
    <n v="485.51580000000001"/>
    <n v="408746.24303188478"/>
    <n v="409"/>
    <x v="480"/>
    <n v="0.15634188540358676"/>
    <n v="2.4948907780395286"/>
    <n v="470.88078203264263"/>
    <n v="200.75395"/>
    <x v="9"/>
  </r>
  <r>
    <s v="SALE808"/>
    <d v="2024-11-27T00:00:00"/>
    <s v="CUST1222"/>
    <s v="PROD28"/>
    <s v="STORE2"/>
    <n v="1"/>
    <n v="974.47"/>
    <n v="0.05"/>
    <s v="Credit Card"/>
    <n v="925.74649999999997"/>
    <n v="408260.72723188472"/>
    <n v="408"/>
    <x v="279"/>
    <n v="0.15627998782829566"/>
    <n v="2.4953066526429231"/>
    <n v="471.01154739569529"/>
    <n v="475.31662499999999"/>
    <x v="3"/>
  </r>
  <r>
    <s v="SALE809"/>
    <d v="2024-02-18T00:00:00"/>
    <s v="CUST1067"/>
    <s v="PROD2"/>
    <s v="STORE4"/>
    <n v="2"/>
    <n v="803.3"/>
    <n v="0.17"/>
    <s v="Credit Card"/>
    <n v="1333.4780000000001"/>
    <n v="407334.98073188466"/>
    <n v="407"/>
    <x v="481"/>
    <n v="0.15636937385674671"/>
    <n v="2.4965642696762642"/>
    <n v="470.58811724211722"/>
    <n v="534.73699999999997"/>
    <x v="6"/>
  </r>
  <r>
    <s v="SALE810"/>
    <d v="2024-06-04T00:00:00"/>
    <s v="CUST1013"/>
    <s v="PROD2"/>
    <s v="STORE10"/>
    <n v="4"/>
    <n v="863.87"/>
    <n v="0.21"/>
    <s v="COD"/>
    <n v="2729.8292000000001"/>
    <n v="406001.50273188477"/>
    <n v="406"/>
    <x v="21"/>
    <n v="0.15635790026571703"/>
    <n v="2.4969822530682482"/>
    <n v="470.30805673474526"/>
    <n v="899.47730000000001"/>
    <x v="2"/>
  </r>
  <r>
    <s v="SALE811"/>
    <d v="2024-08-09T00:00:00"/>
    <s v="CUST1469"/>
    <s v="PROD80"/>
    <s v="STORE18"/>
    <n v="1"/>
    <n v="450.11"/>
    <n v="0.17"/>
    <s v="Credit Card"/>
    <n v="373.59129999999999"/>
    <n v="406001.50273188477"/>
    <n v="406"/>
    <x v="212"/>
    <n v="0.1563127089432787"/>
    <n v="2.4957160207624929"/>
    <n v="469.97649654665321"/>
    <n v="206.217825"/>
    <x v="7"/>
  </r>
  <r>
    <s v="SALE812"/>
    <d v="2024-07-13T00:00:00"/>
    <s v="CUST1230"/>
    <s v="PROD68"/>
    <s v="STORE13"/>
    <n v="1"/>
    <n v="289.82"/>
    <n v="0.18"/>
    <s v="COD"/>
    <n v="237.6524"/>
    <n v="405627.91143188474"/>
    <n v="405"/>
    <x v="40"/>
    <n v="0.15630116822569293"/>
    <n v="2.4969771641189533"/>
    <n v="469.99324738691189"/>
    <n v="132.16309999999999"/>
    <x v="0"/>
  </r>
  <r>
    <s v="SALE813"/>
    <d v="2025-08-21T00:00:00"/>
    <s v="CUST1334"/>
    <s v="PROD54"/>
    <s v="STORE10"/>
    <n v="4"/>
    <n v="250.64"/>
    <n v="0.1"/>
    <s v="PayPal"/>
    <n v="902.30399999999997"/>
    <n v="405627.91143188474"/>
    <n v="405"/>
    <x v="271"/>
    <n v="0.1562811692115374"/>
    <n v="2.4982404359874084"/>
    <n v="470.14529232141547"/>
    <n v="289.26099999999997"/>
    <x v="7"/>
  </r>
  <r>
    <s v="SALE814"/>
    <d v="2025-08-07T00:00:00"/>
    <s v="CUST1287"/>
    <s v="PROD69"/>
    <s v="STORE19"/>
    <n v="4"/>
    <n v="373.49"/>
    <n v="0.16"/>
    <s v="COD"/>
    <n v="1254.9264000000001"/>
    <n v="405627.91143188474"/>
    <n v="405"/>
    <x v="213"/>
    <n v="0.15632870398283094"/>
    <n v="2.4969720579772625"/>
    <n v="470.33068530479511"/>
    <n v="408.14410000000004"/>
    <x v="7"/>
  </r>
  <r>
    <s v="SALE815"/>
    <d v="2024-04-16T00:00:00"/>
    <s v="CUST1066"/>
    <s v="PROD3"/>
    <s v="STORE9"/>
    <n v="4"/>
    <n v="348.91"/>
    <n v="0.18"/>
    <s v="PayPal"/>
    <n v="1144.4248"/>
    <n v="405627.91143188474"/>
    <n v="405"/>
    <x v="287"/>
    <n v="0.1563256006049635"/>
    <n v="2.4957015356255949"/>
    <n v="470.41254556287186"/>
    <n v="374.37869999999998"/>
    <x v="10"/>
  </r>
  <r>
    <s v="SALE816"/>
    <d v="2024-04-08T00:00:00"/>
    <s v="CUST1110"/>
    <s v="PROD94"/>
    <s v="STORE17"/>
    <n v="4"/>
    <n v="212.96"/>
    <n v="0.17"/>
    <s v="Credit Card"/>
    <n v="707.02719999999999"/>
    <n v="405627.91143188474"/>
    <n v="405"/>
    <x v="155"/>
    <n v="0.15630557150226043"/>
    <n v="2.4944288634899143"/>
    <n v="470.51533959465092"/>
    <n v="231.0393"/>
    <x v="10"/>
  </r>
  <r>
    <s v="SALE817"/>
    <d v="2024-04-24T00:00:00"/>
    <s v="CUST1190"/>
    <s v="PROD27"/>
    <s v="STORE19"/>
    <n v="3"/>
    <n v="871.34"/>
    <n v="0.11"/>
    <s v="COD"/>
    <n v="2326.4778000000001"/>
    <n v="404920.88423188479"/>
    <n v="404"/>
    <x v="194"/>
    <n v="0.15629397588117852"/>
    <n v="2.4931540361092961"/>
    <n v="470.73342201598427"/>
    <n v="800.2319500000001"/>
    <x v="10"/>
  </r>
  <r>
    <s v="SALE818"/>
    <d v="2025-07-06T00:00:00"/>
    <s v="CUST1100"/>
    <s v="PROD94"/>
    <s v="STORE0"/>
    <n v="2"/>
    <n v="698.94"/>
    <n v="0.06"/>
    <s v="Credit Card"/>
    <n v="1314.0072"/>
    <n v="404920.88423188479"/>
    <n v="404"/>
    <x v="309"/>
    <n v="0.15633320806412865"/>
    <n v="2.4927245056314229"/>
    <n v="470.39392491599762"/>
    <n v="503.7518"/>
    <x v="0"/>
  </r>
  <r>
    <s v="SALE819"/>
    <d v="2025-02-09T00:00:00"/>
    <s v="CUST1316"/>
    <s v="PROD74"/>
    <s v="STORE0"/>
    <n v="1"/>
    <n v="719.94"/>
    <n v="0.23"/>
    <s v="COD"/>
    <n v="554.35380000000009"/>
    <n v="403606.87703188468"/>
    <n v="403"/>
    <x v="373"/>
    <n v="0.15641491561973864"/>
    <n v="2.4931424229389978"/>
    <n v="470.20007752406894"/>
    <n v="318.88095000000004"/>
    <x v="6"/>
  </r>
  <r>
    <s v="SALE820"/>
    <d v="2024-11-11T00:00:00"/>
    <s v="CUST1006"/>
    <s v="PROD28"/>
    <s v="STORE4"/>
    <n v="2"/>
    <n v="278.16000000000003"/>
    <n v="0.22"/>
    <s v="PayPal"/>
    <n v="433.92960000000011"/>
    <n v="403606.87703188468"/>
    <n v="403"/>
    <x v="48"/>
    <n v="0.1563524495039659"/>
    <n v="2.4944099462182328"/>
    <n v="469.98807419429306"/>
    <n v="178.57740000000004"/>
    <x v="3"/>
  </r>
  <r>
    <s v="SALE821"/>
    <d v="2024-01-16T00:00:00"/>
    <s v="CUST1053"/>
    <s v="PROD49"/>
    <s v="STORE5"/>
    <n v="1"/>
    <n v="678.9"/>
    <n v="0.17"/>
    <s v="Credit Card"/>
    <n v="563.48699999999997"/>
    <n v="403606.87703188468"/>
    <n v="403"/>
    <x v="482"/>
    <n v="0.15629837342028194"/>
    <n v="2.4948300056457766"/>
    <n v="470.15105471612333"/>
    <n v="310.88924999999995"/>
    <x v="4"/>
  </r>
  <r>
    <s v="SALE822"/>
    <d v="2024-08-16T00:00:00"/>
    <s v="CUST1015"/>
    <s v="PROD25"/>
    <s v="STORE15"/>
    <n v="4"/>
    <n v="94.13"/>
    <n v="0.15"/>
    <s v="Credit Card"/>
    <n v="320.04199999999997"/>
    <n v="403043.39003188472"/>
    <n v="402"/>
    <x v="296"/>
    <n v="0.15628672237727201"/>
    <n v="2.4961011195961555"/>
    <n v="469.97354710958939"/>
    <n v="104.5805"/>
    <x v="7"/>
  </r>
  <r>
    <s v="SALE823"/>
    <d v="2025-10-03T00:00:00"/>
    <s v="CUST1441"/>
    <s v="PROD44"/>
    <s v="STORE1"/>
    <n v="4"/>
    <n v="415.02"/>
    <n v="0.01"/>
    <s v="PayPal"/>
    <n v="1643.4792"/>
    <n v="402723.34803188476"/>
    <n v="401"/>
    <x v="483"/>
    <n v="0.15629207277929519"/>
    <n v="2.494821205655386"/>
    <n v="470.2934139581933"/>
    <n v="515.62729999999999"/>
    <x v="11"/>
  </r>
  <r>
    <s v="SALE824"/>
    <d v="2025-07-03T00:00:00"/>
    <s v="CUST1051"/>
    <s v="PROD11"/>
    <s v="STORE4"/>
    <n v="4"/>
    <n v="780.07"/>
    <n v="0.03"/>
    <s v="Credit Card"/>
    <n v="3026.6716000000001"/>
    <n v="402723.34803188476"/>
    <n v="401"/>
    <x v="484"/>
    <n v="0.15641668272203735"/>
    <n v="2.4935391112820087"/>
    <n v="470.3404952307302"/>
    <n v="952.69290000000001"/>
    <x v="0"/>
  </r>
  <r>
    <s v="SALE825"/>
    <d v="2025-08-08T00:00:00"/>
    <s v="CUST1428"/>
    <s v="PROD37"/>
    <s v="STORE15"/>
    <n v="4"/>
    <n v="184.57"/>
    <n v="0.28000000000000003"/>
    <s v="Credit Card"/>
    <n v="531.5616"/>
    <n v="399696.6764318847"/>
    <n v="400"/>
    <x v="485"/>
    <n v="0.15652445483006977"/>
    <n v="2.4922548308994701"/>
    <n v="470.07644620705639"/>
    <n v="180.10290000000001"/>
    <x v="7"/>
  </r>
  <r>
    <s v="SALE826"/>
    <d v="2024-08-28T00:00:00"/>
    <s v="CUST1287"/>
    <s v="PROD65"/>
    <s v="STORE4"/>
    <n v="4"/>
    <n v="277.58"/>
    <n v="0.22"/>
    <s v="PayPal"/>
    <n v="866.04959999999994"/>
    <n v="399165.11483188468"/>
    <n v="399"/>
    <x v="486"/>
    <n v="0.15641910026934461"/>
    <n v="2.4909683589121827"/>
    <n v="470.32005238982697"/>
    <n v="286.9624"/>
    <x v="7"/>
  </r>
  <r>
    <s v="SALE827"/>
    <d v="2025-03-18T00:00:00"/>
    <s v="CUST1104"/>
    <s v="PROD31"/>
    <s v="STORE3"/>
    <n v="1"/>
    <n v="36.799999999999997"/>
    <n v="0.18"/>
    <s v="Credit Card"/>
    <n v="30.175999999999998"/>
    <n v="399165.11483188468"/>
    <n v="399"/>
    <x v="480"/>
    <n v="0.15636480402704686"/>
    <n v="2.4896796897054472"/>
    <n v="470.48464679835786"/>
    <n v="17.038999999999998"/>
    <x v="9"/>
  </r>
  <r>
    <s v="SALE828"/>
    <d v="2025-06-01T00:00:00"/>
    <s v="CUST1356"/>
    <s v="PROD88"/>
    <s v="STORE6"/>
    <n v="1"/>
    <n v="539.37"/>
    <n v="0.14000000000000001"/>
    <s v="Credit Card"/>
    <n v="463.85820000000001"/>
    <n v="399134.9388318847"/>
    <n v="398"/>
    <x v="203"/>
    <n v="0.15634460300484773"/>
    <n v="2.4909529202094687"/>
    <n v="470.85531743664711"/>
    <n v="251.09205"/>
    <x v="2"/>
  </r>
  <r>
    <s v="SALE829"/>
    <d v="2025-04-13T00:00:00"/>
    <s v="CUST1089"/>
    <s v="PROD20"/>
    <s v="STORE18"/>
    <n v="1"/>
    <n v="27.83"/>
    <n v="0.3"/>
    <s v="PayPal"/>
    <n v="19.481000000000002"/>
    <n v="398671.08063188469"/>
    <n v="397"/>
    <x v="451"/>
    <n v="0.15635858470117356"/>
    <n v="2.4922283290377059"/>
    <n v="470.79670778518147"/>
    <n v="12.152750000000001"/>
    <x v="10"/>
  </r>
  <r>
    <s v="SALE830"/>
    <d v="2024-06-13T00:00:00"/>
    <s v="CUST1283"/>
    <s v="PROD70"/>
    <s v="STORE4"/>
    <n v="3"/>
    <n v="698.72"/>
    <n v="0.28000000000000003"/>
    <s v="COD"/>
    <n v="1509.2352000000001"/>
    <n v="398671.08063188469"/>
    <n v="397"/>
    <x v="441"/>
    <n v="0.15623560403739029"/>
    <n v="2.4935059217851698"/>
    <n v="471.1759601034907"/>
    <n v="552.80880000000002"/>
    <x v="2"/>
  </r>
  <r>
    <s v="SALE831"/>
    <d v="2025-02-10T00:00:00"/>
    <s v="CUST1012"/>
    <s v="PROD76"/>
    <s v="STORE13"/>
    <n v="4"/>
    <n v="528.23"/>
    <n v="0.15"/>
    <s v="COD"/>
    <n v="1795.982"/>
    <n v="398671.08063188469"/>
    <n v="397"/>
    <x v="487"/>
    <n v="0.15612955057041292"/>
    <n v="2.4930719080077792"/>
    <n v="470.980978064162"/>
    <n v="582.09050000000002"/>
    <x v="6"/>
  </r>
  <r>
    <s v="SALE832"/>
    <d v="2024-09-13T00:00:00"/>
    <s v="CUST1492"/>
    <s v="PROD46"/>
    <s v="STORE16"/>
    <n v="2"/>
    <n v="780.9"/>
    <n v="0.24"/>
    <s v="PayPal"/>
    <n v="1186.9680000000001"/>
    <n v="398671.08063188469"/>
    <n v="397"/>
    <x v="488"/>
    <n v="0.1561348074748472"/>
    <n v="2.4917795168482662"/>
    <n v="470.93187941756185"/>
    <n v="492.52700000000004"/>
    <x v="8"/>
  </r>
  <r>
    <s v="SALE833"/>
    <d v="2023-11-06T00:00:00"/>
    <s v="CUST1180"/>
    <s v="PROD21"/>
    <s v="STORE14"/>
    <n v="1"/>
    <n v="977.97"/>
    <n v="0.06"/>
    <s v="COD"/>
    <n v="919.29179999999997"/>
    <n v="398671.08063188469"/>
    <n v="397"/>
    <x v="409"/>
    <n v="0.15606282018512604"/>
    <n v="2.4922016451889091"/>
    <n v="470.66581236126774"/>
    <n v="474.58044999999998"/>
    <x v="3"/>
  </r>
  <r>
    <s v="SALE834"/>
    <d v="2024-01-19T00:00:00"/>
    <s v="CUST1369"/>
    <s v="PROD83"/>
    <s v="STORE12"/>
    <n v="4"/>
    <n v="354.65"/>
    <n v="0.19"/>
    <s v="Credit Card"/>
    <n v="1149.066"/>
    <n v="398671.08063188469"/>
    <n v="397"/>
    <x v="489"/>
    <n v="0.15614534838116137"/>
    <n v="2.4934836053651881"/>
    <n v="470.22998402137205"/>
    <n v="376.97649999999999"/>
    <x v="4"/>
  </r>
  <r>
    <s v="SALE835"/>
    <d v="2024-03-25T00:00:00"/>
    <s v="CUST1283"/>
    <s v="PROD68"/>
    <s v="STORE19"/>
    <n v="1"/>
    <n v="671.62"/>
    <n v="0.09"/>
    <s v="COD"/>
    <n v="611.17420000000004"/>
    <n v="397522.0146318847"/>
    <n v="396"/>
    <x v="490"/>
    <n v="0.15611623862052612"/>
    <n v="2.4921882344325694"/>
    <n v="470.32936491906884"/>
    <n v="320.97104999999999"/>
    <x v="9"/>
  </r>
  <r>
    <s v="SALE836"/>
    <d v="2025-09-14T00:00:00"/>
    <s v="CUST1317"/>
    <s v="PROD82"/>
    <s v="STORE3"/>
    <n v="1"/>
    <n v="867.32"/>
    <n v="0.28999999999999998"/>
    <s v="PayPal"/>
    <n v="615.79719999999998"/>
    <n v="397522.0146318847"/>
    <n v="396"/>
    <x v="62"/>
    <n v="0.15617313727682605"/>
    <n v="2.4934723895396549"/>
    <n v="470.15613717803524"/>
    <n v="371.10180000000003"/>
    <x v="8"/>
  </r>
  <r>
    <s v="SALE837"/>
    <d v="2024-02-14T00:00:00"/>
    <s v="CUST1081"/>
    <s v="PROD10"/>
    <s v="STORE12"/>
    <n v="3"/>
    <n v="240.27"/>
    <n v="0.15"/>
    <s v="PayPal"/>
    <n v="612.68850000000009"/>
    <n v="397522.0146318847"/>
    <n v="396"/>
    <x v="314"/>
    <n v="0.15605786866121607"/>
    <n v="2.4947587568002403"/>
    <n v="469.8140494408932"/>
    <n v="214.02712500000001"/>
    <x v="6"/>
  </r>
  <r>
    <s v="SALE838"/>
    <d v="2025-03-12T00:00:00"/>
    <s v="CUST1075"/>
    <s v="PROD28"/>
    <s v="STORE16"/>
    <n v="2"/>
    <n v="619.12"/>
    <n v="0.28000000000000003"/>
    <s v="COD"/>
    <n v="891.53279999999995"/>
    <n v="397522.0146318847"/>
    <n v="396"/>
    <x v="491"/>
    <n v="0.15606309096178608"/>
    <n v="2.4943232040043783"/>
    <n v="470.01193224213534"/>
    <n v="378.23320000000001"/>
    <x v="9"/>
  </r>
  <r>
    <s v="SALE839"/>
    <d v="2025-04-08T00:00:00"/>
    <s v="CUST1213"/>
    <s v="PROD87"/>
    <s v="STORE0"/>
    <n v="3"/>
    <n v="693.42"/>
    <n v="0.08"/>
    <s v="PayPal"/>
    <n v="1913.8391999999999"/>
    <n v="397522.0146318847"/>
    <n v="396"/>
    <x v="82"/>
    <n v="0.15595615661403953"/>
    <n v="2.4947497123771174"/>
    <n v="469.88327989721904"/>
    <n v="652.58479999999997"/>
    <x v="10"/>
  </r>
  <r>
    <s v="SALE840"/>
    <d v="2025-02-07T00:00:00"/>
    <s v="CUST1108"/>
    <s v="PROD48"/>
    <s v="STORE10"/>
    <n v="4"/>
    <n v="751.63"/>
    <n v="0.28000000000000003"/>
    <s v="COD"/>
    <n v="2164.6943999999999"/>
    <n v="397522.0146318847"/>
    <n v="396"/>
    <x v="379"/>
    <n v="0.15602174914997569"/>
    <n v="2.4943133995207929"/>
    <n v="469.69024300593856"/>
    <n v="730.15109999999993"/>
    <x v="6"/>
  </r>
  <r>
    <s v="SALE841"/>
    <d v="2024-03-29T00:00:00"/>
    <s v="CUST1110"/>
    <s v="PROD31"/>
    <s v="STORE15"/>
    <n v="3"/>
    <n v="108.14"/>
    <n v="0.19"/>
    <s v="COD"/>
    <n v="262.78019999999998"/>
    <n v="397522.0146318847"/>
    <n v="396"/>
    <x v="264"/>
    <n v="0.15591459422270684"/>
    <n v="2.4930120282152801"/>
    <n v="469.44656127992823"/>
    <n v="93.527549999999991"/>
    <x v="9"/>
  </r>
  <r>
    <s v="SALE842"/>
    <d v="2024-06-03T00:00:00"/>
    <s v="CUST1256"/>
    <s v="PROD27"/>
    <s v="STORE4"/>
    <n v="1"/>
    <n v="964.11"/>
    <n v="0.17"/>
    <s v="COD"/>
    <n v="800.21129999999994"/>
    <n v="397522.0146318847"/>
    <n v="396"/>
    <x v="2"/>
    <n v="0.15588510857757079"/>
    <n v="2.492573457305431"/>
    <n v="469.75911020837106"/>
    <n v="441.37282499999998"/>
    <x v="2"/>
  </r>
  <r>
    <s v="SALE843"/>
    <d v="2024-08-21T00:00:00"/>
    <s v="CUST1131"/>
    <s v="PROD19"/>
    <s v="STORE0"/>
    <n v="1"/>
    <n v="346.2"/>
    <n v="0.28999999999999998"/>
    <s v="Credit Card"/>
    <n v="245.80199999999999"/>
    <n v="397522.0146318847"/>
    <n v="396"/>
    <x v="492"/>
    <n v="0.15587288789235657"/>
    <n v="2.4938657286970374"/>
    <n v="469.33110077997986"/>
    <n v="148.32300000000001"/>
    <x v="7"/>
  </r>
  <r>
    <s v="SALE844"/>
    <d v="2024-08-23T00:00:00"/>
    <s v="CUST1457"/>
    <s v="PROD43"/>
    <s v="STORE15"/>
    <n v="3"/>
    <n v="791.75"/>
    <n v="0.28999999999999998"/>
    <s v="Credit Card"/>
    <n v="1686.4275"/>
    <n v="397276.21263188467"/>
    <n v="395"/>
    <x v="333"/>
    <n v="0.15575665989226326"/>
    <n v="2.4951602397271042"/>
    <n v="469.43780017406999"/>
    <n v="620.36687499999994"/>
    <x v="7"/>
  </r>
  <r>
    <s v="SALE845"/>
    <d v="2023-12-05T00:00:00"/>
    <s v="CUST1319"/>
    <s v="PROD39"/>
    <s v="STORE13"/>
    <n v="1"/>
    <n v="529.84"/>
    <n v="0.13"/>
    <s v="PayPal"/>
    <n v="460.96080000000001"/>
    <n v="395589.78513188468"/>
    <n v="394"/>
    <x v="493"/>
    <n v="0.15564023028245602"/>
    <n v="2.4947223908456881"/>
    <n v="469.15825793658001"/>
    <n v="247.98270000000002"/>
    <x v="1"/>
  </r>
  <r>
    <s v="SALE846"/>
    <d v="2025-10-06T00:00:00"/>
    <s v="CUST1471"/>
    <s v="PROD54"/>
    <s v="STORE3"/>
    <n v="3"/>
    <n v="582.57000000000005"/>
    <n v="0.11"/>
    <s v="PayPal"/>
    <n v="1555.4619"/>
    <n v="395589.78513188468"/>
    <n v="394"/>
    <x v="494"/>
    <n v="0.15566248742679845"/>
    <n v="2.4960198929210748"/>
    <n v="469.10558281326109"/>
    <n v="535.28547500000002"/>
    <x v="11"/>
  </r>
  <r>
    <s v="SALE847"/>
    <d v="2023-11-12T00:00:00"/>
    <s v="CUST1211"/>
    <s v="PROD95"/>
    <s v="STORE17"/>
    <n v="1"/>
    <n v="219.81"/>
    <n v="0.22"/>
    <s v="COD"/>
    <n v="171.45179999999999"/>
    <n v="395589.78513188468"/>
    <n v="394"/>
    <x v="495"/>
    <n v="0.15570215944020138"/>
    <n v="2.4955820300999814"/>
    <n v="469.00700382352454"/>
    <n v="98.120450000000005"/>
    <x v="3"/>
  </r>
  <r>
    <s v="SALE848"/>
    <d v="2024-05-25T00:00:00"/>
    <s v="CUST1497"/>
    <s v="PROD70"/>
    <s v="STORE18"/>
    <n v="4"/>
    <n v="883.31"/>
    <n v="0.27"/>
    <s v="Credit Card"/>
    <n v="2579.2651999999998"/>
    <n v="395589.78513188468"/>
    <n v="394"/>
    <x v="223"/>
    <n v="0.15564624827449722"/>
    <n v="2.4968825362131115"/>
    <n v="469.22369687032756"/>
    <n v="866.71129999999994"/>
    <x v="5"/>
  </r>
  <r>
    <s v="SALE849"/>
    <d v="2024-12-01T00:00:00"/>
    <s v="CUST1234"/>
    <s v="PROD17"/>
    <s v="STORE14"/>
    <n v="4"/>
    <n v="329.06"/>
    <n v="0.04"/>
    <s v="COD"/>
    <n v="1263.5904"/>
    <n v="393010.51993188466"/>
    <n v="393"/>
    <x v="356"/>
    <n v="0.15554672368639841"/>
    <n v="2.4955743399870136"/>
    <n v="468.86330844288671"/>
    <n v="399.17259999999999"/>
    <x v="1"/>
  </r>
  <r>
    <s v="SALE850"/>
    <d v="2025-01-21T00:00:00"/>
    <s v="CUST1105"/>
    <s v="PROD68"/>
    <s v="STORE11"/>
    <n v="1"/>
    <n v="935.78"/>
    <n v="0.03"/>
    <s v="PayPal"/>
    <n v="907.70659999999998"/>
    <n v="393010.51993188466"/>
    <n v="393"/>
    <x v="496"/>
    <n v="0.15564737414257124"/>
    <n v="2.4942638646734134"/>
    <n v="468.98508832828992"/>
    <n v="461.12914999999998"/>
    <x v="4"/>
  </r>
  <r>
    <s v="SALE851"/>
    <d v="2024-07-11T00:00:00"/>
    <s v="CUST1320"/>
    <s v="PROD60"/>
    <s v="STORE10"/>
    <n v="4"/>
    <n v="597.79999999999995"/>
    <n v="0.2"/>
    <s v="Credit Card"/>
    <n v="1912.96"/>
    <n v="393010.51993188466"/>
    <n v="393"/>
    <x v="497"/>
    <n v="0.1557569184966624"/>
    <n v="2.4955666230558662"/>
    <n v="468.57811804784365"/>
    <n v="628.74"/>
    <x v="0"/>
  </r>
  <r>
    <s v="SALE852"/>
    <d v="2025-02-12T00:00:00"/>
    <s v="CUST1259"/>
    <s v="PROD13"/>
    <s v="STORE18"/>
    <n v="4"/>
    <n v="266.98"/>
    <n v="0.16"/>
    <s v="Credit Card"/>
    <n v="897.05280000000005"/>
    <n v="391097.55993188464"/>
    <n v="392"/>
    <x v="345"/>
    <n v="0.15571831196829997"/>
    <n v="2.4942538539660375"/>
    <n v="468.46535898854864"/>
    <n v="292.04820000000001"/>
    <x v="6"/>
  </r>
  <r>
    <s v="SALE853"/>
    <d v="2025-08-04T00:00:00"/>
    <s v="CUST1407"/>
    <s v="PROD70"/>
    <s v="STORE15"/>
    <n v="3"/>
    <n v="360.18"/>
    <n v="0.03"/>
    <s v="Credit Card"/>
    <n v="1048.1238000000001"/>
    <n v="390200.50713188463"/>
    <n v="391"/>
    <x v="498"/>
    <n v="0.15571457250277013"/>
    <n v="2.4929387918297627"/>
    <n v="468.64132873439019"/>
    <n v="352.83345000000003"/>
    <x v="7"/>
  </r>
  <r>
    <s v="SALE854"/>
    <d v="2025-07-22T00:00:00"/>
    <s v="CUST1363"/>
    <s v="PROD56"/>
    <s v="STORE0"/>
    <n v="3"/>
    <n v="247.41"/>
    <n v="0.05"/>
    <s v="COD"/>
    <n v="705.11850000000004"/>
    <n v="389152.38333188469"/>
    <n v="390"/>
    <x v="321"/>
    <n v="0.15582446286334947"/>
    <n v="2.4924955565079356"/>
    <n v="468.73613758817891"/>
    <n v="238.89462500000002"/>
    <x v="0"/>
  </r>
  <r>
    <s v="SALE855"/>
    <d v="2023-11-05T00:00:00"/>
    <s v="CUST1078"/>
    <s v="PROD45"/>
    <s v="STORE15"/>
    <n v="3"/>
    <n v="674.66"/>
    <n v="0.23"/>
    <s v="Credit Card"/>
    <n v="1558.4646"/>
    <n v="389152.38333188469"/>
    <n v="390"/>
    <x v="163"/>
    <n v="0.15591704769525092"/>
    <n v="2.4920515456212411"/>
    <n v="468.9297737540478"/>
    <n v="559.08865000000003"/>
    <x v="3"/>
  </r>
  <r>
    <s v="SALE856"/>
    <d v="2025-08-05T00:00:00"/>
    <s v="CUST1415"/>
    <s v="PROD42"/>
    <s v="STORE4"/>
    <n v="1"/>
    <n v="913.98"/>
    <n v="0.27"/>
    <s v="PayPal"/>
    <n v="667.20539999999994"/>
    <n v="387593.91873188468"/>
    <n v="389"/>
    <x v="499"/>
    <n v="0.15585217645855673"/>
    <n v="2.4916067571322928"/>
    <n v="468.74962469428789"/>
    <n v="395.61384999999996"/>
    <x v="7"/>
  </r>
  <r>
    <s v="SALE857"/>
    <d v="2025-04-22T00:00:00"/>
    <s v="CUST1314"/>
    <s v="PROD93"/>
    <s v="STORE10"/>
    <n v="4"/>
    <n v="370.5"/>
    <n v="0.13"/>
    <s v="PayPal"/>
    <n v="1289.3399999999999"/>
    <n v="387593.91873188468"/>
    <n v="389"/>
    <x v="406"/>
    <n v="0.15575213454484818"/>
    <n v="2.4929140373751784"/>
    <n v="468.35941402355542"/>
    <n v="415.99249999999995"/>
    <x v="10"/>
  </r>
  <r>
    <s v="SALE858"/>
    <d v="2024-11-23T00:00:00"/>
    <s v="CUST1358"/>
    <s v="PROD72"/>
    <s v="STORE13"/>
    <n v="1"/>
    <n v="735.1"/>
    <n v="0.1"/>
    <s v="PayPal"/>
    <n v="661.59"/>
    <n v="387593.91873188468"/>
    <n v="389"/>
    <x v="500"/>
    <n v="0.15577472413655419"/>
    <n v="2.4915920321448053"/>
    <n v="468.44525561480418"/>
    <n v="349.44749999999999"/>
    <x v="3"/>
  </r>
  <r>
    <s v="SALE859"/>
    <d v="2024-11-18T00:00:00"/>
    <s v="CUST1135"/>
    <s v="PROD79"/>
    <s v="STORE2"/>
    <n v="3"/>
    <n v="448.55"/>
    <n v="0.05"/>
    <s v="Credit Card"/>
    <n v="1278.3675000000001"/>
    <n v="387593.91873188468"/>
    <n v="389"/>
    <x v="339"/>
    <n v="0.15582369228768372"/>
    <n v="2.4929015949473912"/>
    <n v="468.21114258198139"/>
    <n v="432.49187500000005"/>
    <x v="3"/>
  </r>
  <r>
    <s v="SALE860"/>
    <d v="2025-02-03T00:00:00"/>
    <s v="CUST1059"/>
    <s v="PROD84"/>
    <s v="STORE13"/>
    <n v="3"/>
    <n v="904.96"/>
    <n v="7.0000000000000007E-2"/>
    <s v="COD"/>
    <n v="2524.8384000000001"/>
    <n v="386315.55123188475"/>
    <n v="388"/>
    <x v="501"/>
    <n v="0.15591668322994004"/>
    <n v="2.4924559900220373"/>
    <n v="468.22841950867905"/>
    <n v="858.21710000000007"/>
    <x v="6"/>
  </r>
  <r>
    <s v="SALE861"/>
    <d v="2024-11-12T00:00:00"/>
    <s v="CUST1380"/>
    <s v="PROD68"/>
    <s v="STORE13"/>
    <n v="4"/>
    <n v="408.72"/>
    <n v="0.16"/>
    <s v="COD"/>
    <n v="1373.2991999999999"/>
    <n v="386315.55123188475"/>
    <n v="388"/>
    <x v="418"/>
    <n v="0.15599224759513788"/>
    <n v="2.4920096012709574"/>
    <n v="467.8443108187131"/>
    <n v="446.54480000000001"/>
    <x v="3"/>
  </r>
  <r>
    <s v="SALE862"/>
    <d v="2024-04-30T00:00:00"/>
    <s v="CUST1282"/>
    <s v="PROD71"/>
    <s v="STORE3"/>
    <n v="4"/>
    <n v="770.65"/>
    <n v="0.27"/>
    <s v="Credit Card"/>
    <n v="2250.2979999999998"/>
    <n v="386315.55123188475"/>
    <n v="388"/>
    <x v="502"/>
    <n v="0.15598871964407726"/>
    <n v="2.4906821449340479"/>
    <n v="467.89635686696914"/>
    <n v="756.30449999999996"/>
    <x v="10"/>
  </r>
  <r>
    <s v="SALE863"/>
    <d v="2025-04-20T00:00:00"/>
    <s v="CUST1203"/>
    <s v="PROD30"/>
    <s v="STORE6"/>
    <n v="1"/>
    <n v="649.22"/>
    <n v="0.03"/>
    <s v="COD"/>
    <n v="629.74340000000007"/>
    <n v="384065.2532318848"/>
    <n v="387"/>
    <x v="503"/>
    <n v="0.15588826917680332"/>
    <n v="2.4893523494670293"/>
    <n v="467.62961356905441"/>
    <n v="319.99835000000002"/>
    <x v="10"/>
  </r>
  <r>
    <s v="SALE864"/>
    <d v="2024-05-16T00:00:00"/>
    <s v="CUST1348"/>
    <s v="PROD33"/>
    <s v="STORE10"/>
    <n v="2"/>
    <n v="379.78"/>
    <n v="0.2"/>
    <s v="Credit Card"/>
    <n v="607.64800000000002"/>
    <n v="384065.2532318848"/>
    <n v="387"/>
    <x v="504"/>
    <n v="0.15599928175985164"/>
    <n v="2.4906657113272295"/>
    <n v="467.46948095315418"/>
    <n v="247.40699999999998"/>
    <x v="5"/>
  </r>
  <r>
    <s v="SALE865"/>
    <d v="2025-04-23T00:00:00"/>
    <s v="CUST1248"/>
    <s v="PROD43"/>
    <s v="STORE8"/>
    <n v="3"/>
    <n v="924.15"/>
    <n v="0.1"/>
    <s v="PayPal"/>
    <n v="2495.2049999999999"/>
    <n v="383457.60523188469"/>
    <n v="386"/>
    <x v="505"/>
    <n v="0.15596044617446755"/>
    <n v="2.4910987790336083"/>
    <n v="467.54687678806431"/>
    <n v="855.61374999999998"/>
    <x v="10"/>
  </r>
  <r>
    <s v="SALE866"/>
    <d v="2024-10-06T00:00:00"/>
    <s v="CUST1469"/>
    <s v="PROD45"/>
    <s v="STORE17"/>
    <n v="3"/>
    <n v="144.66999999999999"/>
    <n v="0.28999999999999998"/>
    <s v="COD"/>
    <n v="308.14710000000002"/>
    <n v="383457.60523188469"/>
    <n v="386"/>
    <x v="506"/>
    <n v="0.15600988119758988"/>
    <n v="2.4906492196511292"/>
    <n v="467.14351713858383"/>
    <n v="114.026775"/>
    <x v="11"/>
  </r>
  <r>
    <s v="SALE867"/>
    <d v="2025-02-12T00:00:00"/>
    <s v="CUST1121"/>
    <s v="PROD33"/>
    <s v="STORE15"/>
    <n v="2"/>
    <n v="667.17"/>
    <n v="0.1"/>
    <s v="PayPal"/>
    <n v="1200.9059999999999"/>
    <n v="383457.60523188469"/>
    <n v="386"/>
    <x v="345"/>
    <n v="0.15589141071235346"/>
    <n v="2.4901988652918465"/>
    <n v="467.42863961173902"/>
    <n v="467.54399999999998"/>
    <x v="6"/>
  </r>
  <r>
    <s v="SALE868"/>
    <d v="2024-03-31T00:00:00"/>
    <s v="CUST1402"/>
    <s v="PROD66"/>
    <s v="STORE3"/>
    <n v="1"/>
    <n v="984.6"/>
    <n v="0.22"/>
    <s v="Credit Card"/>
    <n v="767.98800000000006"/>
    <n v="383457.60523188469"/>
    <n v="386"/>
    <x v="408"/>
    <n v="0.15594087213776262"/>
    <n v="2.4906326695974146"/>
    <n v="467.25187734590878"/>
    <n v="438.452"/>
    <x v="9"/>
  </r>
  <r>
    <s v="SALE869"/>
    <d v="2023-11-30T00:00:00"/>
    <s v="CUST1279"/>
    <s v="PROD13"/>
    <s v="STORE8"/>
    <n v="1"/>
    <n v="139.29"/>
    <n v="0.15"/>
    <s v="Credit Card"/>
    <n v="139.29"/>
    <n v="382689.61723188474"/>
    <n v="385"/>
    <x v="382"/>
    <n v="0.15588413243195021"/>
    <n v="2.4919529819708401"/>
    <n v="466.79364163053771"/>
    <n v="69.932500000000005"/>
    <x v="3"/>
  </r>
  <r>
    <s v="SALE870"/>
    <d v="2025-02-14T00:00:00"/>
    <s v="CUST1033"/>
    <s v="PROD16"/>
    <s v="STORE8"/>
    <n v="3"/>
    <n v="459.57"/>
    <n v="0.1"/>
    <s v="COD"/>
    <n v="1240.8389999999999"/>
    <n v="382550.3272318847"/>
    <n v="384"/>
    <x v="404"/>
    <n v="0.15588934886141118"/>
    <n v="2.4932756353236512"/>
    <n v="467.08398173836616"/>
    <n v="425.87725"/>
    <x v="6"/>
  </r>
  <r>
    <s v="SALE871"/>
    <d v="2024-01-11T00:00:00"/>
    <s v="CUST1066"/>
    <s v="PROD40"/>
    <s v="STORE15"/>
    <n v="1"/>
    <n v="517.82000000000005"/>
    <n v="0.28999999999999998"/>
    <s v="Credit Card"/>
    <n v="367.65219999999999"/>
    <n v="382550.3272318847"/>
    <n v="384"/>
    <x v="29"/>
    <n v="0.15593894012038312"/>
    <n v="2.4928260129947457"/>
    <n v="467.09064898036985"/>
    <n v="221.69055"/>
    <x v="4"/>
  </r>
  <r>
    <s v="SALE872"/>
    <d v="2024-12-27T00:00:00"/>
    <s v="CUST1379"/>
    <s v="PROD76"/>
    <s v="STORE6"/>
    <n v="4"/>
    <n v="282.45"/>
    <n v="0.28999999999999998"/>
    <s v="COD"/>
    <n v="802.1579999999999"/>
    <n v="382182.67503188469"/>
    <n v="383"/>
    <x v="507"/>
    <n v="0.15581988056453977"/>
    <n v="2.4941517909814195"/>
    <n v="467.04559627076111"/>
    <n v="272.22449999999998"/>
    <x v="1"/>
  </r>
  <r>
    <s v="SALE873"/>
    <d v="2023-11-20T00:00:00"/>
    <s v="CUST1455"/>
    <s v="PROD87"/>
    <s v="STORE7"/>
    <n v="2"/>
    <n v="386.46"/>
    <n v="0.23"/>
    <s v="COD"/>
    <n v="595.14840000000004"/>
    <n v="382182.67503188469"/>
    <n v="383"/>
    <x v="400"/>
    <n v="0.15570060934726382"/>
    <n v="2.4928132592400698"/>
    <n v="467.20968124522403"/>
    <n v="245.95960000000002"/>
    <x v="3"/>
  </r>
  <r>
    <s v="SALE874"/>
    <d v="2025-01-04T00:00:00"/>
    <s v="CUST1195"/>
    <s v="PROD19"/>
    <s v="STORE3"/>
    <n v="1"/>
    <n v="270.45"/>
    <n v="0.15"/>
    <s v="COD"/>
    <n v="229.88249999999999"/>
    <n v="382182.67503188469"/>
    <n v="383"/>
    <x v="232"/>
    <n v="0.15563450668654075"/>
    <n v="2.4932517052002479"/>
    <n v="467.28152259864498"/>
    <n v="125.37062499999999"/>
    <x v="4"/>
  </r>
  <r>
    <s v="SALE875"/>
    <d v="2024-07-20T00:00:00"/>
    <s v="CUST1041"/>
    <s v="PROD76"/>
    <s v="STORE10"/>
    <n v="4"/>
    <n v="762.94"/>
    <n v="0.09"/>
    <s v="COD"/>
    <n v="2777.1016"/>
    <n v="382182.67503188469"/>
    <n v="383"/>
    <x v="508"/>
    <n v="0.15563952405669795"/>
    <n v="2.4945814039582177"/>
    <n v="467.45679554842121"/>
    <n v="886.03290000000004"/>
    <x v="0"/>
  </r>
  <r>
    <s v="SALE876"/>
    <d v="2023-11-12T00:00:00"/>
    <s v="CUST1494"/>
    <s v="PROD41"/>
    <s v="STORE13"/>
    <n v="1"/>
    <n v="409.03"/>
    <n v="0.25"/>
    <s v="COD"/>
    <n v="306.77249999999998"/>
    <n v="382182.67503188469"/>
    <n v="383"/>
    <x v="495"/>
    <n v="0.15569802630630283"/>
    <n v="2.4932396761542592"/>
    <n v="467.1934415337584"/>
    <n v="179.263125"/>
    <x v="3"/>
  </r>
  <r>
    <s v="SALE877"/>
    <d v="2024-04-29T00:00:00"/>
    <s v="CUST1219"/>
    <s v="PROD96"/>
    <s v="STORE18"/>
    <n v="2"/>
    <n v="891.13"/>
    <n v="0.13"/>
    <s v="Credit Card"/>
    <n v="1550.5662"/>
    <n v="382182.67503188469"/>
    <n v="383"/>
    <x v="168"/>
    <n v="0.15561390322539856"/>
    <n v="2.494571736525494"/>
    <n v="467.24532685180816"/>
    <n v="610.95654999999999"/>
    <x v="10"/>
  </r>
  <r>
    <s v="SALE878"/>
    <d v="2024-10-28T00:00:00"/>
    <s v="CUST1032"/>
    <s v="PROD92"/>
    <s v="STORE16"/>
    <n v="1"/>
    <n v="553.38"/>
    <n v="0.21"/>
    <s v="PayPal"/>
    <n v="437.17020000000002"/>
    <n v="380632.10883188469"/>
    <n v="382"/>
    <x v="31"/>
    <n v="0.15563677278184981"/>
    <n v="2.4950133184331063"/>
    <n v="466.8668583936402"/>
    <n v="247.94005000000001"/>
    <x v="11"/>
  </r>
  <r>
    <s v="SALE879"/>
    <d v="2023-12-21T00:00:00"/>
    <s v="CUST1160"/>
    <s v="PROD85"/>
    <s v="STORE13"/>
    <n v="2"/>
    <n v="652.29999999999995"/>
    <n v="0.16"/>
    <s v="COD"/>
    <n v="1095.864"/>
    <n v="380632.10883188469"/>
    <n v="382"/>
    <x v="374"/>
    <n v="0.15558819080935815"/>
    <n v="2.4963493446336718"/>
    <n v="466.78954548782576"/>
    <n v="437.58100000000002"/>
    <x v="1"/>
  </r>
  <r>
    <s v="SALE880"/>
    <d v="2024-10-10T00:00:00"/>
    <s v="CUST1122"/>
    <s v="PROD42"/>
    <s v="STORE9"/>
    <n v="4"/>
    <n v="194.36"/>
    <n v="0.18"/>
    <s v="COD"/>
    <n v="637.50080000000014"/>
    <n v="380632.10883188469"/>
    <n v="382"/>
    <x v="509"/>
    <n v="0.1555842446472914"/>
    <n v="2.4967933064803929"/>
    <n v="466.62361484872719"/>
    <n v="209.01020000000005"/>
    <x v="11"/>
  </r>
  <r>
    <s v="SALE881"/>
    <d v="2025-01-03T00:00:00"/>
    <s v="CUST1153"/>
    <s v="PROD92"/>
    <s v="STORE1"/>
    <n v="3"/>
    <n v="476.37"/>
    <n v="0.21"/>
    <s v="COD"/>
    <n v="1128.9969000000001"/>
    <n v="380632.10883188469"/>
    <n v="382"/>
    <x v="510"/>
    <n v="0.15556238631662647"/>
    <n v="2.4954475529499365"/>
    <n v="466.86736025145655"/>
    <n v="402.14422500000001"/>
    <x v="4"/>
  </r>
  <r>
    <s v="SALE882"/>
    <d v="2024-03-09T00:00:00"/>
    <s v="CUST1365"/>
    <s v="PROD40"/>
    <s v="STORE5"/>
    <n v="3"/>
    <n v="174.57"/>
    <n v="0.15"/>
    <s v="PayPal"/>
    <n v="523.71"/>
    <n v="380632.10883188469"/>
    <n v="382"/>
    <x v="398"/>
    <n v="0.15551360709289588"/>
    <n v="2.4949954450224721"/>
    <n v="466.85884534128763"/>
    <n v="175.35750000000002"/>
    <x v="9"/>
  </r>
  <r>
    <s v="SALE883"/>
    <d v="2024-08-22T00:00:00"/>
    <s v="CUST1119"/>
    <s v="PROD85"/>
    <s v="STORE0"/>
    <n v="3"/>
    <n v="762"/>
    <n v="0.02"/>
    <s v="PayPal"/>
    <n v="2240.2800000000002"/>
    <n v="380632.10883188469"/>
    <n v="382"/>
    <x v="455"/>
    <n v="0.15551855203199261"/>
    <n v="2.4945425261390843"/>
    <n v="467.12098780347719"/>
    <n v="751.32500000000005"/>
    <x v="7"/>
  </r>
  <r>
    <s v="SALE884"/>
    <d v="2024-04-13T00:00:00"/>
    <s v="CUST1425"/>
    <s v="PROD72"/>
    <s v="STORE19"/>
    <n v="1"/>
    <n v="44.08"/>
    <n v="0.05"/>
    <s v="Credit Card"/>
    <n v="41.875999999999998"/>
    <n v="380632.10883188469"/>
    <n v="382"/>
    <x v="511"/>
    <n v="0.15564020243776641"/>
    <n v="2.4940887941158696"/>
    <n v="466.85628491999734"/>
    <n v="21.7515"/>
    <x v="10"/>
  </r>
  <r>
    <s v="SALE885"/>
    <d v="2024-06-23T00:00:00"/>
    <s v="CUST1495"/>
    <s v="PROD59"/>
    <s v="STORE13"/>
    <n v="1"/>
    <n v="992.37"/>
    <n v="0.24"/>
    <s v="COD"/>
    <n v="754.20119999999997"/>
    <n v="380590.2328318847"/>
    <n v="381"/>
    <x v="23"/>
    <n v="0.1557351172647545"/>
    <n v="2.4954311919542489"/>
    <n v="467.23613782648425"/>
    <n v="436.95280000000002"/>
    <x v="2"/>
  </r>
  <r>
    <s v="SALE886"/>
    <d v="2025-08-07T00:00:00"/>
    <s v="CUST1201"/>
    <s v="PROD31"/>
    <s v="STORE10"/>
    <n v="3"/>
    <n v="465.4"/>
    <n v="0.28999999999999998"/>
    <s v="COD"/>
    <n v="991.30199999999979"/>
    <n v="380590.2328318847"/>
    <n v="381"/>
    <x v="213"/>
    <n v="0.1556593394925106"/>
    <n v="2.4967760041772293"/>
    <n v="466.76389514467354"/>
    <n v="364.99799999999993"/>
    <x v="7"/>
  </r>
  <r>
    <s v="SALE887"/>
    <d v="2025-03-08T00:00:00"/>
    <s v="CUST1337"/>
    <s v="PROD16"/>
    <s v="STORE10"/>
    <n v="2"/>
    <n v="693.61"/>
    <n v="0.15"/>
    <s v="PayPal"/>
    <n v="1179.1369999999999"/>
    <n v="380590.2328318847"/>
    <n v="381"/>
    <x v="512"/>
    <n v="0.15553842080618521"/>
    <n v="2.4963230572862991"/>
    <n v="466.76512277306654"/>
    <n v="468.72424999999998"/>
    <x v="9"/>
  </r>
  <r>
    <s v="SALE888"/>
    <d v="2025-05-24T00:00:00"/>
    <s v="CUST1465"/>
    <s v="PROD67"/>
    <s v="STORE8"/>
    <n v="2"/>
    <n v="995.11"/>
    <n v="0.13"/>
    <s v="PayPal"/>
    <n v="1731.4914000000001"/>
    <n v="380590.2328318847"/>
    <n v="381"/>
    <x v="11"/>
    <n v="0.15554341037447908"/>
    <n v="2.4967701951757464"/>
    <n v="466.56075801880809"/>
    <n v="682.18285000000003"/>
    <x v="5"/>
  </r>
  <r>
    <s v="SALE889"/>
    <d v="2025-04-02T00:00:00"/>
    <s v="CUST1381"/>
    <s v="PROD23"/>
    <s v="STORE4"/>
    <n v="3"/>
    <n v="70.97"/>
    <n v="0.06"/>
    <s v="COD"/>
    <n v="200.1354"/>
    <n v="380590.2328318847"/>
    <n v="381"/>
    <x v="513"/>
    <n v="0.15556644320619636"/>
    <n v="2.4972181394455171"/>
    <n v="466.08415816129576"/>
    <n v="68.541349999999994"/>
    <x v="10"/>
  </r>
  <r>
    <s v="SALE890"/>
    <d v="2024-02-03T00:00:00"/>
    <s v="CUST1113"/>
    <s v="PROD83"/>
    <s v="STORE9"/>
    <n v="3"/>
    <n v="470.42"/>
    <n v="0.16"/>
    <s v="Credit Card"/>
    <n v="1185.4584"/>
    <n v="380590.2328318847"/>
    <n v="381"/>
    <x v="474"/>
    <n v="0.15565269450872904"/>
    <n v="2.4967643652031395"/>
    <n v="466.44075938707311"/>
    <n v="414.75959999999998"/>
    <x v="6"/>
  </r>
  <r>
    <s v="SALE891"/>
    <d v="2025-10-02T00:00:00"/>
    <s v="CUST1314"/>
    <s v="PROD86"/>
    <s v="STORE16"/>
    <n v="2"/>
    <n v="215.59"/>
    <n v="0.18"/>
    <s v="Credit Card"/>
    <n v="353.56760000000003"/>
    <n v="379404.7744318847"/>
    <n v="380"/>
    <x v="230"/>
    <n v="0.15564876740349753"/>
    <n v="2.4963097711337654"/>
    <n v="466.43716477043989"/>
    <n v="142.83440000000002"/>
    <x v="11"/>
  </r>
  <r>
    <s v="SALE892"/>
    <d v="2025-08-26T00:00:00"/>
    <s v="CUST1239"/>
    <s v="PROD92"/>
    <s v="STORE0"/>
    <n v="1"/>
    <n v="533.79999999999995"/>
    <n v="0.27"/>
    <s v="COD"/>
    <n v="389.67399999999998"/>
    <n v="379051.20683188469"/>
    <n v="379"/>
    <x v="371"/>
    <n v="0.15562675001416976"/>
    <n v="2.4967585141456405"/>
    <n v="466.66397052520523"/>
    <n v="231.18599999999998"/>
    <x v="7"/>
  </r>
  <r>
    <s v="SALE893"/>
    <d v="2024-11-18T00:00:00"/>
    <s v="CUST1093"/>
    <s v="PROD32"/>
    <s v="STORE3"/>
    <n v="2"/>
    <n v="732.67"/>
    <n v="0.24"/>
    <s v="PayPal"/>
    <n v="1113.6584"/>
    <n v="379051.20683188469"/>
    <n v="379"/>
    <x v="339"/>
    <n v="0.15552324481056271"/>
    <n v="2.4981130467376276"/>
    <n v="466.60321393744533"/>
    <n v="462.14210000000003"/>
    <x v="3"/>
  </r>
  <r>
    <s v="SALE894"/>
    <d v="2023-11-17T00:00:00"/>
    <s v="CUST1489"/>
    <s v="PROD60"/>
    <s v="STORE13"/>
    <n v="4"/>
    <n v="106.48"/>
    <n v="0.1"/>
    <s v="COD"/>
    <n v="383.32799999999997"/>
    <n v="379051.20683188469"/>
    <n v="379"/>
    <x v="514"/>
    <n v="0.15544672601057224"/>
    <n v="2.4985642360915565"/>
    <n v="466.36221141383788"/>
    <n v="123.47699999999999"/>
    <x v="3"/>
  </r>
  <r>
    <s v="SALE895"/>
    <d v="2025-02-08T00:00:00"/>
    <s v="CUST1105"/>
    <s v="PROD57"/>
    <s v="STORE3"/>
    <n v="1"/>
    <n v="38.950000000000003"/>
    <n v="0.28000000000000003"/>
    <s v="Credit Card"/>
    <n v="28.044"/>
    <n v="379051.20683188469"/>
    <n v="379"/>
    <x v="515"/>
    <n v="0.15549699502780762"/>
    <n v="2.4972030069311679"/>
    <n v="466.68848721747679"/>
    <n v="17.0685"/>
    <x v="6"/>
  </r>
  <r>
    <s v="SALE896"/>
    <d v="2024-01-03T00:00:00"/>
    <s v="CUST1431"/>
    <s v="PROD96"/>
    <s v="STORE16"/>
    <n v="1"/>
    <n v="835.17"/>
    <n v="0.02"/>
    <s v="COD"/>
    <n v="818.46659999999997"/>
    <n v="379023.16283188469"/>
    <n v="378"/>
    <x v="26"/>
    <n v="0.15538401589443901"/>
    <n v="2.4985616303494358"/>
    <n v="467.0766346650426"/>
    <n v="413.66414999999995"/>
    <x v="4"/>
  </r>
  <r>
    <s v="SALE897"/>
    <d v="2024-04-07T00:00:00"/>
    <s v="CUST1134"/>
    <s v="PROD83"/>
    <s v="STORE3"/>
    <n v="1"/>
    <n v="113.07"/>
    <n v="0.24"/>
    <s v="Credit Card"/>
    <n v="85.933199999999999"/>
    <n v="379023.16283188469"/>
    <n v="378"/>
    <x v="257"/>
    <n v="0.15550698048653203"/>
    <n v="2.4999227217484812"/>
    <n v="466.74230826600996"/>
    <n v="50.0608"/>
    <x v="10"/>
  </r>
  <r>
    <s v="SALE898"/>
    <d v="2025-09-30T00:00:00"/>
    <s v="CUST1466"/>
    <s v="PROD94"/>
    <s v="STORE12"/>
    <n v="2"/>
    <n v="451.33"/>
    <n v="0.23"/>
    <s v="COD"/>
    <n v="695.04819999999995"/>
    <n v="378937.22963188466"/>
    <n v="377"/>
    <x v="516"/>
    <n v="0.15543016865061071"/>
    <n v="2.5012862878591622"/>
    <n v="467.06382854625178"/>
    <n v="287.15204999999997"/>
    <x v="8"/>
  </r>
  <r>
    <s v="SALE899"/>
    <d v="2024-06-13T00:00:00"/>
    <s v="CUST1372"/>
    <s v="PROD86"/>
    <s v="STORE6"/>
    <n v="3"/>
    <n v="619.80999999999995"/>
    <n v="0.16"/>
    <s v="COD"/>
    <n v="1561.9212"/>
    <n v="378937.22963188466"/>
    <n v="377"/>
    <x v="441"/>
    <n v="0.15536231621080235"/>
    <n v="2.5017424173294618"/>
    <n v="467.07814504174434"/>
    <n v="546.22280000000001"/>
    <x v="2"/>
  </r>
  <r>
    <s v="SALE900"/>
    <d v="2025-02-25T00:00:00"/>
    <s v="CUST1108"/>
    <s v="PROD62"/>
    <s v="STORE7"/>
    <n v="4"/>
    <n v="46.97"/>
    <n v="0.26"/>
    <s v="PayPal"/>
    <n v="139.03120000000001"/>
    <n v="378937.22963188466"/>
    <n v="377"/>
    <x v="219"/>
    <n v="0.15535809245507448"/>
    <n v="2.5012886308242974"/>
    <n v="466.93904499169122"/>
    <n v="47.565300000000001"/>
    <x v="6"/>
  </r>
  <r>
    <s v="SALE901"/>
    <d v="2025-05-07T00:00:00"/>
    <s v="CUST1184"/>
    <s v="PROD46"/>
    <s v="STORE2"/>
    <n v="2"/>
    <n v="71.48"/>
    <n v="0.14000000000000001"/>
    <s v="COD"/>
    <n v="122.9456"/>
    <n v="378937.22963188466"/>
    <n v="377"/>
    <x v="517"/>
    <n v="0.15526270329596334"/>
    <n v="2.4999224399681661"/>
    <n v="467.32187912568548"/>
    <n v="49.141400000000004"/>
    <x v="5"/>
  </r>
  <r>
    <s v="SALE902"/>
    <d v="2025-06-04T00:00:00"/>
    <s v="CUST1000"/>
    <s v="PROD56"/>
    <s v="STORE19"/>
    <n v="2"/>
    <n v="404.08"/>
    <n v="7.0000000000000007E-2"/>
    <s v="Credit Card"/>
    <n v="751.58879999999988"/>
    <n v="378937.22963188466"/>
    <n v="377"/>
    <x v="162"/>
    <n v="0.15527662912013848"/>
    <n v="2.5003785735812758"/>
    <n v="467.68304872342782"/>
    <n v="289.43469999999996"/>
    <x v="2"/>
  </r>
  <r>
    <s v="SALE903"/>
    <d v="2024-12-27T00:00:00"/>
    <s v="CUST1264"/>
    <s v="PROD17"/>
    <s v="STORE16"/>
    <n v="1"/>
    <n v="519.91"/>
    <n v="0.05"/>
    <s v="COD"/>
    <n v="493.91449999999992"/>
    <n v="378185.6408318847"/>
    <n v="376"/>
    <x v="507"/>
    <n v="0.15535450732024819"/>
    <n v="2.5008355403151401"/>
    <n v="467.74113369943097"/>
    <n v="253.71862499999997"/>
    <x v="1"/>
  </r>
  <r>
    <s v="SALE904"/>
    <d v="2025-01-15T00:00:00"/>
    <s v="CUST1145"/>
    <s v="PROD48"/>
    <s v="STORE13"/>
    <n v="3"/>
    <n v="566.16"/>
    <n v="0.05"/>
    <s v="PayPal"/>
    <n v="1613.556"/>
    <n v="378185.6408318847"/>
    <n v="376"/>
    <x v="265"/>
    <n v="0.15545080942931605"/>
    <n v="2.5022074192368176"/>
    <n v="467.69344734997901"/>
    <n v="545.69150000000002"/>
    <x v="4"/>
  </r>
  <r>
    <s v="SALE905"/>
    <d v="2025-05-22T00:00:00"/>
    <s v="CUST1392"/>
    <s v="PROD52"/>
    <s v="STORE10"/>
    <n v="2"/>
    <n v="295.12"/>
    <n v="0.09"/>
    <s v="COD"/>
    <n v="537.11840000000007"/>
    <n v="378185.6408318847"/>
    <n v="376"/>
    <x v="518"/>
    <n v="0.15554728775450299"/>
    <n v="2.5017519822919296"/>
    <n v="467.60335901269622"/>
    <n v="208.58210000000003"/>
    <x v="5"/>
  </r>
  <r>
    <s v="SALE906"/>
    <d v="2025-07-10T00:00:00"/>
    <s v="CUST1109"/>
    <s v="PROD34"/>
    <s v="STORE11"/>
    <n v="2"/>
    <n v="414.18"/>
    <n v="0.25"/>
    <s v="PayPal"/>
    <n v="621.27"/>
    <n v="378185.6408318847"/>
    <n v="376"/>
    <x v="84"/>
    <n v="0.15560731274328918"/>
    <n v="2.5022114621291927"/>
    <n v="467.76131080666391"/>
    <n v="259.42500000000001"/>
    <x v="0"/>
  </r>
  <r>
    <s v="SALE907"/>
    <d v="2025-09-18T00:00:00"/>
    <s v="CUST1268"/>
    <s v="PROD58"/>
    <s v="STORE8"/>
    <n v="2"/>
    <n v="433.75"/>
    <n v="0.15"/>
    <s v="Credit Card"/>
    <n v="867.5"/>
    <n v="378185.6408318847"/>
    <n v="376"/>
    <x v="147"/>
    <n v="0.15552079332325552"/>
    <n v="2.5026717842759658"/>
    <n v="467.81042291556088"/>
    <n v="325.85000000000002"/>
    <x v="8"/>
  </r>
  <r>
    <s v="SALE908"/>
    <d v="2023-12-28T00:00:00"/>
    <s v="CUST1281"/>
    <s v="PROD85"/>
    <s v="STORE19"/>
    <n v="3"/>
    <n v="104.33"/>
    <n v="0.13"/>
    <s v="COD"/>
    <n v="272.30130000000003"/>
    <n v="377318.1408318847"/>
    <n v="375"/>
    <x v="519"/>
    <n v="0.1555258582712585"/>
    <n v="2.5031329510505307"/>
    <n v="467.84167100997882"/>
    <n v="94.940325000000001"/>
    <x v="1"/>
  </r>
  <r>
    <s v="SALE909"/>
    <d v="2024-07-04T00:00:00"/>
    <s v="CUST1464"/>
    <s v="PROD4"/>
    <s v="STORE12"/>
    <n v="1"/>
    <n v="221.7"/>
    <n v="0.04"/>
    <s v="Credit Card"/>
    <n v="212.83199999999999"/>
    <n v="377318.1408318847"/>
    <n v="375"/>
    <x v="471"/>
    <n v="0.15554929799418896"/>
    <n v="2.5026766911341398"/>
    <n v="468.17547419731585"/>
    <n v="108.893"/>
    <x v="0"/>
  </r>
  <r>
    <s v="SALE910"/>
    <d v="2025-05-19T00:00:00"/>
    <s v="CUST1211"/>
    <s v="PROD67"/>
    <s v="STORE5"/>
    <n v="2"/>
    <n v="491.26"/>
    <n v="0.14000000000000001"/>
    <s v="COD"/>
    <n v="844.96719999999993"/>
    <n v="377105.3088318847"/>
    <n v="374"/>
    <x v="254"/>
    <n v="0.15565550139308068"/>
    <n v="2.5040578277987855"/>
    <n v="468.40201415521784"/>
    <n v="334.59179999999998"/>
    <x v="5"/>
  </r>
  <r>
    <s v="SALE911"/>
    <d v="2024-12-04T00:00:00"/>
    <s v="CUST1181"/>
    <s v="PROD37"/>
    <s v="STORE8"/>
    <n v="4"/>
    <n v="923.14"/>
    <n v="0.15"/>
    <s v="Credit Card"/>
    <n v="3138.6759999999999"/>
    <n v="377105.3088318847"/>
    <n v="374"/>
    <x v="520"/>
    <n v="0.15566990387826291"/>
    <n v="2.5045215424517742"/>
    <n v="468.38098564938088"/>
    <n v="1016.4915"/>
    <x v="1"/>
  </r>
  <r>
    <s v="SALE912"/>
    <d v="2024-11-29T00:00:00"/>
    <s v="CUST1193"/>
    <s v="PROD64"/>
    <s v="STORE7"/>
    <n v="2"/>
    <n v="747.65"/>
    <n v="0.08"/>
    <s v="Credit Card"/>
    <n v="1375.6759999999999"/>
    <n v="373966.63283188466"/>
    <n v="373"/>
    <x v="450"/>
    <n v="0.15567512478422818"/>
    <n v="2.5031444904650813"/>
    <n v="467.96223885900275"/>
    <n v="531.35149999999999"/>
    <x v="3"/>
  </r>
  <r>
    <s v="SALE913"/>
    <d v="2025-04-26T00:00:00"/>
    <s v="CUST1109"/>
    <s v="PROD42"/>
    <s v="STORE7"/>
    <n v="3"/>
    <n v="94.55"/>
    <n v="0.13"/>
    <s v="COD"/>
    <n v="246.77549999999999"/>
    <n v="372590.95683188463"/>
    <n v="372"/>
    <x v="218"/>
    <n v="0.15574487144301546"/>
    <n v="2.5036082181060628"/>
    <n v="467.70446212062393"/>
    <n v="86.113874999999993"/>
    <x v="10"/>
  </r>
  <r>
    <s v="SALE914"/>
    <d v="2024-01-17T00:00:00"/>
    <s v="CUST1039"/>
    <s v="PROD15"/>
    <s v="STORE19"/>
    <n v="3"/>
    <n v="620.12"/>
    <n v="0.06"/>
    <s v="Credit Card"/>
    <n v="1748.7384"/>
    <n v="372590.95683188463"/>
    <n v="372"/>
    <x v="238"/>
    <n v="0.15576862132442043"/>
    <n v="2.5031502921080064"/>
    <n v="468.04870055431451"/>
    <n v="592.9796"/>
    <x v="4"/>
  </r>
  <r>
    <s v="SALE915"/>
    <d v="2025-07-31T00:00:00"/>
    <s v="CUST1486"/>
    <s v="PROD69"/>
    <s v="STORE6"/>
    <n v="2"/>
    <n v="354.09"/>
    <n v="0.12"/>
    <s v="COD"/>
    <n v="623.19839999999999"/>
    <n v="370842.21843188466"/>
    <n v="371"/>
    <x v="9"/>
    <n v="0.15585705033764707"/>
    <n v="2.502691520447903"/>
    <n v="467.90828384199165"/>
    <n v="244.85210000000001"/>
    <x v="0"/>
  </r>
  <r>
    <s v="SALE916"/>
    <d v="2024-11-25T00:00:00"/>
    <s v="CUST1130"/>
    <s v="PROD53"/>
    <s v="STORE5"/>
    <n v="3"/>
    <n v="214.94"/>
    <n v="0.22"/>
    <s v="COD"/>
    <n v="502.95960000000002"/>
    <n v="370842.21843188466"/>
    <n v="371"/>
    <x v="284"/>
    <n v="0.15589018994054693"/>
    <n v="2.5031561151987791"/>
    <n v="468.01347634092144"/>
    <n v="180.2799"/>
    <x v="3"/>
  </r>
  <r>
    <s v="SALE917"/>
    <d v="2024-05-16T00:00:00"/>
    <s v="CUST1199"/>
    <s v="PROD9"/>
    <s v="STORE12"/>
    <n v="2"/>
    <n v="309.77999999999997"/>
    <n v="0.16"/>
    <s v="Credit Card"/>
    <n v="520.43039999999996"/>
    <n v="370842.21843188466"/>
    <n v="371"/>
    <x v="504"/>
    <n v="0.15583088391829025"/>
    <n v="2.5026965001342076"/>
    <n v="468.24758686482613"/>
    <n v="208.0926"/>
    <x v="5"/>
  </r>
  <r>
    <s v="SALE918"/>
    <d v="2025-05-30T00:00:00"/>
    <s v="CUST1069"/>
    <s v="PROD13"/>
    <s v="STORE3"/>
    <n v="2"/>
    <n v="183.85"/>
    <n v="0.14000000000000001"/>
    <s v="PayPal"/>
    <n v="316.22199999999998"/>
    <n v="370321.78803188464"/>
    <n v="370"/>
    <x v="185"/>
    <n v="0.15582702362562204"/>
    <n v="2.5031619598565542"/>
    <n v="468.39431611192316"/>
    <n v="125.553"/>
    <x v="5"/>
  </r>
  <r>
    <s v="SALE919"/>
    <d v="2023-11-08T00:00:00"/>
    <s v="CUST1409"/>
    <s v="PROD70"/>
    <s v="STORE0"/>
    <n v="1"/>
    <n v="550.05999999999995"/>
    <n v="0.01"/>
    <s v="Credit Card"/>
    <n v="544.55939999999998"/>
    <n v="370321.78803188464"/>
    <n v="370"/>
    <x v="353"/>
    <n v="0.15584169185882465"/>
    <n v="2.5036282823402023"/>
    <n v="468.65802724826403"/>
    <n v="273.90734999999995"/>
    <x v="3"/>
  </r>
  <r>
    <s v="SALE920"/>
    <d v="2023-11-23T00:00:00"/>
    <s v="CUST1029"/>
    <s v="PROD79"/>
    <s v="STORE4"/>
    <n v="2"/>
    <n v="32.19"/>
    <n v="0.13"/>
    <s v="COD"/>
    <n v="56.010599999999997"/>
    <n v="369777.22863188467"/>
    <n v="369"/>
    <x v="205"/>
    <n v="0.15597698099784027"/>
    <n v="2.5050231137709447"/>
    <n v="468.58251521417156"/>
    <n v="22.582650000000001"/>
    <x v="3"/>
  </r>
  <r>
    <s v="SALE921"/>
    <d v="2024-06-17T00:00:00"/>
    <s v="CUST1138"/>
    <s v="PROD33"/>
    <s v="STORE19"/>
    <n v="2"/>
    <n v="892.06"/>
    <n v="0.08"/>
    <s v="Credit Card"/>
    <n v="1641.3904"/>
    <n v="369777.22863188467"/>
    <n v="369"/>
    <x v="325"/>
    <n v="0.15600110075735543"/>
    <n v="2.5054920303111219"/>
    <n v="468.98770789310771"/>
    <n v="633.88260000000002"/>
    <x v="2"/>
  </r>
  <r>
    <s v="SALE922"/>
    <d v="2024-12-02T00:00:00"/>
    <s v="CUST1472"/>
    <s v="PROD58"/>
    <s v="STORE6"/>
    <n v="1"/>
    <n v="127.47"/>
    <n v="0.16"/>
    <s v="COD"/>
    <n v="107.0748"/>
    <n v="368135.8382318847"/>
    <n v="368"/>
    <x v="312"/>
    <n v="0.15607173375062436"/>
    <n v="2.5059618184433816"/>
    <n v="468.59451803055481"/>
    <n v="58.926199999999994"/>
    <x v="1"/>
  </r>
  <r>
    <s v="SALE923"/>
    <d v="2025-05-01T00:00:00"/>
    <s v="CUST1388"/>
    <s v="PROD77"/>
    <s v="STORE14"/>
    <n v="3"/>
    <n v="212.87"/>
    <n v="0.18"/>
    <s v="Credit Card"/>
    <n v="523.66020000000003"/>
    <n v="368135.8382318847"/>
    <n v="368"/>
    <x v="428"/>
    <n v="0.15606807954946214"/>
    <n v="2.5073627131582126"/>
    <n v="468.91184316360653"/>
    <n v="184.92755"/>
    <x v="5"/>
  </r>
  <r>
    <s v="SALE924"/>
    <d v="2024-06-28T00:00:00"/>
    <s v="CUST1181"/>
    <s v="PROD81"/>
    <s v="STORE7"/>
    <n v="1"/>
    <n v="26.37"/>
    <n v="0.3"/>
    <s v="COD"/>
    <n v="18.459"/>
    <n v="367612.17803188472"/>
    <n v="367"/>
    <x v="521"/>
    <n v="0.1560457965695268"/>
    <n v="2.5069040192226058"/>
    <n v="469.15024339001582"/>
    <n v="11.532250000000001"/>
    <x v="2"/>
  </r>
  <r>
    <s v="SALE925"/>
    <d v="2025-04-23T00:00:00"/>
    <s v="CUST1466"/>
    <s v="PROD34"/>
    <s v="STORE18"/>
    <n v="4"/>
    <n v="953.98"/>
    <n v="0.16"/>
    <s v="Credit Card"/>
    <n v="3205.3728000000001"/>
    <n v="367612.17803188472"/>
    <n v="367"/>
    <x v="505"/>
    <n v="0.15591163608170719"/>
    <n v="2.5083084032106973"/>
    <n v="469.56289972122744"/>
    <n v="1040.8782000000001"/>
    <x v="10"/>
  </r>
  <r>
    <s v="SALE926"/>
    <d v="2024-03-18T00:00:00"/>
    <s v="CUST1215"/>
    <s v="PROD67"/>
    <s v="STORE19"/>
    <n v="3"/>
    <n v="968.88"/>
    <n v="0.15"/>
    <s v="Credit Card"/>
    <n v="2470.6439999999998"/>
    <n v="364406.8052318847"/>
    <n v="366"/>
    <x v="19"/>
    <n v="0.15590782230939537"/>
    <n v="2.5069168998554834"/>
    <n v="469.11101809783304"/>
    <n v="860.66849999999999"/>
    <x v="9"/>
  </r>
  <r>
    <s v="SALE927"/>
    <d v="2025-09-10T00:00:00"/>
    <s v="CUST1187"/>
    <s v="PROD76"/>
    <s v="STORE18"/>
    <n v="1"/>
    <n v="533.04999999999995"/>
    <n v="0.11"/>
    <s v="PayPal"/>
    <n v="474.41449999999998"/>
    <n v="361936.16123188462"/>
    <n v="365"/>
    <x v="126"/>
    <n v="0.1559133384833537"/>
    <n v="2.5064565048039942"/>
    <n v="468.64438039297573"/>
    <n v="252.14362499999999"/>
    <x v="8"/>
  </r>
  <r>
    <s v="SALE928"/>
    <d v="2024-12-11T00:00:00"/>
    <s v="CUST1381"/>
    <s v="PROD81"/>
    <s v="STORE1"/>
    <n v="3"/>
    <n v="138.86000000000001"/>
    <n v="0.11"/>
    <s v="PayPal"/>
    <n v="370.75619999999998"/>
    <n v="361936.16123188462"/>
    <n v="365"/>
    <x v="17"/>
    <n v="0.1559562481454877"/>
    <n v="2.5078644080795121"/>
    <n v="468.58418822511857"/>
    <n v="128.18155000000002"/>
    <x v="1"/>
  </r>
  <r>
    <s v="SALE929"/>
    <d v="2025-02-18T00:00:00"/>
    <s v="CUST1159"/>
    <s v="PROD22"/>
    <s v="STORE0"/>
    <n v="1"/>
    <n v="588.92999999999995"/>
    <n v="0.03"/>
    <s v="COD"/>
    <n v="571.26209999999992"/>
    <n v="361936.16123188462"/>
    <n v="365"/>
    <x v="52"/>
    <n v="0.15599923808762564"/>
    <n v="2.5074040380215883"/>
    <n v="468.8926299353385"/>
    <n v="290.30552499999999"/>
    <x v="6"/>
  </r>
  <r>
    <s v="SALE930"/>
    <d v="2024-09-22T00:00:00"/>
    <s v="CUST1403"/>
    <s v="PROD52"/>
    <s v="STORE5"/>
    <n v="2"/>
    <n v="576.83000000000004"/>
    <n v="0.19"/>
    <s v="PayPal"/>
    <n v="934.46460000000013"/>
    <n v="361936.16123188462"/>
    <n v="365"/>
    <x v="278"/>
    <n v="0.15611721490231445"/>
    <n v="2.5088154650234813"/>
    <n v="468.78023539407951"/>
    <n v="378.37115000000006"/>
    <x v="8"/>
  </r>
  <r>
    <s v="SALE931"/>
    <d v="2024-02-16T00:00:00"/>
    <s v="CUST1323"/>
    <s v="PROD65"/>
    <s v="STORE12"/>
    <n v="1"/>
    <n v="681.3"/>
    <n v="0.05"/>
    <s v="Credit Card"/>
    <n v="647.2349999999999"/>
    <n v="361936.16123188462"/>
    <n v="365"/>
    <x v="214"/>
    <n v="0.15608545971478144"/>
    <n v="2.5092923305014794"/>
    <n v="468.67897038507675"/>
    <n v="332.39624999999995"/>
    <x v="6"/>
  </r>
  <r>
    <s v="SALE932"/>
    <d v="2024-05-29T00:00:00"/>
    <s v="CUST1457"/>
    <s v="PROD25"/>
    <s v="STORE15"/>
    <n v="3"/>
    <n v="504.97"/>
    <n v="0.3"/>
    <s v="Credit Card"/>
    <n v="1060.4369999999999"/>
    <n v="361288.92623188469"/>
    <n v="364"/>
    <x v="522"/>
    <n v="0.15618497703158707"/>
    <n v="2.5107081769653639"/>
    <n v="468.47951350926542"/>
    <n v="392.17674999999997"/>
    <x v="5"/>
  </r>
  <r>
    <s v="SALE933"/>
    <d v="2024-04-14T00:00:00"/>
    <s v="CUST1060"/>
    <s v="PROD38"/>
    <s v="STORE11"/>
    <n v="3"/>
    <n v="649.78"/>
    <n v="0.1"/>
    <s v="PayPal"/>
    <n v="1754.4059999999999"/>
    <n v="360228.48923188465"/>
    <n v="363"/>
    <x v="523"/>
    <n v="0.15604993945133502"/>
    <n v="2.5102487480235474"/>
    <n v="468.44525014166851"/>
    <n v="601.82150000000001"/>
    <x v="10"/>
  </r>
  <r>
    <s v="SALE934"/>
    <d v="2024-01-26T00:00:00"/>
    <s v="CUST1245"/>
    <s v="PROD39"/>
    <s v="STORE9"/>
    <n v="2"/>
    <n v="986.73"/>
    <n v="0.05"/>
    <s v="PayPal"/>
    <n v="1874.787"/>
    <n v="360228.48923188465"/>
    <n v="363"/>
    <x v="524"/>
    <n v="0.15610261796585698"/>
    <n v="2.5097884554934944"/>
    <n v="468.27482274518508"/>
    <n v="715.89175"/>
    <x v="4"/>
  </r>
  <r>
    <s v="SALE935"/>
    <d v="2023-11-05T00:00:00"/>
    <s v="CUST1119"/>
    <s v="PROD13"/>
    <s v="STORE15"/>
    <n v="2"/>
    <n v="65.44"/>
    <n v="0.05"/>
    <s v="PayPal"/>
    <n v="124.336"/>
    <n v="360228.48923188465"/>
    <n v="363"/>
    <x v="163"/>
    <n v="0.15620243228191139"/>
    <n v="2.5102680307103271"/>
    <n v="467.78709445049572"/>
    <n v="47.956499999999998"/>
    <x v="3"/>
  </r>
  <r>
    <s v="SALE936"/>
    <d v="2025-06-16T00:00:00"/>
    <s v="CUST1383"/>
    <s v="PROD63"/>
    <s v="STORE13"/>
    <n v="3"/>
    <n v="953.74"/>
    <n v="0.04"/>
    <s v="Credit Card"/>
    <n v="2746.7712000000001"/>
    <n v="360228.48923188465"/>
    <n v="363"/>
    <x v="317"/>
    <n v="0.1563024345721957"/>
    <n v="2.5107485090819943"/>
    <n v="468.16595235487466"/>
    <n v="925.88779999999997"/>
    <x v="2"/>
  </r>
  <r>
    <s v="SALE937"/>
    <d v="2024-09-08T00:00:00"/>
    <s v="CUST1067"/>
    <s v="PROD76"/>
    <s v="STORE10"/>
    <n v="3"/>
    <n v="904.48"/>
    <n v="0.21"/>
    <s v="PayPal"/>
    <n v="2143.6176"/>
    <n v="357481.71803188464"/>
    <n v="362"/>
    <x v="525"/>
    <n v="0.15641205043889897"/>
    <n v="2.5102873860933816"/>
    <n v="467.70829538254185"/>
    <n v="762.82690000000002"/>
    <x v="8"/>
  </r>
  <r>
    <s v="SALE938"/>
    <d v="2024-10-30T00:00:00"/>
    <s v="CUST1492"/>
    <s v="PROD62"/>
    <s v="STORE15"/>
    <n v="3"/>
    <n v="920.82"/>
    <n v="0.1"/>
    <s v="PayPal"/>
    <n v="2486.2139999999999"/>
    <n v="357481.71803188464"/>
    <n v="362"/>
    <x v="526"/>
    <n v="0.1563614957695017"/>
    <n v="2.5098253930613943"/>
    <n v="467.29624660460087"/>
    <n v="852.5335"/>
    <x v="11"/>
  </r>
  <r>
    <s v="SALE939"/>
    <d v="2025-05-26T00:00:00"/>
    <s v="CUST1305"/>
    <s v="PROD28"/>
    <s v="STORE1"/>
    <n v="1"/>
    <n v="182.28"/>
    <n v="0.15"/>
    <s v="COD"/>
    <n v="154.93799999999999"/>
    <n v="357481.71803188464"/>
    <n v="362"/>
    <x v="225"/>
    <n v="0.15641471720082323"/>
    <n v="2.5093625275213203"/>
    <n v="466.86798999138512"/>
    <n v="84.591999999999999"/>
    <x v="5"/>
  </r>
  <r>
    <s v="SALE940"/>
    <d v="2025-08-11T00:00:00"/>
    <s v="CUST1445"/>
    <s v="PROD31"/>
    <s v="STORE16"/>
    <n v="3"/>
    <n v="938.68"/>
    <n v="0.14000000000000001"/>
    <s v="Credit Card"/>
    <n v="2421.7944000000002"/>
    <n v="357481.71803188464"/>
    <n v="362"/>
    <x v="200"/>
    <n v="0.15642078026055939"/>
    <n v="2.5107891461673706"/>
    <n v="467.13697674941102"/>
    <n v="840.9036000000001"/>
    <x v="7"/>
  </r>
  <r>
    <s v="SALE941"/>
    <d v="2025-02-02T00:00:00"/>
    <s v="CUST1081"/>
    <s v="PROD91"/>
    <s v="STORE5"/>
    <n v="3"/>
    <n v="219.96"/>
    <n v="0.18"/>
    <s v="PayPal"/>
    <n v="541.10160000000008"/>
    <n v="355059.92363188462"/>
    <n v="361"/>
    <x v="527"/>
    <n v="0.15643631553043691"/>
    <n v="2.5103263165989387"/>
    <n v="466.69086225248526"/>
    <n v="191.06040000000002"/>
    <x v="6"/>
  </r>
  <r>
    <s v="SALE942"/>
    <d v="2025-07-03T00:00:00"/>
    <s v="CUST1473"/>
    <s v="PROD71"/>
    <s v="STORE18"/>
    <n v="3"/>
    <n v="385.74"/>
    <n v="0.27"/>
    <s v="Credit Card"/>
    <n v="844.77059999999994"/>
    <n v="355059.92363188462"/>
    <n v="361"/>
    <x v="484"/>
    <n v="0.15641400143529524"/>
    <n v="2.5098626104593547"/>
    <n v="466.92450890234551"/>
    <n v="308.44515000000001"/>
    <x v="0"/>
  </r>
  <r>
    <s v="SALE943"/>
    <d v="2024-03-29T00:00:00"/>
    <s v="CUST1453"/>
    <s v="PROD81"/>
    <s v="STORE18"/>
    <n v="2"/>
    <n v="830.94"/>
    <n v="0.28000000000000003"/>
    <s v="PayPal"/>
    <n v="1196.5536"/>
    <n v="354215.15303188463"/>
    <n v="360"/>
    <x v="264"/>
    <n v="0.15630633698167942"/>
    <n v="2.5093980252559986"/>
    <n v="467.00146104348522"/>
    <n v="507.4434"/>
    <x v="9"/>
  </r>
  <r>
    <s v="SALE944"/>
    <d v="2024-07-30T00:00:00"/>
    <s v="CUST1383"/>
    <s v="PROD3"/>
    <s v="STORE9"/>
    <n v="3"/>
    <n v="462.75"/>
    <n v="0.22"/>
    <s v="PayPal"/>
    <n v="1082.835"/>
    <n v="354215.15303188463"/>
    <n v="360"/>
    <x v="112"/>
    <n v="0.15618898056515351"/>
    <n v="2.5098813250902068"/>
    <n v="466.65616831202738"/>
    <n v="387.20125000000002"/>
    <x v="0"/>
  </r>
  <r>
    <s v="SALE945"/>
    <d v="2024-10-02T00:00:00"/>
    <s v="CUST1067"/>
    <s v="PROD14"/>
    <s v="STORE15"/>
    <n v="4"/>
    <n v="973.9"/>
    <n v="0.02"/>
    <s v="COD"/>
    <n v="3817.6880000000001"/>
    <n v="354215.15303188463"/>
    <n v="360"/>
    <x v="528"/>
    <n v="0.15612838130643095"/>
    <n v="2.5094158752564848"/>
    <n v="466.65987787357722"/>
    <n v="1198.902"/>
    <x v="11"/>
  </r>
  <r>
    <s v="SALE946"/>
    <d v="2024-11-04T00:00:00"/>
    <s v="CUST1140"/>
    <s v="PROD35"/>
    <s v="STORE1"/>
    <n v="2"/>
    <n v="157.18"/>
    <n v="0.15"/>
    <s v="Credit Card"/>
    <n v="267.20600000000002"/>
    <n v="354215.15303188463"/>
    <n v="360"/>
    <x v="167"/>
    <n v="0.15625778090843326"/>
    <n v="2.5079989701949414"/>
    <n v="466.17771045710725"/>
    <n v="106.63400000000001"/>
    <x v="3"/>
  </r>
  <r>
    <s v="SALE947"/>
    <d v="2024-05-03T00:00:00"/>
    <s v="CUST1013"/>
    <s v="PROD73"/>
    <s v="STORE13"/>
    <n v="3"/>
    <n v="239.57"/>
    <n v="0.16"/>
    <s v="Credit Card"/>
    <n v="603.71640000000002"/>
    <n v="353947.94703188463"/>
    <n v="359"/>
    <x v="529"/>
    <n v="0.15626373502918342"/>
    <n v="2.5084823184063545"/>
    <n v="466.47171398751362"/>
    <n v="211.61160000000001"/>
    <x v="5"/>
  </r>
  <r>
    <s v="SALE948"/>
    <d v="2024-02-21T00:00:00"/>
    <s v="CUST1327"/>
    <s v="PROD9"/>
    <s v="STORE16"/>
    <n v="4"/>
    <n v="583.21"/>
    <n v="0.2"/>
    <s v="Credit Card"/>
    <n v="1866.2719999999999"/>
    <n v="353344.23063188465"/>
    <n v="358"/>
    <x v="530"/>
    <n v="0.15626017668159217"/>
    <n v="2.5080142063286459"/>
    <n v="466.68781085797792"/>
    <n v="613.42049999999995"/>
    <x v="6"/>
  </r>
  <r>
    <s v="SALE949"/>
    <d v="2024-04-17T00:00:00"/>
    <s v="CUST1413"/>
    <s v="PROD81"/>
    <s v="STORE8"/>
    <n v="3"/>
    <n v="758.75"/>
    <n v="0.27"/>
    <s v="PayPal"/>
    <n v="1661.6624999999999"/>
    <n v="351477.9586318846"/>
    <n v="357"/>
    <x v="531"/>
    <n v="0.15621847999587396"/>
    <n v="2.5065919129123722"/>
    <n v="466.57673155469672"/>
    <n v="605.92062499999997"/>
    <x v="10"/>
  </r>
  <r>
    <s v="SALE950"/>
    <d v="2025-02-01T00:00:00"/>
    <s v="CUST1309"/>
    <s v="PROD61"/>
    <s v="STORE5"/>
    <n v="4"/>
    <n v="372.42"/>
    <n v="0.19"/>
    <s v="Credit Card"/>
    <n v="1206.6407999999999"/>
    <n v="351477.9586318846"/>
    <n v="357"/>
    <x v="50"/>
    <n v="0.15610990984319825"/>
    <n v="2.5061211036689683"/>
    <n v="466.29794026801233"/>
    <n v="395.81269999999995"/>
    <x v="6"/>
  </r>
  <r>
    <s v="SALE951"/>
    <d v="2025-02-11T00:00:00"/>
    <s v="CUST1154"/>
    <s v="PROD63"/>
    <s v="STORE19"/>
    <n v="4"/>
    <n v="286.27999999999997"/>
    <n v="0.28000000000000003"/>
    <s v="PayPal"/>
    <n v="824.48639999999989"/>
    <n v="350271.3178318846"/>
    <n v="356"/>
    <x v="322"/>
    <n v="0.15607754108469127"/>
    <n v="2.5046942852388527"/>
    <n v="466.38760401229888"/>
    <n v="278.76159999999993"/>
    <x v="6"/>
  </r>
  <r>
    <s v="SALE952"/>
    <d v="2025-01-06T00:00:00"/>
    <s v="CUST1279"/>
    <s v="PROD73"/>
    <s v="STORE11"/>
    <n v="3"/>
    <n v="488.37"/>
    <n v="0.27"/>
    <s v="COD"/>
    <n v="1069.5302999999999"/>
    <n v="350271.3178318846"/>
    <n v="356"/>
    <x v="261"/>
    <n v="0.15595906837062309"/>
    <n v="2.5032647386664233"/>
    <n v="466.55979101422264"/>
    <n v="390.29257499999994"/>
    <x v="4"/>
  </r>
  <r>
    <s v="SALE953"/>
    <d v="2024-03-26T00:00:00"/>
    <s v="CUST1469"/>
    <s v="PROD87"/>
    <s v="STORE8"/>
    <n v="3"/>
    <n v="662.82"/>
    <n v="0.01"/>
    <s v="COD"/>
    <n v="1968.5753999999999"/>
    <n v="350271.3178318846"/>
    <n v="356"/>
    <x v="532"/>
    <n v="0.15584993829250887"/>
    <n v="2.5027893939187353"/>
    <n v="466.53892000083914"/>
    <n v="658.60135000000002"/>
    <x v="9"/>
  </r>
  <r>
    <s v="SALE954"/>
    <d v="2024-04-30T00:00:00"/>
    <s v="CUST1497"/>
    <s v="PROD6"/>
    <s v="STORE16"/>
    <n v="2"/>
    <n v="824.34"/>
    <n v="0.1"/>
    <s v="COD"/>
    <n v="1483.8119999999999"/>
    <n v="350271.3178318846"/>
    <n v="356"/>
    <x v="502"/>
    <n v="0.15598964129853615"/>
    <n v="2.5023131385489257"/>
    <n v="466.35091130352191"/>
    <n v="577.56299999999999"/>
    <x v="10"/>
  </r>
  <r>
    <s v="SALE955"/>
    <d v="2024-02-27T00:00:00"/>
    <s v="CUST1113"/>
    <s v="PROD59"/>
    <s v="STORE8"/>
    <n v="1"/>
    <n v="437.12"/>
    <n v="0.21"/>
    <s v="Credit Card"/>
    <n v="345.32479999999998"/>
    <n v="350271.3178318846"/>
    <n v="356"/>
    <x v="209"/>
    <n v="0.15604332264206305"/>
    <n v="2.5027947427086081"/>
    <n v="466.00768111301716"/>
    <n v="195.91370000000001"/>
    <x v="6"/>
  </r>
  <r>
    <s v="SALE956"/>
    <d v="2024-07-13T00:00:00"/>
    <s v="CUST1357"/>
    <s v="PROD88"/>
    <s v="STORE6"/>
    <n v="3"/>
    <n v="23.37"/>
    <n v="0.15"/>
    <s v="PayPal"/>
    <n v="59.593499999999999"/>
    <n v="349925.9930318846"/>
    <n v="355"/>
    <x v="40"/>
    <n v="0.15599154080198824"/>
    <n v="2.5042369641507469"/>
    <n v="466.0354044154289"/>
    <n v="21.528375"/>
    <x v="0"/>
  </r>
  <r>
    <s v="SALE957"/>
    <d v="2025-04-14T00:00:00"/>
    <s v="CUST1187"/>
    <s v="PROD36"/>
    <s v="STORE8"/>
    <n v="1"/>
    <n v="579.69000000000005"/>
    <n v="0.02"/>
    <s v="Credit Card"/>
    <n v="568.09620000000007"/>
    <n v="349925.9930318846"/>
    <n v="355"/>
    <x v="533"/>
    <n v="0.15599729636471829"/>
    <n v="2.5037607268444555"/>
    <n v="466.46063535146675"/>
    <n v="287.20155"/>
    <x v="10"/>
  </r>
  <r>
    <s v="SALE958"/>
    <d v="2024-12-13T00:00:00"/>
    <s v="CUST1430"/>
    <s v="PROD78"/>
    <s v="STORE14"/>
    <n v="3"/>
    <n v="240.51"/>
    <n v="7.0000000000000007E-2"/>
    <s v="Credit Card"/>
    <n v="671.02289999999994"/>
    <n v="349357.89683188457"/>
    <n v="354"/>
    <x v="236"/>
    <n v="0.15612806299583823"/>
    <n v="2.5052066506202677"/>
    <n v="466.3517609623816"/>
    <n v="228.65072499999997"/>
    <x v="1"/>
  </r>
  <r>
    <s v="Sales_ID"/>
    <s v="Order_Date"/>
    <s v="Customer_ID"/>
    <s v="Product_ID"/>
    <s v="Store_ID"/>
    <s v="Quantity"/>
    <s v="Unit_Price"/>
    <s v="Discount"/>
    <s v="Payment_Type"/>
    <s v="Total_Amount"/>
    <s v="sumif "/>
    <s v="countif"/>
    <x v="534"/>
    <s v="average Discount"/>
    <s v="Quantity Avg"/>
    <s v="unit price average"/>
    <s v="mean"/>
    <x v="12"/>
  </r>
  <r>
    <s v="SALE959"/>
    <d v="2024-07-07T00:00:00"/>
    <s v="CUST1409"/>
    <s v="PROD97"/>
    <s v="STORE3"/>
    <n v="2.4917091350811198"/>
    <n v="493.43406960973999"/>
    <n v="0.15270144351189599"/>
    <s v="Credit Card"/>
    <n v="1044.98537089873"/>
    <n v="348686.87393188459"/>
    <n v="353"/>
    <x v="0"/>
    <n v="0.15621095814790353"/>
    <n v="2.5047304298797672"/>
    <n v="466.56912550613754"/>
    <n v="385.26596277176577"/>
    <x v="0"/>
  </r>
  <r>
    <s v="SALE960"/>
    <d v="2023-12-25T00:00:00"/>
    <s v="CUST1467"/>
    <s v="PROD74"/>
    <s v="STORE17"/>
    <n v="2.49173422428112"/>
    <n v="493.38230671166002"/>
    <n v="0.15270820558248599"/>
    <s v="PayPal"/>
    <n v="1044.8773744392799"/>
    <n v="347641.8885609858"/>
    <n v="352"/>
    <x v="1"/>
    <n v="0.15621433918319835"/>
    <n v="2.504742974479766"/>
    <n v="466.54324405709741"/>
    <n v="385.22603089520089"/>
    <x v="1"/>
  </r>
  <r>
    <s v="SALE961"/>
    <d v="2024-06-03T00:00:00"/>
    <s v="CUST1056"/>
    <s v="PROD49"/>
    <s v="STORE8"/>
    <n v="2.4917593134811198"/>
    <n v="493.33054381357999"/>
    <n v="0.15271496765307599"/>
    <s v="Credit Card"/>
    <n v="1044.7693779798201"/>
    <n v="347641.8885609858"/>
    <n v="352"/>
    <x v="2"/>
    <n v="0.15621772021849312"/>
    <n v="2.5047555190797643"/>
    <n v="466.5173626080574"/>
    <n v="385.18609901863357"/>
    <x v="2"/>
  </r>
  <r>
    <s v="SALE962"/>
    <d v="2023-11-29T00:00:00"/>
    <s v="CUST1346"/>
    <s v="PROD76"/>
    <s v="STORE8"/>
    <n v="2.49178440268112"/>
    <n v="493.27878091550002"/>
    <n v="0.15272172972366499"/>
    <s v="COD"/>
    <n v="1044.66138152037"/>
    <n v="346597.119183006"/>
    <n v="351"/>
    <x v="3"/>
    <n v="0.15622110125378794"/>
    <n v="2.5047680636797636"/>
    <n v="466.49148115901733"/>
    <n v="385.14616714206869"/>
    <x v="3"/>
  </r>
  <r>
    <s v="SALE963"/>
    <d v="2024-01-06T00:00:00"/>
    <s v="CUST1493"/>
    <s v="PROD59"/>
    <s v="STORE5"/>
    <n v="2.49180949188111"/>
    <n v="493.22701801741999"/>
    <n v="0.15272849179425499"/>
    <s v="Credit Card"/>
    <n v="1044.5533850609199"/>
    <n v="346597.119183006"/>
    <n v="351"/>
    <x v="4"/>
    <n v="0.15622448228908273"/>
    <n v="2.5047806082797619"/>
    <n v="466.46559970997725"/>
    <n v="385.10623526550381"/>
    <x v="4"/>
  </r>
  <r>
    <s v="SALE964"/>
    <d v="2024-07-26T00:00:00"/>
    <s v="CUST1116"/>
    <s v="PROD15"/>
    <s v="STORE7"/>
    <n v="2.4918345810811098"/>
    <n v="493.175255119339"/>
    <n v="0.15273525386484399"/>
    <s v="COD"/>
    <n v="1044.4453886014701"/>
    <n v="345552.56579794508"/>
    <n v="350"/>
    <x v="5"/>
    <n v="0.15622786332437752"/>
    <n v="2.5047931528797607"/>
    <n v="466.43971826093718"/>
    <n v="385.06630338893876"/>
    <x v="0"/>
  </r>
  <r>
    <s v="SALE965"/>
    <d v="2025-07-12T00:00:00"/>
    <s v="CUST1016"/>
    <s v="PROD56"/>
    <s v="STORE4"/>
    <n v="2.49185967028111"/>
    <n v="493.12349222125903"/>
    <n v="0.15274201593543399"/>
    <s v="PayPal"/>
    <n v="1044.33739214202"/>
    <n v="345552.56579794508"/>
    <n v="350"/>
    <x v="6"/>
    <n v="0.15623124435967234"/>
    <n v="2.5048056974797595"/>
    <n v="466.41383681189711"/>
    <n v="385.02637151237388"/>
    <x v="0"/>
  </r>
  <r>
    <s v="SALE966"/>
    <d v="2023-11-18T00:00:00"/>
    <s v="CUST1152"/>
    <s v="PROD70"/>
    <s v="STORE8"/>
    <n v="2.4918847594811102"/>
    <n v="493.071729323179"/>
    <n v="0.15274877800602399"/>
    <s v="PayPal"/>
    <n v="1044.2293956825699"/>
    <n v="345552.56579794508"/>
    <n v="350"/>
    <x v="7"/>
    <n v="0.15623462539496716"/>
    <n v="2.5048182420797582"/>
    <n v="466.38795536285704"/>
    <n v="384.98643963580901"/>
    <x v="3"/>
  </r>
  <r>
    <s v="SALE967"/>
    <d v="2025-05-04T00:00:00"/>
    <s v="CUST1187"/>
    <s v="PROD99"/>
    <s v="STORE5"/>
    <n v="2.4919098486811002"/>
    <n v="493.01996642509903"/>
    <n v="0.15275554007661299"/>
    <s v="PayPal"/>
    <n v="1044.1213992231101"/>
    <n v="345552.56579794508"/>
    <n v="350"/>
    <x v="8"/>
    <n v="0.15623800643026195"/>
    <n v="2.5048307866797566"/>
    <n v="466.36207391381697"/>
    <n v="384.94650775924168"/>
    <x v="5"/>
  </r>
  <r>
    <s v="SALE968"/>
    <d v="2025-07-31T00:00:00"/>
    <s v="CUST1464"/>
    <s v="PROD33"/>
    <s v="STORE0"/>
    <n v="2.4919349378811"/>
    <n v="492.968203527019"/>
    <n v="0.15276230214720299"/>
    <s v="PayPal"/>
    <n v="1044.01340276366"/>
    <n v="345552.56579794508"/>
    <n v="350"/>
    <x v="9"/>
    <n v="0.15624138746555677"/>
    <n v="2.5048433312797553"/>
    <n v="466.33619246477684"/>
    <n v="384.90657588267686"/>
    <x v="0"/>
  </r>
  <r>
    <s v="SALE969"/>
    <d v="2024-02-13T00:00:00"/>
    <s v="CUST1065"/>
    <s v="PROD24"/>
    <s v="STORE14"/>
    <n v="2.4919600270811002"/>
    <n v="492.91644062893897"/>
    <n v="0.15276906421779199"/>
    <s v="Credit Card"/>
    <n v="1043.9054063042099"/>
    <n v="345552.56579794508"/>
    <n v="350"/>
    <x v="10"/>
    <n v="0.15624476850085156"/>
    <n v="2.5048558758797541"/>
    <n v="466.31031101573672"/>
    <n v="384.86664400611198"/>
    <x v="6"/>
  </r>
  <r>
    <s v="SALE970"/>
    <d v="2025-05-24T00:00:00"/>
    <s v="CUST1320"/>
    <s v="PROD39"/>
    <s v="STORE1"/>
    <n v="2.4919851162811"/>
    <n v="492.86467773085798"/>
    <n v="0.15277582628838199"/>
    <s v="Credit Card"/>
    <n v="1043.7974098447601"/>
    <n v="344508.66039164085"/>
    <n v="349"/>
    <x v="11"/>
    <n v="0.15624814953614635"/>
    <n v="2.5048684204797529"/>
    <n v="466.2844295666967"/>
    <n v="384.82671212954688"/>
    <x v="5"/>
  </r>
  <r>
    <s v="SALE971"/>
    <d v="2024-08-24T00:00:00"/>
    <s v="CUST1237"/>
    <s v="PROD88"/>
    <s v="STORE4"/>
    <n v="2.49201020548109"/>
    <n v="492.81291483277801"/>
    <n v="0.15278258835897199"/>
    <s v="Credit Card"/>
    <n v="1043.68941338531"/>
    <n v="343464.86298179615"/>
    <n v="348"/>
    <x v="12"/>
    <n v="0.15625153057144117"/>
    <n v="2.5048809650797517"/>
    <n v="466.25854811765663"/>
    <n v="384.786780252982"/>
    <x v="7"/>
  </r>
  <r>
    <s v="SALE972"/>
    <d v="2025-08-06T00:00:00"/>
    <s v="CUST1443"/>
    <s v="PROD34"/>
    <s v="STORE16"/>
    <n v="2.4920352946810902"/>
    <n v="492.76115193469798"/>
    <n v="0.15278935042956099"/>
    <s v="PayPal"/>
    <n v="1043.5814169258599"/>
    <n v="342421.17356841086"/>
    <n v="347"/>
    <x v="13"/>
    <n v="0.15625491160673596"/>
    <n v="2.5048935096797504"/>
    <n v="466.2326666686165"/>
    <n v="384.74684837641712"/>
    <x v="7"/>
  </r>
  <r>
    <s v="SALE973"/>
    <d v="2025-06-21T00:00:00"/>
    <s v="CUST1348"/>
    <s v="PROD24"/>
    <s v="STORE15"/>
    <n v="2.49206038388109"/>
    <n v="492.70938903661801"/>
    <n v="0.15279611250015099"/>
    <s v="PayPal"/>
    <n v="1043.4734204664001"/>
    <n v="342421.17356841086"/>
    <n v="347"/>
    <x v="14"/>
    <n v="0.15625829264203078"/>
    <n v="2.5049060542797488"/>
    <n v="466.20678521957643"/>
    <n v="384.70691649984985"/>
    <x v="2"/>
  </r>
  <r>
    <s v="SALE974"/>
    <d v="2024-12-10T00:00:00"/>
    <s v="CUST1435"/>
    <s v="PROD36"/>
    <s v="STORE9"/>
    <n v="2.49208547308108"/>
    <n v="492.65762613853798"/>
    <n v="0.15280287457073999"/>
    <s v="COD"/>
    <n v="1043.36542400695"/>
    <n v="342421.17356841086"/>
    <n v="347"/>
    <x v="15"/>
    <n v="0.1562616736773256"/>
    <n v="2.504918598879748"/>
    <n v="466.18090377053636"/>
    <n v="384.66698462328497"/>
    <x v="1"/>
  </r>
  <r>
    <s v="SALE975"/>
    <d v="2025-09-13T00:00:00"/>
    <s v="CUST1276"/>
    <s v="PROD65"/>
    <s v="STORE19"/>
    <n v="2.4921105622810802"/>
    <n v="492.60586324045801"/>
    <n v="0.15280963664132999"/>
    <s v="Credit Card"/>
    <n v="1043.2574275474999"/>
    <n v="342421.17356841086"/>
    <n v="347"/>
    <x v="16"/>
    <n v="0.15626505471262042"/>
    <n v="2.5049311434797463"/>
    <n v="466.15502232149635"/>
    <n v="384.6270527467201"/>
    <x v="8"/>
  </r>
  <r>
    <s v="SALE976"/>
    <d v="2024-12-11T00:00:00"/>
    <s v="CUST1079"/>
    <s v="PROD27"/>
    <s v="STORE4"/>
    <n v="2.49213565148108"/>
    <n v="492.55410034237798"/>
    <n v="0.15281639871191999"/>
    <s v="Credit Card"/>
    <n v="1043.1494310880501"/>
    <n v="341377.91614086332"/>
    <n v="346"/>
    <x v="17"/>
    <n v="0.15626843574791519"/>
    <n v="2.5049436880797451"/>
    <n v="466.12914087245622"/>
    <n v="384.58712087015527"/>
    <x v="1"/>
  </r>
  <r>
    <s v="SALE977"/>
    <d v="2024-08-13T00:00:00"/>
    <s v="CUST1094"/>
    <s v="PROD39"/>
    <s v="STORE4"/>
    <n v="2.4921607406810802"/>
    <n v="492.50233744429698"/>
    <n v="0.15282316078250899"/>
    <s v="COD"/>
    <n v="1043.0414346286"/>
    <n v="340334.76670977526"/>
    <n v="345"/>
    <x v="18"/>
    <n v="0.15627181678321"/>
    <n v="2.5049562326797439"/>
    <n v="466.10325942341615"/>
    <n v="384.54718899359011"/>
    <x v="7"/>
  </r>
  <r>
    <s v="SALE978"/>
    <d v="2024-03-18T00:00:00"/>
    <s v="CUST1239"/>
    <s v="PROD60"/>
    <s v="STORE13"/>
    <n v="2.4921858298810702"/>
    <n v="492.45057454621701"/>
    <n v="0.15282992285309899"/>
    <s v="COD"/>
    <n v="1042.9334381691499"/>
    <n v="340334.76670977526"/>
    <n v="345"/>
    <x v="19"/>
    <n v="0.1562751978185048"/>
    <n v="2.5049687772797427"/>
    <n v="466.07737797437608"/>
    <n v="384.50725711702523"/>
    <x v="9"/>
  </r>
  <r>
    <s v="SALE979"/>
    <d v="2025-07-05T00:00:00"/>
    <s v="CUST1144"/>
    <s v="PROD72"/>
    <s v="STORE17"/>
    <n v="2.49221091908107"/>
    <n v="492.39881164813698"/>
    <n v="0.15283668492368899"/>
    <s v="COD"/>
    <n v="1042.82544170969"/>
    <n v="340334.76670977526"/>
    <n v="345"/>
    <x v="20"/>
    <n v="0.15627857885379964"/>
    <n v="2.5049813218797414"/>
    <n v="466.05149652533606"/>
    <n v="384.46732524045797"/>
    <x v="0"/>
  </r>
  <r>
    <s v="SALE980"/>
    <d v="2024-06-04T00:00:00"/>
    <s v="CUST1396"/>
    <s v="PROD43"/>
    <s v="STORE18"/>
    <n v="2.4922360082810702"/>
    <n v="492.34704875005701"/>
    <n v="0.15284344699427799"/>
    <s v="Credit Card"/>
    <n v="1042.71744525024"/>
    <n v="340334.76670977526"/>
    <n v="345"/>
    <x v="21"/>
    <n v="0.15628195988909444"/>
    <n v="2.5049938664797402"/>
    <n v="466.02561507629588"/>
    <n v="384.42739336389309"/>
    <x v="2"/>
  </r>
  <r>
    <s v="SALE981"/>
    <d v="2024-04-12T00:00:00"/>
    <s v="CUST1476"/>
    <s v="PROD69"/>
    <s v="STORE10"/>
    <n v="2.4922610974810699"/>
    <n v="492.29528585197698"/>
    <n v="0.15285020906486799"/>
    <s v="PayPal"/>
    <n v="1042.6094487907901"/>
    <n v="339292.04926452506"/>
    <n v="344"/>
    <x v="22"/>
    <n v="0.15628534092438925"/>
    <n v="2.5050064110797385"/>
    <n v="465.99973362725581"/>
    <n v="384.38746148732827"/>
    <x v="10"/>
  </r>
  <r>
    <s v="SALE982"/>
    <d v="2024-06-23T00:00:00"/>
    <s v="CUST1368"/>
    <s v="PROD12"/>
    <s v="STORE8"/>
    <n v="2.4922861866810599"/>
    <n v="492.24352295389701"/>
    <n v="0.15285697113545699"/>
    <s v="Credit Card"/>
    <n v="1042.50145233134"/>
    <n v="339292.04926452506"/>
    <n v="344"/>
    <x v="23"/>
    <n v="0.15628872195968405"/>
    <n v="2.5050189556797378"/>
    <n v="465.97385217821574"/>
    <n v="384.34752961076339"/>
    <x v="2"/>
  </r>
  <r>
    <s v="SALE983"/>
    <d v="2025-09-08T00:00:00"/>
    <s v="CUST1186"/>
    <s v="PROD67"/>
    <s v="STORE6"/>
    <n v="2.4923112758810602"/>
    <n v="492.19176005581602"/>
    <n v="0.15286373320604699"/>
    <s v="Credit Card"/>
    <n v="1042.39345587189"/>
    <n v="338249.54781219375"/>
    <n v="343"/>
    <x v="24"/>
    <n v="0.15629210299497884"/>
    <n v="2.5050315002797365"/>
    <n v="465.94797072917567"/>
    <n v="384.30759773419828"/>
    <x v="8"/>
  </r>
  <r>
    <s v="SALE984"/>
    <d v="2024-09-17T00:00:00"/>
    <s v="CUST1381"/>
    <s v="PROD5"/>
    <s v="STORE3"/>
    <n v="2.4923363650810599"/>
    <n v="492.13999715773599"/>
    <n v="0.15287049527663699"/>
    <s v="PayPal"/>
    <n v="1042.2854594124301"/>
    <n v="337207.15435632184"/>
    <n v="342"/>
    <x v="25"/>
    <n v="0.15629548403027363"/>
    <n v="2.5050440448797349"/>
    <n v="465.92208928013565"/>
    <n v="384.26766585763096"/>
    <x v="8"/>
  </r>
  <r>
    <s v="SALE985"/>
    <d v="2024-01-03T00:00:00"/>
    <s v="CUST1213"/>
    <s v="PROD98"/>
    <s v="STORE8"/>
    <n v="2.4923614542810602"/>
    <n v="492.08823425965602"/>
    <n v="0.15287725734722599"/>
    <s v="Credit Card"/>
    <n v="1042.17746295298"/>
    <n v="337207.15435632184"/>
    <n v="342"/>
    <x v="26"/>
    <n v="0.15629886506556845"/>
    <n v="2.5050565894797336"/>
    <n v="465.89620783109552"/>
    <n v="384.22773398106608"/>
    <x v="4"/>
  </r>
  <r>
    <s v="SALE986"/>
    <d v="2025-02-22T00:00:00"/>
    <s v="CUST1200"/>
    <s v="PROD77"/>
    <s v="STORE8"/>
    <n v="2.4923865434810502"/>
    <n v="492.03647136157599"/>
    <n v="0.15288401941781599"/>
    <s v="Credit Card"/>
    <n v="1042.0694664935299"/>
    <n v="336164.97689336888"/>
    <n v="341"/>
    <x v="27"/>
    <n v="0.15630224610086327"/>
    <n v="2.5050691340797324"/>
    <n v="465.8703263820554"/>
    <n v="384.1878021045012"/>
    <x v="6"/>
  </r>
  <r>
    <s v="SALE987"/>
    <d v="2025-09-23T00:00:00"/>
    <s v="CUST1148"/>
    <s v="PROD13"/>
    <s v="STORE2"/>
    <n v="2.4924116326810499"/>
    <n v="491.98470846349602"/>
    <n v="0.15289078148840499"/>
    <s v="PayPal"/>
    <n v="1041.9614700340801"/>
    <n v="335122.90742687532"/>
    <n v="340"/>
    <x v="28"/>
    <n v="0.15630562713615806"/>
    <n v="2.5050816786797312"/>
    <n v="465.84444493301538"/>
    <n v="384.14787022793638"/>
    <x v="8"/>
  </r>
  <r>
    <s v="SALE988"/>
    <d v="2024-01-11T00:00:00"/>
    <s v="CUST1348"/>
    <s v="PROD99"/>
    <s v="STORE3"/>
    <n v="2.4924367218810501"/>
    <n v="491.93294556541599"/>
    <n v="0.15289754355899501"/>
    <s v="Credit Card"/>
    <n v="1041.85347357463"/>
    <n v="335122.90742687532"/>
    <n v="340"/>
    <x v="29"/>
    <n v="0.15630900817145288"/>
    <n v="2.5050942232797291"/>
    <n v="465.81856348397531"/>
    <n v="384.1079383513715"/>
    <x v="4"/>
  </r>
  <r>
    <s v="SALE989"/>
    <d v="2023-10-18T00:00:00"/>
    <s v="CUST1028"/>
    <s v="PROD5"/>
    <s v="STORE19"/>
    <n v="2.4924618110810499"/>
    <n v="491.881182667335"/>
    <n v="0.15290430562958501"/>
    <s v="PayPal"/>
    <n v="1041.7454771151799"/>
    <n v="334081.05395330064"/>
    <n v="339"/>
    <x v="30"/>
    <n v="0.1563123892067477"/>
    <n v="2.5051067678797283"/>
    <n v="465.7926820349353"/>
    <n v="384.0680064748064"/>
    <x v="11"/>
  </r>
  <r>
    <s v="SALE990"/>
    <d v="2024-10-28T00:00:00"/>
    <s v="CUST1412"/>
    <s v="PROD53"/>
    <s v="STORE12"/>
    <n v="2.4924869002810399"/>
    <n v="491.82941976925503"/>
    <n v="0.15291106770017401"/>
    <s v="COD"/>
    <n v="1041.6374806557201"/>
    <n v="334081.05395330064"/>
    <n v="339"/>
    <x v="31"/>
    <n v="0.15631577024204246"/>
    <n v="2.5051193124797275"/>
    <n v="465.76680058589511"/>
    <n v="384.02807459823907"/>
    <x v="11"/>
  </r>
  <r>
    <s v="SALE991"/>
    <d v="2024-11-01T00:00:00"/>
    <s v="CUST1398"/>
    <s v="PROD75"/>
    <s v="STORE8"/>
    <n v="2.4925119894810401"/>
    <n v="491.777656871175"/>
    <n v="0.15291782977076401"/>
    <s v="Credit Card"/>
    <n v="1041.52948419627"/>
    <n v="334081.05395330064"/>
    <n v="339"/>
    <x v="32"/>
    <n v="0.15631915127733725"/>
    <n v="2.5051318570797254"/>
    <n v="465.7409191368551"/>
    <n v="383.98814272167419"/>
    <x v="3"/>
  </r>
  <r>
    <s v="SALE992"/>
    <d v="2024-11-24T00:00:00"/>
    <s v="CUST1453"/>
    <s v="PROD12"/>
    <s v="STORE6"/>
    <n v="2.4925370786810399"/>
    <n v="491.72589397309503"/>
    <n v="0.15292459184135301"/>
    <s v="Credit Card"/>
    <n v="1041.4214877368199"/>
    <n v="333039.52446910436"/>
    <n v="338"/>
    <x v="33"/>
    <n v="0.15632253231263207"/>
    <n v="2.5051444016797242"/>
    <n v="465.71503768781497"/>
    <n v="383.94821084510932"/>
    <x v="3"/>
  </r>
  <r>
    <s v="SALE993"/>
    <d v="2023-10-16T00:00:00"/>
    <s v="CUST1344"/>
    <s v="PROD79"/>
    <s v="STORE1"/>
    <n v="2.4925621678810299"/>
    <n v="491.674131075015"/>
    <n v="0.15293135391194301"/>
    <s v="Credit Card"/>
    <n v="1041.3134912773701"/>
    <n v="331998.10298136756"/>
    <n v="337"/>
    <x v="34"/>
    <n v="0.15632591334792686"/>
    <n v="2.505156946279723"/>
    <n v="465.68915623877496"/>
    <n v="383.90827896854449"/>
    <x v="11"/>
  </r>
  <r>
    <s v="SALE994"/>
    <d v="2025-08-09T00:00:00"/>
    <s v="CUST1218"/>
    <s v="PROD16"/>
    <s v="STORE3"/>
    <n v="2.4925872570810301"/>
    <n v="491.62236817693503"/>
    <n v="0.15293811598253301"/>
    <s v="COD"/>
    <n v="1041.20549481792"/>
    <n v="330956.78949009016"/>
    <n v="336"/>
    <x v="35"/>
    <n v="0.15632929438322171"/>
    <n v="2.5051694908797217"/>
    <n v="465.66327478973483"/>
    <n v="383.86834709197967"/>
    <x v="7"/>
  </r>
  <r>
    <s v="SALE995"/>
    <d v="2024-12-09T00:00:00"/>
    <s v="CUST1086"/>
    <s v="PROD5"/>
    <s v="STORE7"/>
    <n v="2.4926123462810299"/>
    <n v="491.57060527885398"/>
    <n v="0.15294487805312201"/>
    <s v="PayPal"/>
    <n v="1041.0974983584699"/>
    <n v="330956.78949009016"/>
    <n v="336"/>
    <x v="36"/>
    <n v="0.15633267541851648"/>
    <n v="2.5051820354797201"/>
    <n v="465.63739334069481"/>
    <n v="383.82841521541451"/>
    <x v="1"/>
  </r>
  <r>
    <s v="SALE996"/>
    <d v="2024-02-07T00:00:00"/>
    <s v="CUST1492"/>
    <s v="PROD10"/>
    <s v="STORE17"/>
    <n v="2.4926374354810301"/>
    <n v="491.518842380774"/>
    <n v="0.15295164012371201"/>
    <s v="PayPal"/>
    <n v="1040.9895018990101"/>
    <n v="330956.78949009016"/>
    <n v="336"/>
    <x v="37"/>
    <n v="0.1563360564538113"/>
    <n v="2.5051945800797188"/>
    <n v="465.61151189165469"/>
    <n v="383.78848333884719"/>
    <x v="6"/>
  </r>
  <r>
    <s v="SALE997"/>
    <d v="2024-03-27T00:00:00"/>
    <s v="CUST1189"/>
    <s v="PROD33"/>
    <s v="STORE13"/>
    <n v="2.4926625246810201"/>
    <n v="491.46707948269398"/>
    <n v="0.15295840219430201"/>
    <s v="COD"/>
    <n v="1040.88150543956"/>
    <n v="330956.78949009016"/>
    <n v="336"/>
    <x v="38"/>
    <n v="0.15633943748910611"/>
    <n v="2.5052071246797176"/>
    <n v="465.58563044261462"/>
    <n v="383.74855146228231"/>
    <x v="9"/>
  </r>
  <r>
    <s v="SALE998"/>
    <d v="2023-12-04T00:00:00"/>
    <s v="CUST1431"/>
    <s v="PROD94"/>
    <s v="STORE3"/>
    <n v="2.4926876138810199"/>
    <n v="491.415316584614"/>
    <n v="0.15296516426489101"/>
    <s v="Credit Card"/>
    <n v="1040.7735089801099"/>
    <n v="330956.78949009016"/>
    <n v="336"/>
    <x v="39"/>
    <n v="0.15634281852440091"/>
    <n v="2.5052196692797164"/>
    <n v="465.5597489935746"/>
    <n v="383.70861958571743"/>
    <x v="1"/>
  </r>
  <r>
    <s v="SALE999"/>
    <d v="2024-07-13T00:00:00"/>
    <s v="CUST1072"/>
    <s v="PROD26"/>
    <s v="STORE19"/>
    <n v="2.4927127030810201"/>
    <n v="491.36355368653398"/>
    <n v="0.15297192633548101"/>
    <s v="COD"/>
    <n v="1040.6655125206601"/>
    <n v="329916.01598110999"/>
    <n v="335"/>
    <x v="40"/>
    <n v="0.1563461995596957"/>
    <n v="2.5052322138797152"/>
    <n v="465.53386754453447"/>
    <n v="383.66868770915261"/>
    <x v="0"/>
  </r>
  <r>
    <s v="SALE1000"/>
    <d v="2023-11-11T00:00:00"/>
    <s v="CUST1302"/>
    <s v="PROD23"/>
    <s v="STORE8"/>
    <n v="2.4927377922810199"/>
    <n v="491.311790788454"/>
    <n v="0.15297868840607001"/>
    <s v="PayPal"/>
    <n v="1040.55751606121"/>
    <n v="329916.01598110999"/>
    <n v="335"/>
    <x v="41"/>
    <n v="0.15634958059499049"/>
    <n v="2.5052447584797135"/>
    <n v="465.5079860954944"/>
    <n v="383.62875583258779"/>
    <x v="3"/>
  </r>
  <r>
    <s v="SALE1001"/>
    <d v="2024-12-23T00:00:00"/>
    <s v="CUST1335"/>
    <s v="PROD29"/>
    <s v="STORE9"/>
    <n v="2.4927628814810099"/>
    <n v="491.26002789037398"/>
    <n v="0.15298545047666001"/>
    <s v="PayPal"/>
    <n v="1040.4495196017599"/>
    <n v="329916.01598110999"/>
    <n v="335"/>
    <x v="42"/>
    <n v="0.15635296163028531"/>
    <n v="2.5052573030797127"/>
    <n v="465.48210464645427"/>
    <n v="383.58882395602291"/>
    <x v="1"/>
  </r>
  <r>
    <s v="SALE1002"/>
    <d v="2025-01-20T00:00:00"/>
    <s v="CUST1084"/>
    <s v="PROD33"/>
    <s v="STORE17"/>
    <n v="2.4927879706810101"/>
    <n v="491.20826499229298"/>
    <n v="0.15299221254725001"/>
    <s v="PayPal"/>
    <n v="1040.3415231423"/>
    <n v="329916.01598110999"/>
    <n v="335"/>
    <x v="43"/>
    <n v="0.1563563426655801"/>
    <n v="2.5052698476797111"/>
    <n v="465.4562231974142"/>
    <n v="383.5488920794553"/>
    <x v="4"/>
  </r>
  <r>
    <s v="SALE1003"/>
    <d v="2024-09-03T00:00:00"/>
    <s v="CUST1203"/>
    <s v="PROD43"/>
    <s v="STORE12"/>
    <n v="2.4928130598810099"/>
    <n v="491.15650209421301"/>
    <n v="0.15299897461783901"/>
    <s v="COD"/>
    <n v="1040.23352668285"/>
    <n v="329916.01598110999"/>
    <n v="335"/>
    <x v="44"/>
    <n v="0.15635972370087492"/>
    <n v="2.5052823922797098"/>
    <n v="465.43034174837419"/>
    <n v="383.50896020289048"/>
    <x v="8"/>
  </r>
  <r>
    <s v="SALE1004"/>
    <d v="2024-11-10T00:00:00"/>
    <s v="CUST1470"/>
    <s v="PROD59"/>
    <s v="STORE8"/>
    <n v="2.4928381490810101"/>
    <n v="491.10473919613298"/>
    <n v="0.15300573668842901"/>
    <s v="PayPal"/>
    <n v="1040.1255302233999"/>
    <n v="329916.01598110999"/>
    <n v="335"/>
    <x v="45"/>
    <n v="0.15636310473616974"/>
    <n v="2.5052949368797082"/>
    <n v="465.404460299334"/>
    <n v="383.4690283263256"/>
    <x v="3"/>
  </r>
  <r>
    <s v="SALE1005"/>
    <d v="2024-10-05T00:00:00"/>
    <s v="CUST1070"/>
    <s v="PROD78"/>
    <s v="STORE16"/>
    <n v="2.4928632382810001"/>
    <n v="491.05297629805301"/>
    <n v="0.15301249875901801"/>
    <s v="PayPal"/>
    <n v="1040.01753376395"/>
    <n v="329916.01598110999"/>
    <n v="335"/>
    <x v="46"/>
    <n v="0.15636648577146453"/>
    <n v="2.5053074814797074"/>
    <n v="465.37857885029399"/>
    <n v="383.42909644976078"/>
    <x v="11"/>
  </r>
  <r>
    <s v="SALE1006"/>
    <d v="2024-06-23T00:00:00"/>
    <s v="CUST1008"/>
    <s v="PROD30"/>
    <s v="STORE11"/>
    <n v="2.4928883274809999"/>
    <n v="491.00121339997298"/>
    <n v="0.15301926082960801"/>
    <s v="PayPal"/>
    <n v="1039.9095373045"/>
    <n v="329916.01598110999"/>
    <n v="335"/>
    <x v="23"/>
    <n v="0.15636986680675932"/>
    <n v="2.5053200260797057"/>
    <n v="465.35269740125392"/>
    <n v="383.3891645731959"/>
    <x v="2"/>
  </r>
  <r>
    <s v="SALE1007"/>
    <d v="2023-10-19T00:00:00"/>
    <s v="CUST1203"/>
    <s v="PROD44"/>
    <s v="STORE17"/>
    <n v="2.4929134166810001"/>
    <n v="490.94945050189301"/>
    <n v="0.15302602290019801"/>
    <s v="Credit Card"/>
    <n v="1039.8015408450401"/>
    <n v="329916.01598110999"/>
    <n v="335"/>
    <x v="47"/>
    <n v="0.15637324784205411"/>
    <n v="2.5053325706797045"/>
    <n v="465.32681595221379"/>
    <n v="383.34923269662858"/>
    <x v="11"/>
  </r>
  <r>
    <s v="SALE1008"/>
    <d v="2024-11-11T00:00:00"/>
    <s v="CUST1420"/>
    <s v="PROD21"/>
    <s v="STORE16"/>
    <n v="2.4929385058809999"/>
    <n v="490.89768760381202"/>
    <n v="0.15303278497078701"/>
    <s v="COD"/>
    <n v="1039.69354438559"/>
    <n v="328876.21444026497"/>
    <n v="334"/>
    <x v="48"/>
    <n v="0.15637662887734893"/>
    <n v="2.5053451152797033"/>
    <n v="465.30093450317378"/>
    <n v="383.30930082006347"/>
    <x v="3"/>
  </r>
  <r>
    <s v="SALE1009"/>
    <d v="2023-12-31T00:00:00"/>
    <s v="CUST1070"/>
    <s v="PROD52"/>
    <s v="STORE9"/>
    <n v="2.4929635950809899"/>
    <n v="490.84592470573199"/>
    <n v="0.15303954704137701"/>
    <s v="PayPal"/>
    <n v="1039.58554792614"/>
    <n v="328876.21444026497"/>
    <n v="334"/>
    <x v="49"/>
    <n v="0.15638000991264372"/>
    <n v="2.505357659879702"/>
    <n v="465.27505305413365"/>
    <n v="383.26936894349859"/>
    <x v="1"/>
  </r>
  <r>
    <s v="SALE1010"/>
    <d v="2025-02-01T00:00:00"/>
    <s v="CUST1142"/>
    <s v="PROD69"/>
    <s v="STORE7"/>
    <n v="2.4929886842809901"/>
    <n v="490.79416180765202"/>
    <n v="0.15304630911196601"/>
    <s v="Credit Card"/>
    <n v="1039.4775514666901"/>
    <n v="328876.21444026497"/>
    <n v="334"/>
    <x v="50"/>
    <n v="0.15638339094793857"/>
    <n v="2.5053702044797013"/>
    <n v="465.24917160509352"/>
    <n v="383.22943706693377"/>
    <x v="6"/>
  </r>
  <r>
    <s v="SALE1011"/>
    <d v="2025-08-25T00:00:00"/>
    <s v="CUST1148"/>
    <s v="PROD89"/>
    <s v="STORE6"/>
    <n v="2.4930137734809898"/>
    <n v="490.74239890957199"/>
    <n v="0.15305307118255601"/>
    <s v="Credit Card"/>
    <n v="1039.36955500724"/>
    <n v="327836.7368887983"/>
    <n v="333"/>
    <x v="51"/>
    <n v="0.15638677198323336"/>
    <n v="2.5053827490796996"/>
    <n v="465.22329015605351"/>
    <n v="383.18950519036889"/>
    <x v="7"/>
  </r>
  <r>
    <s v="SALE1012"/>
    <d v="2025-01-20T00:00:00"/>
    <s v="CUST1324"/>
    <s v="PROD20"/>
    <s v="STORE8"/>
    <n v="2.4930388626809901"/>
    <n v="490.69063601149202"/>
    <n v="0.15305983325314601"/>
    <s v="COD"/>
    <n v="1039.2615585477899"/>
    <n v="326797.3673337911"/>
    <n v="332"/>
    <x v="43"/>
    <n v="0.15639015301852816"/>
    <n v="2.5053952936796979"/>
    <n v="465.19740870701344"/>
    <n v="383.14957331380401"/>
    <x v="4"/>
  </r>
  <r>
    <s v="SALE1013"/>
    <d v="2025-02-18T00:00:00"/>
    <s v="CUST1095"/>
    <s v="PROD40"/>
    <s v="STORE10"/>
    <n v="2.4930639518809801"/>
    <n v="490.63887311341199"/>
    <n v="0.15306659532373501"/>
    <s v="Credit Card"/>
    <n v="1039.1535620883301"/>
    <n v="326797.3673337911"/>
    <n v="332"/>
    <x v="52"/>
    <n v="0.15639353405382295"/>
    <n v="2.5054078382796967"/>
    <n v="465.17152725797331"/>
    <n v="383.10964143723669"/>
    <x v="6"/>
  </r>
  <r>
    <s v="SALE1014"/>
    <d v="2024-10-24T00:00:00"/>
    <s v="CUST1416"/>
    <s v="PROD49"/>
    <s v="STORE11"/>
    <n v="2.4930890410809798"/>
    <n v="490.58711021533099"/>
    <n v="0.15307335739432501"/>
    <s v="COD"/>
    <n v="1039.04556562888"/>
    <n v="325758.21377170272"/>
    <n v="331"/>
    <x v="53"/>
    <n v="0.15639691508911777"/>
    <n v="2.5054203828796959"/>
    <n v="465.14564580893324"/>
    <n v="383.06970956067158"/>
    <x v="11"/>
  </r>
  <r>
    <s v="SALE1015"/>
    <d v="2023-12-22T00:00:00"/>
    <s v="CUST1080"/>
    <s v="PROD34"/>
    <s v="STORE6"/>
    <n v="2.4931141302809801"/>
    <n v="490.53534731725102"/>
    <n v="0.15308011946491401"/>
    <s v="PayPal"/>
    <n v="1038.9375691694299"/>
    <n v="325758.21377170272"/>
    <n v="331"/>
    <x v="54"/>
    <n v="0.15640029612441256"/>
    <n v="2.5054329274796947"/>
    <n v="465.11976435989317"/>
    <n v="383.0297776841067"/>
    <x v="1"/>
  </r>
  <r>
    <s v="SALE1016"/>
    <d v="2024-06-19T00:00:00"/>
    <s v="CUST1467"/>
    <s v="PROD47"/>
    <s v="STORE14"/>
    <n v="2.4931392194809701"/>
    <n v="490.483584419171"/>
    <n v="0.15308688153550401"/>
    <s v="Credit Card"/>
    <n v="1038.8295727099801"/>
    <n v="325758.21377170272"/>
    <n v="331"/>
    <x v="55"/>
    <n v="0.15640367715970738"/>
    <n v="2.5054454720796935"/>
    <n v="465.0938829108531"/>
    <n v="382.98984580754188"/>
    <x v="2"/>
  </r>
  <r>
    <s v="SALE1017"/>
    <d v="2024-12-07T00:00:00"/>
    <s v="CUST1404"/>
    <s v="PROD15"/>
    <s v="STORE7"/>
    <n v="2.4931643086809698"/>
    <n v="490.43182152109102"/>
    <n v="0.15309364360609401"/>
    <s v="PayPal"/>
    <n v="1038.72157625053"/>
    <n v="324719.38419899275"/>
    <n v="330"/>
    <x v="56"/>
    <n v="0.15640705819500222"/>
    <n v="2.5054580166796923"/>
    <n v="465.06800146181308"/>
    <n v="382.949913930977"/>
    <x v="1"/>
  </r>
  <r>
    <s v="SALE1018"/>
    <d v="2023-11-27T00:00:00"/>
    <s v="CUST1367"/>
    <s v="PROD89"/>
    <s v="STORE11"/>
    <n v="2.49318939788097"/>
    <n v="490.380058623011"/>
    <n v="0.15310040567668301"/>
    <s v="PayPal"/>
    <n v="1038.6135797910799"/>
    <n v="324719.38419899275"/>
    <n v="330"/>
    <x v="57"/>
    <n v="0.15641043923029702"/>
    <n v="2.505470561279691"/>
    <n v="465.04212001277295"/>
    <n v="382.90998205441213"/>
    <x v="3"/>
  </r>
  <r>
    <s v="SALE1019"/>
    <d v="2025-07-16T00:00:00"/>
    <s v="CUST1408"/>
    <s v="PROD31"/>
    <s v="STORE10"/>
    <n v="2.4932144870809698"/>
    <n v="490.32829572493102"/>
    <n v="0.15310716774727301"/>
    <s v="COD"/>
    <n v="1038.5055833316201"/>
    <n v="324719.38419899275"/>
    <n v="330"/>
    <x v="58"/>
    <n v="0.15641382026559181"/>
    <n v="2.5054831058796894"/>
    <n v="465.01623856373283"/>
    <n v="382.87005017784486"/>
    <x v="0"/>
  </r>
  <r>
    <s v="SALE1020"/>
    <d v="2025-02-28T00:00:00"/>
    <s v="CUST1239"/>
    <s v="PROD19"/>
    <s v="STORE7"/>
    <n v="2.4932395762809598"/>
    <n v="490.276532826851"/>
    <n v="0.15311392981786301"/>
    <s v="PayPal"/>
    <n v="1038.39758687217"/>
    <n v="324719.38419899275"/>
    <n v="330"/>
    <x v="59"/>
    <n v="0.15641720130088663"/>
    <n v="2.5054956504796881"/>
    <n v="464.99035711469276"/>
    <n v="382.83011830127998"/>
    <x v="6"/>
  </r>
  <r>
    <s v="SALE1021"/>
    <d v="2024-08-11T00:00:00"/>
    <s v="CUST1464"/>
    <s v="PROD93"/>
    <s v="STORE16"/>
    <n v="2.49326466548096"/>
    <n v="490.22476992877"/>
    <n v="0.15312069188845201"/>
    <s v="Credit Card"/>
    <n v="1038.2895904127199"/>
    <n v="324719.38419899275"/>
    <n v="330"/>
    <x v="60"/>
    <n v="0.15642058233618145"/>
    <n v="2.5055081950796869"/>
    <n v="464.96447566565269"/>
    <n v="382.79018642471482"/>
    <x v="7"/>
  </r>
  <r>
    <s v="SALE1022"/>
    <d v="2025-09-27T00:00:00"/>
    <s v="CUST1126"/>
    <s v="PROD89"/>
    <s v="STORE12"/>
    <n v="2.4932897546809598"/>
    <n v="490.17300703068997"/>
    <n v="0.15312745395904201"/>
    <s v="Credit Card"/>
    <n v="1038.1815939532701"/>
    <n v="323681.09460858005"/>
    <n v="329"/>
    <x v="61"/>
    <n v="0.15642396337147627"/>
    <n v="2.5055207396796857"/>
    <n v="464.93859421661267"/>
    <n v="382.75025454815"/>
    <x v="8"/>
  </r>
  <r>
    <s v="SALE1023"/>
    <d v="2025-09-14T00:00:00"/>
    <s v="CUST1255"/>
    <s v="PROD53"/>
    <s v="STORE10"/>
    <n v="2.49331484388096"/>
    <n v="490.12124413261"/>
    <n v="0.15313421602963101"/>
    <s v="Credit Card"/>
    <n v="1038.07359749382"/>
    <n v="322642.91301462683"/>
    <n v="328"/>
    <x v="62"/>
    <n v="0.15642734440677106"/>
    <n v="2.505533284279684"/>
    <n v="464.91271276757254"/>
    <n v="382.71032267158512"/>
    <x v="8"/>
  </r>
  <r>
    <s v="SALE1024"/>
    <d v="2023-12-30T00:00:00"/>
    <s v="CUST1162"/>
    <s v="PROD99"/>
    <s v="STORE17"/>
    <n v="2.49333993308095"/>
    <n v="490.06948123452997"/>
    <n v="0.15314097810022101"/>
    <s v="Credit Card"/>
    <n v="1037.9656010343699"/>
    <n v="321604.8394171329"/>
    <n v="327"/>
    <x v="63"/>
    <n v="0.15643072544206585"/>
    <n v="2.5055458288796832"/>
    <n v="464.88683131853247"/>
    <n v="382.67039079502024"/>
    <x v="1"/>
  </r>
  <r>
    <s v="SALE1025"/>
    <d v="2023-10-14T00:00:00"/>
    <s v="CUST1269"/>
    <s v="PROD77"/>
    <s v="STORE2"/>
    <n v="2.4933650222809498"/>
    <n v="490.01771833645"/>
    <n v="0.15314774017081101"/>
    <s v="Credit Card"/>
    <n v="1037.8576045749101"/>
    <n v="320566.87381609855"/>
    <n v="326"/>
    <x v="64"/>
    <n v="0.15643410647736064"/>
    <n v="2.5055583734796816"/>
    <n v="464.86094986949234"/>
    <n v="382.63045891845297"/>
    <x v="11"/>
  </r>
  <r>
    <s v="SALE1026"/>
    <d v="2023-11-25T00:00:00"/>
    <s v="CUST1483"/>
    <s v="PROD12"/>
    <s v="STORE2"/>
    <n v="2.49339011148095"/>
    <n v="489.96595543836997"/>
    <n v="0.15315450224140001"/>
    <s v="PayPal"/>
    <n v="1037.74960811546"/>
    <n v="319529.01621152362"/>
    <n v="325"/>
    <x v="65"/>
    <n v="0.15643748751265552"/>
    <n v="2.5055709180796804"/>
    <n v="464.83506842045227"/>
    <n v="382.59052704188809"/>
    <x v="3"/>
  </r>
  <r>
    <s v="SALE1027"/>
    <d v="2023-12-10T00:00:00"/>
    <s v="CUST1372"/>
    <s v="PROD72"/>
    <s v="STORE10"/>
    <n v="2.4934152006809498"/>
    <n v="489.91419254028898"/>
    <n v="0.15316126431199001"/>
    <s v="Credit Card"/>
    <n v="1037.6416116560099"/>
    <n v="319529.01621152362"/>
    <n v="325"/>
    <x v="66"/>
    <n v="0.15644086854795025"/>
    <n v="2.5055834626796787"/>
    <n v="464.80918697141226"/>
    <n v="382.55059516532299"/>
    <x v="1"/>
  </r>
  <r>
    <s v="SALE1028"/>
    <d v="2025-08-28T00:00:00"/>
    <s v="CUST1423"/>
    <s v="PROD13"/>
    <s v="STORE16"/>
    <n v="2.4934402898809398"/>
    <n v="489.86242964220901"/>
    <n v="0.15316802638257901"/>
    <s v="Credit Card"/>
    <n v="1037.53361519656"/>
    <n v="318491.37459986756"/>
    <n v="324"/>
    <x v="67"/>
    <n v="0.15644424958324507"/>
    <n v="2.505596007279677"/>
    <n v="464.78330552237207"/>
    <n v="382.51066328875811"/>
    <x v="7"/>
  </r>
  <r>
    <s v="SALE1029"/>
    <d v="2025-07-11T00:00:00"/>
    <s v="CUST1058"/>
    <s v="PROD60"/>
    <s v="STORE5"/>
    <n v="2.49346537908094"/>
    <n v="489.81066674412898"/>
    <n v="0.15317478845316901"/>
    <s v="COD"/>
    <n v="1037.42561873711"/>
    <n v="317453.84098467109"/>
    <n v="323"/>
    <x v="68"/>
    <n v="0.15644763061853989"/>
    <n v="2.5056085518796762"/>
    <n v="464.757424073332"/>
    <n v="382.47073141219323"/>
    <x v="0"/>
  </r>
  <r>
    <s v="SALE1030"/>
    <d v="2025-08-20T00:00:00"/>
    <s v="CUST1168"/>
    <s v="PROD72"/>
    <s v="STORE1"/>
    <n v="2.4934904682809398"/>
    <n v="489.75890384604901"/>
    <n v="0.15318155052375901"/>
    <s v="Credit Card"/>
    <n v="1037.3176222776499"/>
    <n v="317453.84098467109"/>
    <n v="323"/>
    <x v="69"/>
    <n v="0.15645101165383471"/>
    <n v="2.5056210964796746"/>
    <n v="464.73154262429193"/>
    <n v="382.43079953562591"/>
    <x v="7"/>
  </r>
  <r>
    <s v="SALE1031"/>
    <d v="2024-08-29T00:00:00"/>
    <s v="CUST1409"/>
    <s v="PROD38"/>
    <s v="STORE5"/>
    <n v="2.49351555748094"/>
    <n v="489.70714094796898"/>
    <n v="0.15318831259434801"/>
    <s v="Credit Card"/>
    <n v="1037.2096258182"/>
    <n v="316416.52336239337"/>
    <n v="322"/>
    <x v="70"/>
    <n v="0.1564543926891295"/>
    <n v="2.5056336410796733"/>
    <n v="464.70566117525186"/>
    <n v="382.39086765906109"/>
    <x v="7"/>
  </r>
  <r>
    <s v="SALE1032"/>
    <d v="2024-11-30T00:00:00"/>
    <s v="CUST1037"/>
    <s v="PROD45"/>
    <s v="STORE11"/>
    <n v="2.49354064668093"/>
    <n v="489.65537804988901"/>
    <n v="0.15319507466493801"/>
    <s v="Credit Card"/>
    <n v="1037.10162935875"/>
    <n v="315379.31373657513"/>
    <n v="321"/>
    <x v="71"/>
    <n v="0.15645777372442432"/>
    <n v="2.5056461856796717"/>
    <n v="464.67977972621173"/>
    <n v="382.35093578249621"/>
    <x v="3"/>
  </r>
  <r>
    <s v="SALE1033"/>
    <d v="2025-10-12T00:00:00"/>
    <s v="CUST1273"/>
    <s v="PROD20"/>
    <s v="STORE8"/>
    <n v="2.4935657358809298"/>
    <n v="489.60361515180801"/>
    <n v="0.15320183673552701"/>
    <s v="COD"/>
    <n v="1036.9936328993001"/>
    <n v="314342.21210721642"/>
    <n v="320"/>
    <x v="72"/>
    <n v="0.15646115475971911"/>
    <n v="2.5056587302796713"/>
    <n v="464.65389827717166"/>
    <n v="382.31100390593116"/>
    <x v="11"/>
  </r>
  <r>
    <s v="SALE1034"/>
    <d v="2024-07-27T00:00:00"/>
    <s v="CUST1035"/>
    <s v="PROD97"/>
    <s v="STORE12"/>
    <n v="2.49359082508093"/>
    <n v="489.55185225372799"/>
    <n v="0.15320859880611701"/>
    <s v="Credit Card"/>
    <n v="1036.88563643985"/>
    <n v="314342.21210721642"/>
    <n v="320"/>
    <x v="73"/>
    <n v="0.1564645357950139"/>
    <n v="2.5056712748796692"/>
    <n v="464.62801682813154"/>
    <n v="382.27107202936628"/>
    <x v="0"/>
  </r>
  <r>
    <s v="SALE1035"/>
    <d v="2023-12-25T00:00:00"/>
    <s v="CUST1019"/>
    <s v="PROD76"/>
    <s v="STORE10"/>
    <n v="2.49361591428092"/>
    <n v="489.50008935564802"/>
    <n v="0.15321536087670701"/>
    <s v="Credit Card"/>
    <n v="1036.7776399804"/>
    <n v="313305.32647077658"/>
    <n v="319"/>
    <x v="1"/>
    <n v="0.1564679168303087"/>
    <n v="2.505683819479668"/>
    <n v="464.60213537909146"/>
    <n v="382.2311401528014"/>
    <x v="1"/>
  </r>
  <r>
    <s v="SALE1036"/>
    <d v="2025-05-23T00:00:00"/>
    <s v="CUST1007"/>
    <s v="PROD67"/>
    <s v="STORE15"/>
    <n v="2.4936410034809202"/>
    <n v="489.44832645756799"/>
    <n v="0.15322212294729601"/>
    <s v="COD"/>
    <n v="1036.6696435209401"/>
    <n v="312268.54883079621"/>
    <n v="318"/>
    <x v="74"/>
    <n v="0.15647129786560351"/>
    <n v="2.5056963640796668"/>
    <n v="464.57625393005139"/>
    <n v="382.19120827623408"/>
    <x v="5"/>
  </r>
  <r>
    <s v="SALE1037"/>
    <d v="2024-11-13T00:00:00"/>
    <s v="CUST1221"/>
    <s v="PROD83"/>
    <s v="STORE8"/>
    <n v="2.49366609268092"/>
    <n v="489.39656355948802"/>
    <n v="0.15322888501788601"/>
    <s v="Credit Card"/>
    <n v="1036.56164706149"/>
    <n v="312268.54883079621"/>
    <n v="318"/>
    <x v="75"/>
    <n v="0.15647467890089831"/>
    <n v="2.505708908679666"/>
    <n v="464.55037248101138"/>
    <n v="382.1512763996692"/>
    <x v="3"/>
  </r>
  <r>
    <s v="SALE1038"/>
    <d v="2023-12-08T00:00:00"/>
    <s v="CUST1115"/>
    <s v="PROD21"/>
    <s v="STORE2"/>
    <n v="2.4936911818809202"/>
    <n v="489.34480066140799"/>
    <n v="0.15323564708847601"/>
    <s v="Credit Card"/>
    <n v="1036.4536506020399"/>
    <n v="311231.98718373472"/>
    <n v="317"/>
    <x v="76"/>
    <n v="0.15647805993619313"/>
    <n v="2.5057214532796643"/>
    <n v="464.52449103197119"/>
    <n v="382.11134452310432"/>
    <x v="1"/>
  </r>
  <r>
    <s v="SALE1039"/>
    <d v="2025-08-16T00:00:00"/>
    <s v="CUST1176"/>
    <s v="PROD52"/>
    <s v="STORE8"/>
    <n v="2.4937162710809102"/>
    <n v="489.29303776332699"/>
    <n v="0.15324240915906501"/>
    <s v="COD"/>
    <n v="1036.3456541425901"/>
    <n v="310195.53353313275"/>
    <n v="316"/>
    <x v="77"/>
    <n v="0.15648144097148792"/>
    <n v="2.5057339978796631"/>
    <n v="464.49860958293118"/>
    <n v="382.07141264653927"/>
    <x v="7"/>
  </r>
  <r>
    <s v="SALE1040"/>
    <d v="2024-11-20T00:00:00"/>
    <s v="CUST1253"/>
    <s v="PROD71"/>
    <s v="STORE9"/>
    <n v="2.49374136028091"/>
    <n v="489.24127486524702"/>
    <n v="0.15324917122965501"/>
    <s v="PayPal"/>
    <n v="1036.23765768314"/>
    <n v="310195.53353313275"/>
    <n v="316"/>
    <x v="78"/>
    <n v="0.15648482200678271"/>
    <n v="2.5057465424796614"/>
    <n v="464.47272813389111"/>
    <n v="382.03148076997439"/>
    <x v="3"/>
  </r>
  <r>
    <s v="SALE1041"/>
    <d v="2024-08-14T00:00:00"/>
    <s v="CUST1378"/>
    <s v="PROD91"/>
    <s v="STORE17"/>
    <n v="2.4937664494809102"/>
    <n v="489.18951196716699"/>
    <n v="0.15325593330024401"/>
    <s v="PayPal"/>
    <n v="1036.1296612236899"/>
    <n v="310195.53353313275"/>
    <n v="316"/>
    <x v="79"/>
    <n v="0.15648820304207753"/>
    <n v="2.5057590870796607"/>
    <n v="464.44684668485104"/>
    <n v="381.99154889340952"/>
    <x v="7"/>
  </r>
  <r>
    <s v="SALE1042"/>
    <d v="2024-05-15T00:00:00"/>
    <s v="CUST1403"/>
    <s v="PROD17"/>
    <s v="STORE18"/>
    <n v="2.49379153868091"/>
    <n v="489.13774906908702"/>
    <n v="0.15326269537083401"/>
    <s v="PayPal"/>
    <n v="1036.0216647642301"/>
    <n v="310195.53353313275"/>
    <n v="316"/>
    <x v="80"/>
    <n v="0.15649158407737232"/>
    <n v="2.505771631679659"/>
    <n v="464.42096523581091"/>
    <n v="381.95161701684219"/>
    <x v="5"/>
  </r>
  <r>
    <s v="SALE1043"/>
    <d v="2023-12-08T00:00:00"/>
    <s v="CUST1423"/>
    <s v="PROD46"/>
    <s v="STORE17"/>
    <n v="2.4938166278809"/>
    <n v="489.08598617100699"/>
    <n v="0.15326945744142401"/>
    <s v="COD"/>
    <n v="1035.91366830478"/>
    <n v="310195.53353313275"/>
    <n v="316"/>
    <x v="76"/>
    <n v="0.15649496511266714"/>
    <n v="2.5057841762796578"/>
    <n v="464.39508378677078"/>
    <n v="381.91168514027731"/>
    <x v="1"/>
  </r>
  <r>
    <s v="SALE1044"/>
    <d v="2023-12-22T00:00:00"/>
    <s v="CUST1054"/>
    <s v="PROD88"/>
    <s v="STORE7"/>
    <n v="2.4938417170809002"/>
    <n v="489.03422327292702"/>
    <n v="0.15327621951201301"/>
    <s v="COD"/>
    <n v="1035.8056718453299"/>
    <n v="310195.53353313275"/>
    <n v="316"/>
    <x v="54"/>
    <n v="0.15649834614796193"/>
    <n v="2.5057967208796565"/>
    <n v="464.36920233773071"/>
    <n v="381.87175326371244"/>
    <x v="1"/>
  </r>
  <r>
    <s v="SALE1045"/>
    <d v="2024-09-10T00:00:00"/>
    <s v="CUST1303"/>
    <s v="PROD20"/>
    <s v="STORE3"/>
    <n v="2.4938668062809"/>
    <n v="488.98246037484699"/>
    <n v="0.15328298158260301"/>
    <s v="PayPal"/>
    <n v="1035.6976753858801"/>
    <n v="310195.53353313275"/>
    <n v="316"/>
    <x v="81"/>
    <n v="0.15650172718325672"/>
    <n v="2.5058092654796553"/>
    <n v="464.34332088869064"/>
    <n v="381.83182138714767"/>
    <x v="8"/>
  </r>
  <r>
    <s v="SALE1046"/>
    <d v="2025-04-08T00:00:00"/>
    <s v="CUST1327"/>
    <s v="PROD1"/>
    <s v="STORE10"/>
    <n v="2.4938918954809002"/>
    <n v="488.930697476766"/>
    <n v="0.15328974365319201"/>
    <s v="Credit Card"/>
    <n v="1035.58967892643"/>
    <n v="310195.53353313275"/>
    <n v="316"/>
    <x v="82"/>
    <n v="0.15650510821855151"/>
    <n v="2.5058218100796541"/>
    <n v="464.31743943965057"/>
    <n v="381.79188951058251"/>
    <x v="10"/>
  </r>
  <r>
    <s v="SALE1047"/>
    <d v="2024-10-23T00:00:00"/>
    <s v="CUST1183"/>
    <s v="PROD38"/>
    <s v="STORE0"/>
    <n v="2.4939169846808902"/>
    <n v="488.87893457868603"/>
    <n v="0.15329650572378201"/>
    <s v="PayPal"/>
    <n v="1035.4816824669799"/>
    <n v="309159.94385420624"/>
    <n v="315"/>
    <x v="83"/>
    <n v="0.15650848925384633"/>
    <n v="2.5058343546796529"/>
    <n v="464.29155799061039"/>
    <n v="381.75195763401769"/>
    <x v="11"/>
  </r>
  <r>
    <s v="SALE1048"/>
    <d v="2025-07-10T00:00:00"/>
    <s v="CUST1143"/>
    <s v="PROD17"/>
    <s v="STORE1"/>
    <n v="2.49394207388089"/>
    <n v="488.827171680606"/>
    <n v="0.15330326779437201"/>
    <s v="COD"/>
    <n v="1035.3736860075201"/>
    <n v="309159.94385420624"/>
    <n v="315"/>
    <x v="84"/>
    <n v="0.15651187028914113"/>
    <n v="2.5058468992796512"/>
    <n v="464.26567654157037"/>
    <n v="381.71202575745031"/>
    <x v="0"/>
  </r>
  <r>
    <s v="SALE1049"/>
    <d v="2024-10-12T00:00:00"/>
    <s v="CUST1010"/>
    <s v="PROD33"/>
    <s v="STORE18"/>
    <n v="2.4939671630808902"/>
    <n v="488.77540878252597"/>
    <n v="0.15331002986496101"/>
    <s v="COD"/>
    <n v="1035.26568954807"/>
    <n v="309159.94385420624"/>
    <n v="315"/>
    <x v="85"/>
    <n v="0.15651525132443594"/>
    <n v="2.50585944387965"/>
    <n v="464.2397950925303"/>
    <n v="381.67209388088543"/>
    <x v="11"/>
  </r>
  <r>
    <s v="SALE1050"/>
    <d v="2024-01-21T00:00:00"/>
    <s v="CUST1406"/>
    <s v="PROD16"/>
    <s v="STORE1"/>
    <n v="2.4939922522808899"/>
    <n v="488.723645884446"/>
    <n v="0.15331679193555101"/>
    <s v="PayPal"/>
    <n v="1035.1576930886199"/>
    <n v="309159.94385420624"/>
    <n v="315"/>
    <x v="86"/>
    <n v="0.15651863235973076"/>
    <n v="2.5058719884796488"/>
    <n v="464.21391364349017"/>
    <n v="381.63216200432061"/>
    <x v="4"/>
  </r>
  <r>
    <s v="SALE1051"/>
    <d v="2024-02-28T00:00:00"/>
    <s v="CUST1007"/>
    <s v="PROD86"/>
    <s v="STORE4"/>
    <n v="2.4940173414808799"/>
    <n v="488.67188298636597"/>
    <n v="0.15332355400614001"/>
    <s v="Credit Card"/>
    <n v="1035.0496966291701"/>
    <n v="309159.94385420624"/>
    <n v="315"/>
    <x v="87"/>
    <n v="0.15652201339502556"/>
    <n v="2.5058845330796471"/>
    <n v="464.18803219445016"/>
    <n v="381.59223012775578"/>
    <x v="6"/>
  </r>
  <r>
    <s v="SALE1052"/>
    <d v="2024-12-31T00:00:00"/>
    <s v="CUST1065"/>
    <s v="PROD19"/>
    <s v="STORE4"/>
    <n v="2.4940424306808802"/>
    <n v="488.62012008828498"/>
    <n v="0.15333031607673001"/>
    <s v="PayPal"/>
    <n v="1034.94170016972"/>
    <n v="308124.89415757707"/>
    <n v="314"/>
    <x v="88"/>
    <n v="0.15652539443032037"/>
    <n v="2.5058970776796459"/>
    <n v="464.16215074541009"/>
    <n v="381.55229825119068"/>
    <x v="1"/>
  </r>
  <r>
    <s v="SALE1053"/>
    <d v="2024-08-26T00:00:00"/>
    <s v="CUST1298"/>
    <s v="PROD97"/>
    <s v="STORE19"/>
    <n v="2.4940675198808799"/>
    <n v="488.56835719020501"/>
    <n v="0.15333707814732001"/>
    <s v="PayPal"/>
    <n v="1034.8337037102599"/>
    <n v="308124.89415757707"/>
    <n v="314"/>
    <x v="89"/>
    <n v="0.15652877546561517"/>
    <n v="2.5059096222796451"/>
    <n v="464.13626929637002"/>
    <n v="381.5123663746233"/>
    <x v="7"/>
  </r>
  <r>
    <s v="SALE1054"/>
    <d v="2024-09-21T00:00:00"/>
    <s v="CUST1321"/>
    <s v="PROD99"/>
    <s v="STORE6"/>
    <n v="2.4940926090808802"/>
    <n v="488.51659429212498"/>
    <n v="0.15334384021790901"/>
    <s v="COD"/>
    <n v="1034.72570725081"/>
    <n v="308124.89415757707"/>
    <n v="314"/>
    <x v="90"/>
    <n v="0.15653215650090996"/>
    <n v="2.5059221668796439"/>
    <n v="464.11038784732995"/>
    <n v="381.47243449805848"/>
    <x v="8"/>
  </r>
  <r>
    <s v="SALE1055"/>
    <d v="2024-08-19T00:00:00"/>
    <s v="CUST1244"/>
    <s v="PROD50"/>
    <s v="STORE10"/>
    <n v="2.4941176982808702"/>
    <n v="488.46483139404501"/>
    <n v="0.153350602288499"/>
    <s v="COD"/>
    <n v="1034.61771079136"/>
    <n v="308124.89415757707"/>
    <n v="314"/>
    <x v="91"/>
    <n v="0.15653553753620478"/>
    <n v="2.5059347114796422"/>
    <n v="464.08450639828982"/>
    <n v="381.4325026214936"/>
    <x v="7"/>
  </r>
  <r>
    <s v="SALE1056"/>
    <d v="2024-10-22T00:00:00"/>
    <s v="CUST1287"/>
    <s v="PROD3"/>
    <s v="STORE3"/>
    <n v="2.4941427874808699"/>
    <n v="488.41306849596498"/>
    <n v="0.15335736435908801"/>
    <s v="PayPal"/>
    <n v="1034.5097143319099"/>
    <n v="308124.89415757707"/>
    <n v="314"/>
    <x v="92"/>
    <n v="0.15653891857149957"/>
    <n v="2.505947256079641"/>
    <n v="464.05862494924975"/>
    <n v="381.39257074492872"/>
    <x v="11"/>
  </r>
  <r>
    <s v="SALE1057"/>
    <d v="2024-10-15T00:00:00"/>
    <s v="CUST1131"/>
    <s v="PROD56"/>
    <s v="STORE7"/>
    <n v="2.4941678766808701"/>
    <n v="488.36130559788501"/>
    <n v="0.153364126429678"/>
    <s v="Credit Card"/>
    <n v="1034.40171787246"/>
    <n v="308124.89415757707"/>
    <n v="314"/>
    <x v="93"/>
    <n v="0.15654229960679436"/>
    <n v="2.5059598006796397"/>
    <n v="464.03274350020968"/>
    <n v="381.3526388683639"/>
    <x v="11"/>
  </r>
  <r>
    <s v="SALE1058"/>
    <d v="2024-07-06T00:00:00"/>
    <s v="CUST1325"/>
    <s v="PROD54"/>
    <s v="STORE3"/>
    <n v="2.4941929658808699"/>
    <n v="488.30954269980401"/>
    <n v="0.153370888500268"/>
    <s v="COD"/>
    <n v="1034.29372141301"/>
    <n v="307090.4924397046"/>
    <n v="313"/>
    <x v="94"/>
    <n v="0.15654568064208915"/>
    <n v="2.5059723452796381"/>
    <n v="464.00686205116966"/>
    <n v="381.31270699179879"/>
    <x v="0"/>
  </r>
  <r>
    <s v="SALE1059"/>
    <d v="2025-01-20T00:00:00"/>
    <s v="CUST1369"/>
    <s v="PROD33"/>
    <s v="STORE5"/>
    <n v="2.4942180550808599"/>
    <n v="488.25777980172398"/>
    <n v="0.153377650570857"/>
    <s v="Credit Card"/>
    <n v="1034.1857249535501"/>
    <n v="307090.4924397046"/>
    <n v="313"/>
    <x v="43"/>
    <n v="0.15654906167738397"/>
    <n v="2.5059848898796364"/>
    <n v="463.98098060212953"/>
    <n v="381.27277511523147"/>
    <x v="4"/>
  </r>
  <r>
    <s v="SALE1060"/>
    <d v="2024-06-10T00:00:00"/>
    <s v="CUST1084"/>
    <s v="PROD25"/>
    <s v="STORE13"/>
    <n v="2.4942431442808601"/>
    <n v="488.20601690364401"/>
    <n v="0.153384412641447"/>
    <s v="PayPal"/>
    <n v="1034.0777284941"/>
    <n v="306056.306714751"/>
    <n v="312"/>
    <x v="95"/>
    <n v="0.15655244271267876"/>
    <n v="2.5059974344796356"/>
    <n v="463.95509915308946"/>
    <n v="381.23284323866659"/>
    <x v="2"/>
  </r>
  <r>
    <s v="SALE1061"/>
    <d v="2024-09-17T00:00:00"/>
    <s v="CUST1097"/>
    <s v="PROD80"/>
    <s v="STORE12"/>
    <n v="2.4942682334808599"/>
    <n v="488.15425400556398"/>
    <n v="0.153391174712037"/>
    <s v="PayPal"/>
    <n v="1033.96973203465"/>
    <n v="306056.306714751"/>
    <n v="312"/>
    <x v="25"/>
    <n v="0.15655582374797355"/>
    <n v="2.506009979079634"/>
    <n v="463.92921770404939"/>
    <n v="381.19291136210171"/>
    <x v="8"/>
  </r>
  <r>
    <s v="SALE1062"/>
    <d v="2025-09-07T00:00:00"/>
    <s v="CUST1182"/>
    <s v="PROD34"/>
    <s v="STORE4"/>
    <n v="2.4942933226808499"/>
    <n v="488.10249110748401"/>
    <n v="0.153397936782626"/>
    <s v="PayPal"/>
    <n v="1033.8617355752001"/>
    <n v="306056.306714751"/>
    <n v="312"/>
    <x v="96"/>
    <n v="0.1565592047832684"/>
    <n v="2.5060225236796327"/>
    <n v="463.90333625500932"/>
    <n v="381.15297948553689"/>
    <x v="8"/>
  </r>
  <r>
    <s v="SALE1063"/>
    <d v="2024-02-08T00:00:00"/>
    <s v="CUST1029"/>
    <s v="PROD86"/>
    <s v="STORE11"/>
    <n v="2.4943184118808501"/>
    <n v="488.05072820940399"/>
    <n v="0.153404698853216"/>
    <s v="COD"/>
    <n v="1033.75373911575"/>
    <n v="306056.306714751"/>
    <n v="312"/>
    <x v="97"/>
    <n v="0.15656258581856322"/>
    <n v="2.5060350682796311"/>
    <n v="463.87745480596925"/>
    <n v="381.11304760897201"/>
    <x v="6"/>
  </r>
  <r>
    <s v="SALE1064"/>
    <d v="2023-10-15T00:00:00"/>
    <s v="CUST1002"/>
    <s v="PROD79"/>
    <s v="STORE17"/>
    <n v="2.4943435010808499"/>
    <n v="487.99896531132299"/>
    <n v="0.153411460923805"/>
    <s v="Credit Card"/>
    <n v="1033.6457426562999"/>
    <n v="306056.306714751"/>
    <n v="312"/>
    <x v="98"/>
    <n v="0.15656596685385799"/>
    <n v="2.5060476128796298"/>
    <n v="463.85157335692918"/>
    <n v="381.0731157324069"/>
    <x v="11"/>
  </r>
  <r>
    <s v="SALE1065"/>
    <d v="2025-08-22T00:00:00"/>
    <s v="CUST1269"/>
    <s v="PROD19"/>
    <s v="STORE18"/>
    <n v="2.4943685902808501"/>
    <n v="487.94720241324302"/>
    <n v="0.153418222994395"/>
    <s v="COD"/>
    <n v="1033.5377461968401"/>
    <n v="305022.66097209463"/>
    <n v="311"/>
    <x v="99"/>
    <n v="0.1565693478891528"/>
    <n v="2.5060601574796286"/>
    <n v="463.82569190788911"/>
    <n v="381.03318385583958"/>
    <x v="7"/>
  </r>
  <r>
    <s v="SALE1066"/>
    <d v="2024-02-01T00:00:00"/>
    <s v="CUST1338"/>
    <s v="PROD86"/>
    <s v="STORE7"/>
    <n v="2.4943936794808401"/>
    <n v="487.89543951516299"/>
    <n v="0.153424985064985"/>
    <s v="PayPal"/>
    <n v="1033.42974973739"/>
    <n v="305022.66097209463"/>
    <n v="311"/>
    <x v="100"/>
    <n v="0.15657272892444762"/>
    <n v="2.5060727020796274"/>
    <n v="463.79981045884904"/>
    <n v="380.9932519792747"/>
    <x v="6"/>
  </r>
  <r>
    <s v="SALE1067"/>
    <d v="2025-05-08T00:00:00"/>
    <s v="CUST1041"/>
    <s v="PROD22"/>
    <s v="STORE13"/>
    <n v="2.4944187686808399"/>
    <n v="487.84367661708302"/>
    <n v="0.153431747135574"/>
    <s v="Credit Card"/>
    <n v="1033.3217532779399"/>
    <n v="305022.66097209463"/>
    <n v="311"/>
    <x v="101"/>
    <n v="0.15657610995974242"/>
    <n v="2.5060852466796262"/>
    <n v="463.77392900980902"/>
    <n v="380.95332010270982"/>
    <x v="5"/>
  </r>
  <r>
    <s v="SALE1068"/>
    <d v="2025-03-22T00:00:00"/>
    <s v="CUST1214"/>
    <s v="PROD91"/>
    <s v="STORE0"/>
    <n v="2.4944438578808401"/>
    <n v="487.79191371900299"/>
    <n v="0.153438509206164"/>
    <s v="COD"/>
    <n v="1033.2137568184901"/>
    <n v="303989.33921881678"/>
    <n v="310"/>
    <x v="102"/>
    <n v="0.15657949099503721"/>
    <n v="2.506097791279625"/>
    <n v="463.74804756076895"/>
    <n v="380.913388226145"/>
    <x v="9"/>
  </r>
  <r>
    <s v="SALE1069"/>
    <d v="2025-07-13T00:00:00"/>
    <s v="CUST1007"/>
    <s v="PROD42"/>
    <s v="STORE8"/>
    <n v="2.4944689470808399"/>
    <n v="487.74015082092302"/>
    <n v="0.153445271276753"/>
    <s v="Credit Card"/>
    <n v="1033.10576035904"/>
    <n v="303989.33921881678"/>
    <n v="310"/>
    <x v="103"/>
    <n v="0.15658287203033203"/>
    <n v="2.5061103358796233"/>
    <n v="463.72216611172882"/>
    <n v="380.87345634958018"/>
    <x v="0"/>
  </r>
  <r>
    <s v="SALE1070"/>
    <d v="2025-05-21T00:00:00"/>
    <s v="CUST1119"/>
    <s v="PROD90"/>
    <s v="STORE3"/>
    <n v="2.4944940362808299"/>
    <n v="487.68838792284299"/>
    <n v="0.153452033347343"/>
    <s v="PayPal"/>
    <n v="1032.9977638995899"/>
    <n v="302956.23345845775"/>
    <n v="309"/>
    <x v="104"/>
    <n v="0.15658625306562682"/>
    <n v="2.5061228804796225"/>
    <n v="463.69628466268875"/>
    <n v="380.83352447301525"/>
    <x v="5"/>
  </r>
  <r>
    <s v="SALE1071"/>
    <d v="2025-02-17T00:00:00"/>
    <s v="CUST1087"/>
    <s v="PROD76"/>
    <s v="STORE13"/>
    <n v="2.4945191254808301"/>
    <n v="487.636625024762"/>
    <n v="0.153458795417933"/>
    <s v="Credit Card"/>
    <n v="1032.8897674401301"/>
    <n v="302956.23345845775"/>
    <n v="309"/>
    <x v="105"/>
    <n v="0.15658963410092164"/>
    <n v="2.5061354250796208"/>
    <n v="463.67040321364868"/>
    <n v="380.7935925964477"/>
    <x v="6"/>
  </r>
  <r>
    <s v="SALE1072"/>
    <d v="2024-05-01T00:00:00"/>
    <s v="CUST1467"/>
    <s v="PROD27"/>
    <s v="STORE10"/>
    <n v="2.4945442146808299"/>
    <n v="487.58486212668203"/>
    <n v="0.153465557488522"/>
    <s v="PayPal"/>
    <n v="1032.78177098068"/>
    <n v="301923.34369101754"/>
    <n v="308"/>
    <x v="106"/>
    <n v="0.15659301513621646"/>
    <n v="2.5061479696796196"/>
    <n v="463.64452176460856"/>
    <n v="380.75366071988287"/>
    <x v="5"/>
  </r>
  <r>
    <s v="SALE1073"/>
    <d v="2024-07-09T00:00:00"/>
    <s v="CUST1152"/>
    <s v="PROD91"/>
    <s v="STORE4"/>
    <n v="2.4945693038808301"/>
    <n v="487.533099228602"/>
    <n v="0.153472319559112"/>
    <s v="PayPal"/>
    <n v="1032.6737745212299"/>
    <n v="301923.34369101754"/>
    <n v="308"/>
    <x v="107"/>
    <n v="0.15659639617151125"/>
    <n v="2.5061605142796184"/>
    <n v="463.61864031556848"/>
    <n v="380.71372884331799"/>
    <x v="0"/>
  </r>
  <r>
    <s v="SALE1074"/>
    <d v="2025-09-25T00:00:00"/>
    <s v="CUST1257"/>
    <s v="PROD85"/>
    <s v="STORE7"/>
    <n v="2.4945943930808201"/>
    <n v="487.48133633052203"/>
    <n v="0.153479081629701"/>
    <s v="PayPal"/>
    <n v="1032.5657780617801"/>
    <n v="301923.34369101754"/>
    <n v="308"/>
    <x v="108"/>
    <n v="0.15659977720680607"/>
    <n v="2.5061730588796172"/>
    <n v="463.59275886652841"/>
    <n v="380.67379696675317"/>
    <x v="8"/>
  </r>
  <r>
    <s v="SALE1075"/>
    <d v="2024-05-08T00:00:00"/>
    <s v="CUST1419"/>
    <s v="PROD3"/>
    <s v="STORE8"/>
    <n v="2.4946194822808199"/>
    <n v="487.429573432442"/>
    <n v="0.153485843700291"/>
    <s v="Credit Card"/>
    <n v="1032.45778160233"/>
    <n v="301923.34369101754"/>
    <n v="308"/>
    <x v="109"/>
    <n v="0.15660315824210086"/>
    <n v="2.5061856034796155"/>
    <n v="463.56687741748834"/>
    <n v="380.63386509018829"/>
    <x v="5"/>
  </r>
  <r>
    <s v="SALE1076"/>
    <d v="2024-09-19T00:00:00"/>
    <s v="CUST1067"/>
    <s v="PROD46"/>
    <s v="STORE4"/>
    <n v="2.4946445714808201"/>
    <n v="487.37781053436203"/>
    <n v="0.153492605770881"/>
    <s v="PayPal"/>
    <n v="1032.3497851428799"/>
    <n v="300890.88590941526"/>
    <n v="307"/>
    <x v="110"/>
    <n v="0.15660653927739568"/>
    <n v="2.5061981480796147"/>
    <n v="463.54099596844821"/>
    <n v="380.59393321362342"/>
    <x v="8"/>
  </r>
  <r>
    <s v="SALE1077"/>
    <d v="2024-04-23T00:00:00"/>
    <s v="CUST1105"/>
    <s v="PROD39"/>
    <s v="STORE11"/>
    <n v="2.4946696606808199"/>
    <n v="487.32604763628098"/>
    <n v="0.15349936784147"/>
    <s v="COD"/>
    <n v="1032.2417886834201"/>
    <n v="300890.88590941526"/>
    <n v="307"/>
    <x v="111"/>
    <n v="0.15660992031269047"/>
    <n v="2.5062106926796135"/>
    <n v="463.5151145194082"/>
    <n v="380.55400133705581"/>
    <x v="10"/>
  </r>
  <r>
    <s v="SALE1078"/>
    <d v="2024-07-30T00:00:00"/>
    <s v="CUST1158"/>
    <s v="PROD19"/>
    <s v="STORE8"/>
    <n v="2.4946947498808099"/>
    <n v="487.274284738201"/>
    <n v="0.15350612991206"/>
    <s v="COD"/>
    <n v="1032.13379222397"/>
    <n v="300890.88590941526"/>
    <n v="307"/>
    <x v="112"/>
    <n v="0.15661330134798526"/>
    <n v="2.5062232372796118"/>
    <n v="463.48923307036813"/>
    <n v="380.51406946049099"/>
    <x v="0"/>
  </r>
  <r>
    <s v="SALE1079"/>
    <d v="2023-12-14T00:00:00"/>
    <s v="CUST1231"/>
    <s v="PROD31"/>
    <s v="STORE17"/>
    <n v="2.4947198390808101"/>
    <n v="487.22252184012098"/>
    <n v="0.15351289198265"/>
    <s v="COD"/>
    <n v="1032.0257957645199"/>
    <n v="300890.88590941526"/>
    <n v="307"/>
    <x v="113"/>
    <n v="0.15661668238328008"/>
    <n v="2.5062357818796102"/>
    <n v="463.463351621328"/>
    <n v="380.47413758392611"/>
    <x v="1"/>
  </r>
  <r>
    <s v="SALE1080"/>
    <d v="2024-09-23T00:00:00"/>
    <s v="CUST1264"/>
    <s v="PROD22"/>
    <s v="STORE10"/>
    <n v="2.4947449282808098"/>
    <n v="487.170758942041"/>
    <n v="0.153519654053239"/>
    <s v="Credit Card"/>
    <n v="1031.91779930507"/>
    <n v="300890.88590941526"/>
    <n v="307"/>
    <x v="114"/>
    <n v="0.1566200634185749"/>
    <n v="2.5062483264796094"/>
    <n v="463.43747017228799"/>
    <n v="380.43420570736129"/>
    <x v="8"/>
  </r>
  <r>
    <s v="SALE1081"/>
    <d v="2025-08-17T00:00:00"/>
    <s v="CUST1338"/>
    <s v="PROD50"/>
    <s v="STORE7"/>
    <n v="2.4947700174808101"/>
    <n v="487.11899604396098"/>
    <n v="0.153526416123829"/>
    <s v="Credit Card"/>
    <n v="1031.80980284562"/>
    <n v="299858.96811011015"/>
    <n v="306"/>
    <x v="115"/>
    <n v="0.15662344445386969"/>
    <n v="2.5062608710796082"/>
    <n v="463.41158872324786"/>
    <n v="380.39427383079641"/>
    <x v="7"/>
  </r>
  <r>
    <s v="SALE1082"/>
    <d v="2025-01-17T00:00:00"/>
    <s v="CUST1476"/>
    <s v="PROD40"/>
    <s v="STORE2"/>
    <n v="2.4947951066808001"/>
    <n v="487.067233145881"/>
    <n v="0.153533178194418"/>
    <s v="PayPal"/>
    <n v="1031.7018063861599"/>
    <n v="298827.15830726456"/>
    <n v="305"/>
    <x v="116"/>
    <n v="0.15662682548916451"/>
    <n v="2.5062734156796069"/>
    <n v="463.38570727420779"/>
    <n v="380.35434195422903"/>
    <x v="4"/>
  </r>
  <r>
    <s v="SALE1083"/>
    <d v="2025-04-30T00:00:00"/>
    <s v="CUST1087"/>
    <s v="PROD14"/>
    <s v="STORE3"/>
    <n v="2.4948201958807998"/>
    <n v="487.01547024780001"/>
    <n v="0.153539940265008"/>
    <s v="COD"/>
    <n v="1031.59380992671"/>
    <n v="298827.15830726456"/>
    <n v="305"/>
    <x v="117"/>
    <n v="0.1566302065244593"/>
    <n v="2.5062859602796057"/>
    <n v="463.35982582516766"/>
    <n v="380.31441007766398"/>
    <x v="10"/>
  </r>
  <r>
    <s v="SALE1084"/>
    <d v="2024-11-02T00:00:00"/>
    <s v="CUST1498"/>
    <s v="PROD8"/>
    <s v="STORE6"/>
    <n v="2.4948452850808001"/>
    <n v="486.96370734971998"/>
    <n v="0.153546702335598"/>
    <s v="PayPal"/>
    <n v="1031.48581346726"/>
    <n v="298827.15830726456"/>
    <n v="305"/>
    <x v="118"/>
    <n v="0.15663358755975412"/>
    <n v="2.5062985048796045"/>
    <n v="463.3339443761277"/>
    <n v="380.2744782010991"/>
    <x v="3"/>
  </r>
  <r>
    <s v="SALE1085"/>
    <d v="2025-08-15T00:00:00"/>
    <s v="CUST1131"/>
    <s v="PROD35"/>
    <s v="STORE12"/>
    <n v="2.4948703742807901"/>
    <n v="486.91194445164001"/>
    <n v="0.153553464406187"/>
    <s v="COD"/>
    <n v="1031.3778170078101"/>
    <n v="298827.15830726456"/>
    <n v="305"/>
    <x v="119"/>
    <n v="0.15663696859504891"/>
    <n v="2.5063110494796033"/>
    <n v="463.30806292708758"/>
    <n v="380.23454632453428"/>
    <x v="7"/>
  </r>
  <r>
    <s v="SALE1086"/>
    <d v="2025-09-16T00:00:00"/>
    <s v="CUST1277"/>
    <s v="PROD93"/>
    <s v="STORE6"/>
    <n v="2.4948954634807898"/>
    <n v="486.86018155355998"/>
    <n v="0.153560226476777"/>
    <s v="COD"/>
    <n v="1031.26982054836"/>
    <n v="298827.15830726456"/>
    <n v="305"/>
    <x v="120"/>
    <n v="0.15664034963034373"/>
    <n v="2.506323594079602"/>
    <n v="463.28218147804745"/>
    <n v="380.1946144479694"/>
    <x v="8"/>
  </r>
  <r>
    <s v="SALE1087"/>
    <d v="2024-02-25T00:00:00"/>
    <s v="CUST1397"/>
    <s v="PROD94"/>
    <s v="STORE9"/>
    <n v="2.49492055268079"/>
    <n v="486.80841865548001"/>
    <n v="0.153566988547366"/>
    <s v="Credit Card"/>
    <n v="1031.16182408891"/>
    <n v="298827.15830726456"/>
    <n v="305"/>
    <x v="121"/>
    <n v="0.15664373066563853"/>
    <n v="2.5063361386796013"/>
    <n v="463.25630002900743"/>
    <n v="380.15468257140452"/>
    <x v="6"/>
  </r>
  <r>
    <s v="SALE1088"/>
    <d v="2025-03-07T00:00:00"/>
    <s v="CUST1315"/>
    <s v="PROD1"/>
    <s v="STORE16"/>
    <n v="2.4949456418807898"/>
    <n v="486.75665575739998"/>
    <n v="0.153573750617956"/>
    <s v="Credit Card"/>
    <n v="1031.0538276294501"/>
    <n v="297795.99648317567"/>
    <n v="304"/>
    <x v="122"/>
    <n v="0.15664711170093334"/>
    <n v="2.5063486832795996"/>
    <n v="463.23041857996736"/>
    <n v="380.1147506948372"/>
    <x v="9"/>
  </r>
  <r>
    <s v="SALE1089"/>
    <d v="2024-07-22T00:00:00"/>
    <s v="CUST1343"/>
    <s v="PROD17"/>
    <s v="STORE3"/>
    <n v="2.4949707310807798"/>
    <n v="486.70489285932001"/>
    <n v="0.153580512688546"/>
    <s v="Credit Card"/>
    <n v="1030.94583117"/>
    <n v="296764.94265554618"/>
    <n v="303"/>
    <x v="123"/>
    <n v="0.15665049273622814"/>
    <n v="2.5063612278795984"/>
    <n v="463.20453713092729"/>
    <n v="380.07481881827232"/>
    <x v="0"/>
  </r>
  <r>
    <s v="SALE1090"/>
    <d v="2024-06-01T00:00:00"/>
    <s v="CUST1496"/>
    <s v="PROD51"/>
    <s v="STORE11"/>
    <n v="2.49499582028078"/>
    <n v="486.65312996123902"/>
    <n v="0.153587274759135"/>
    <s v="COD"/>
    <n v="1030.8378347105499"/>
    <n v="295733.99682437623"/>
    <n v="302"/>
    <x v="124"/>
    <n v="0.15665387377152293"/>
    <n v="2.5063737724795967"/>
    <n v="463.17865568188722"/>
    <n v="380.03488694170721"/>
    <x v="2"/>
  </r>
  <r>
    <s v="SALE1091"/>
    <d v="2025-01-05T00:00:00"/>
    <s v="CUST1164"/>
    <s v="PROD48"/>
    <s v="STORE12"/>
    <n v="2.4950209094807798"/>
    <n v="486.60136706315899"/>
    <n v="0.153594036829725"/>
    <s v="PayPal"/>
    <n v="1030.7298382511001"/>
    <n v="295733.99682437623"/>
    <n v="302"/>
    <x v="125"/>
    <n v="0.15665725480681775"/>
    <n v="2.5063863170795955"/>
    <n v="463.15277423284709"/>
    <n v="379.99495506514239"/>
    <x v="4"/>
  </r>
  <r>
    <s v="SALE1092"/>
    <d v="2025-09-10T00:00:00"/>
    <s v="CUST1329"/>
    <s v="PROD57"/>
    <s v="STORE4"/>
    <n v="2.49504599868078"/>
    <n v="486.54960416507902"/>
    <n v="0.153600798900314"/>
    <s v="Credit Card"/>
    <n v="1030.62184179165"/>
    <n v="295733.99682437623"/>
    <n v="302"/>
    <x v="126"/>
    <n v="0.15666063584211254"/>
    <n v="2.5063988616795942"/>
    <n v="463.12689278380702"/>
    <n v="379.95502318857751"/>
    <x v="8"/>
  </r>
  <r>
    <s v="SALE1093"/>
    <d v="2025-06-19T00:00:00"/>
    <s v="CUST1201"/>
    <s v="PROD87"/>
    <s v="STORE15"/>
    <n v="2.49507108788077"/>
    <n v="486.49784126699899"/>
    <n v="0.153607560970904"/>
    <s v="PayPal"/>
    <n v="1030.5138453321999"/>
    <n v="294703.37498258456"/>
    <n v="301"/>
    <x v="127"/>
    <n v="0.15666401687740736"/>
    <n v="2.5064114062795926"/>
    <n v="463.10101133476689"/>
    <n v="379.91509131201263"/>
    <x v="2"/>
  </r>
  <r>
    <s v="SALE1094"/>
    <d v="2024-09-09T00:00:00"/>
    <s v="CUST1427"/>
    <s v="PROD53"/>
    <s v="STORE5"/>
    <n v="2.4950961770807698"/>
    <n v="486.44607836891902"/>
    <n v="0.153614323041494"/>
    <s v="COD"/>
    <n v="1030.4058488727401"/>
    <n v="294703.37498258456"/>
    <n v="301"/>
    <x v="128"/>
    <n v="0.15666739791270218"/>
    <n v="2.5064239508795909"/>
    <n v="463.07512988572688"/>
    <n v="379.87515943544531"/>
    <x v="8"/>
  </r>
  <r>
    <s v="SALE1095"/>
    <d v="2025-04-04T00:00:00"/>
    <s v="CUST1349"/>
    <s v="PROD71"/>
    <s v="STORE9"/>
    <n v="2.49512126628077"/>
    <n v="486.39431547083899"/>
    <n v="0.153621085112083"/>
    <s v="Credit Card"/>
    <n v="1030.29785241329"/>
    <n v="294703.37498258456"/>
    <n v="301"/>
    <x v="129"/>
    <n v="0.15667077894799697"/>
    <n v="2.5064364954795901"/>
    <n v="463.04924843668675"/>
    <n v="379.83522755888043"/>
    <x v="10"/>
  </r>
  <r>
    <s v="SALE1096"/>
    <d v="2024-04-10T00:00:00"/>
    <s v="CUST1473"/>
    <s v="PROD50"/>
    <s v="STORE6"/>
    <n v="2.4951463554807698"/>
    <n v="486.342552572758"/>
    <n v="0.153627847182673"/>
    <s v="COD"/>
    <n v="1030.1898559538399"/>
    <n v="293673.07713017135"/>
    <n v="300"/>
    <x v="130"/>
    <n v="0.15667415998329176"/>
    <n v="2.5064490400795885"/>
    <n v="463.02336698764668"/>
    <n v="379.79529568231533"/>
    <x v="10"/>
  </r>
  <r>
    <s v="SALE1097"/>
    <d v="2024-10-24T00:00:00"/>
    <s v="CUST1178"/>
    <s v="PROD97"/>
    <s v="STORE10"/>
    <n v="2.4951714446807598"/>
    <n v="486.29078967467802"/>
    <n v="0.153634609253262"/>
    <s v="COD"/>
    <n v="1030.0818594943901"/>
    <n v="293673.07713017135"/>
    <n v="300"/>
    <x v="53"/>
    <n v="0.15667754101858658"/>
    <n v="2.5064615846795872"/>
    <n v="462.99748553860661"/>
    <n v="379.75536380575056"/>
    <x v="11"/>
  </r>
  <r>
    <s v="SALE1098"/>
    <d v="2025-04-09T00:00:00"/>
    <s v="CUST1337"/>
    <s v="PROD71"/>
    <s v="STORE14"/>
    <n v="2.49519653388076"/>
    <n v="486.239026776598"/>
    <n v="0.153641371323852"/>
    <s v="PayPal"/>
    <n v="1029.97386303494"/>
    <n v="293673.07713017135"/>
    <n v="300"/>
    <x v="131"/>
    <n v="0.15668092205388137"/>
    <n v="2.5064741292795856"/>
    <n v="462.97160408956654"/>
    <n v="379.71543192918563"/>
    <x v="10"/>
  </r>
  <r>
    <s v="SALE1099"/>
    <d v="2023-11-25T00:00:00"/>
    <s v="CUST1171"/>
    <s v="PROD90"/>
    <s v="STORE5"/>
    <n v="2.4952216230807598"/>
    <n v="486.18726387851802"/>
    <n v="0.153648133394442"/>
    <s v="COD"/>
    <n v="1029.8658665754899"/>
    <n v="293673.07713017135"/>
    <n v="300"/>
    <x v="65"/>
    <n v="0.15668430308917619"/>
    <n v="2.5064866738795848"/>
    <n v="462.94572264052647"/>
    <n v="379.67550005262081"/>
    <x v="3"/>
  </r>
  <r>
    <s v="SALE1100"/>
    <d v="2025-03-02T00:00:00"/>
    <s v="CUST1113"/>
    <s v="PROD47"/>
    <s v="STORE0"/>
    <n v="2.49524671228076"/>
    <n v="486.135500980438"/>
    <n v="0.153654895465031"/>
    <s v="COD"/>
    <n v="1029.7578701160301"/>
    <n v="293673.07713017135"/>
    <n v="300"/>
    <x v="132"/>
    <n v="0.15668768412447101"/>
    <n v="2.5064992184795831"/>
    <n v="462.9198411914864"/>
    <n v="379.63556817605343"/>
    <x v="9"/>
  </r>
  <r>
    <s v="SALE1101"/>
    <d v="2024-10-08T00:00:00"/>
    <s v="CUST1399"/>
    <s v="PROD66"/>
    <s v="STORE12"/>
    <n v="2.49527180148075"/>
    <n v="486.08373808235802"/>
    <n v="0.153661657535621"/>
    <s v="COD"/>
    <n v="1029.64987365658"/>
    <n v="293673.07713017135"/>
    <n v="300"/>
    <x v="133"/>
    <n v="0.1566910651597658"/>
    <n v="2.5065117630795819"/>
    <n v="462.89395974244633"/>
    <n v="379.5956362994886"/>
    <x v="11"/>
  </r>
  <r>
    <s v="SALE1102"/>
    <d v="2025-08-15T00:00:00"/>
    <s v="CUST1401"/>
    <s v="PROD34"/>
    <s v="STORE16"/>
    <n v="2.4952968906807498"/>
    <n v="486.03197518427697"/>
    <n v="0.153668419606211"/>
    <s v="COD"/>
    <n v="1029.5418771971299"/>
    <n v="293673.07713017135"/>
    <n v="300"/>
    <x v="119"/>
    <n v="0.15669444619506062"/>
    <n v="2.5065243076795802"/>
    <n v="462.8680782934062"/>
    <n v="379.55570442292344"/>
    <x v="7"/>
  </r>
  <r>
    <s v="SALE1103"/>
    <d v="2024-06-05T00:00:00"/>
    <s v="CUST1435"/>
    <s v="PROD36"/>
    <s v="STORE8"/>
    <n v="2.49532197988075"/>
    <n v="485.980212286197"/>
    <n v="0.1536751816768"/>
    <s v="PayPal"/>
    <n v="1029.4338807376801"/>
    <n v="293673.07713017135"/>
    <n v="300"/>
    <x v="134"/>
    <n v="0.15669782723035539"/>
    <n v="2.506536852279579"/>
    <n v="462.84219684436619"/>
    <n v="379.51577254635868"/>
    <x v="2"/>
  </r>
  <r>
    <s v="SALE1104"/>
    <d v="2024-08-18T00:00:00"/>
    <s v="CUST1459"/>
    <s v="PROD54"/>
    <s v="STORE15"/>
    <n v="2.49534706908074"/>
    <n v="485.92844938811697"/>
    <n v="0.15368194374739"/>
    <s v="COD"/>
    <n v="1029.32588427823"/>
    <n v="293673.07713017135"/>
    <n v="300"/>
    <x v="135"/>
    <n v="0.1567012082656502"/>
    <n v="2.5065493968795778"/>
    <n v="462.81631539532606"/>
    <n v="379.4758406697938"/>
    <x v="7"/>
  </r>
  <r>
    <s v="SALE1105"/>
    <d v="2024-11-30T00:00:00"/>
    <s v="CUST1443"/>
    <s v="PROD36"/>
    <s v="STORE19"/>
    <n v="2.4953721582807402"/>
    <n v="485.876686490037"/>
    <n v="0.153688705817979"/>
    <s v="COD"/>
    <n v="1029.2178878187699"/>
    <n v="293673.07713017135"/>
    <n v="300"/>
    <x v="71"/>
    <n v="0.15670458930094502"/>
    <n v="2.506561941479577"/>
    <n v="462.79043394628599"/>
    <n v="379.43590879322642"/>
    <x v="3"/>
  </r>
  <r>
    <s v="SALE1106"/>
    <d v="2024-11-21T00:00:00"/>
    <s v="CUST1294"/>
    <s v="PROD82"/>
    <s v="STORE19"/>
    <n v="2.49539724748074"/>
    <n v="485.82492359195697"/>
    <n v="0.153695467888569"/>
    <s v="PayPal"/>
    <n v="1029.10989135932"/>
    <n v="293673.07713017135"/>
    <n v="300"/>
    <x v="136"/>
    <n v="0.15670797033623982"/>
    <n v="2.5065744860795753"/>
    <n v="462.76455249724586"/>
    <n v="379.3959769166616"/>
    <x v="3"/>
  </r>
  <r>
    <s v="SALE1107"/>
    <d v="2025-08-09T00:00:00"/>
    <s v="CUST1493"/>
    <s v="PROD87"/>
    <s v="STORE0"/>
    <n v="2.4954223366807402"/>
    <n v="485.773160693877"/>
    <n v="0.153702229959159"/>
    <s v="Credit Card"/>
    <n v="1029.00189489987"/>
    <n v="293673.07713017135"/>
    <n v="300"/>
    <x v="35"/>
    <n v="0.15671135137153464"/>
    <n v="2.5065870306795746"/>
    <n v="462.73867104820579"/>
    <n v="379.35604504009672"/>
    <x v="7"/>
  </r>
  <r>
    <s v="SALE1108"/>
    <d v="2024-07-29T00:00:00"/>
    <s v="CUST1093"/>
    <s v="PROD5"/>
    <s v="STORE12"/>
    <n v="2.4954474258807302"/>
    <n v="485.72139779579601"/>
    <n v="0.153708992029748"/>
    <s v="COD"/>
    <n v="1028.8938984404199"/>
    <n v="292644.07523527148"/>
    <n v="299"/>
    <x v="137"/>
    <n v="0.15671473240682945"/>
    <n v="2.5065995752795729"/>
    <n v="462.71278959916577"/>
    <n v="379.31611316353161"/>
    <x v="0"/>
  </r>
  <r>
    <s v="SALE1109"/>
    <d v="2024-05-21T00:00:00"/>
    <s v="CUST1068"/>
    <s v="PROD52"/>
    <s v="STORE5"/>
    <n v="2.49547251508073"/>
    <n v="485.66963489771598"/>
    <n v="0.153715754100338"/>
    <s v="COD"/>
    <n v="1028.78590198097"/>
    <n v="292644.07523527148"/>
    <n v="299"/>
    <x v="138"/>
    <n v="0.15671811344212427"/>
    <n v="2.5066121198795717"/>
    <n v="462.68690815012576"/>
    <n v="379.27618128696679"/>
    <x v="5"/>
  </r>
  <r>
    <s v="SALE1110"/>
    <d v="2024-10-29T00:00:00"/>
    <s v="CUST1022"/>
    <s v="PROD13"/>
    <s v="STORE8"/>
    <n v="2.4954976042807302"/>
    <n v="485.61787199963601"/>
    <n v="0.153722516170927"/>
    <s v="PayPal"/>
    <n v="1028.67790552152"/>
    <n v="292644.07523527148"/>
    <n v="299"/>
    <x v="139"/>
    <n v="0.15672149447741909"/>
    <n v="2.50662466447957"/>
    <n v="462.66102670108558"/>
    <n v="379.23624941040191"/>
    <x v="11"/>
  </r>
  <r>
    <s v="SALE1111"/>
    <d v="2025-05-21T00:00:00"/>
    <s v="CUST1243"/>
    <s v="PROD69"/>
    <s v="STORE19"/>
    <n v="2.49552269348073"/>
    <n v="485.56610910155598"/>
    <n v="0.153729278241517"/>
    <s v="PayPal"/>
    <n v="1028.5699090620601"/>
    <n v="292644.07523527148"/>
    <n v="299"/>
    <x v="104"/>
    <n v="0.15672487551271386"/>
    <n v="2.5066372090795692"/>
    <n v="462.63514525204545"/>
    <n v="379.19631753383459"/>
    <x v="5"/>
  </r>
  <r>
    <s v="SALE1112"/>
    <d v="2024-10-14T00:00:00"/>
    <s v="CUST1314"/>
    <s v="PROD11"/>
    <s v="STORE19"/>
    <n v="2.49554778268072"/>
    <n v="485.51434620347601"/>
    <n v="0.153736040312107"/>
    <s v="Credit Card"/>
    <n v="1028.46191260261"/>
    <n v="292644.07523527148"/>
    <n v="299"/>
    <x v="140"/>
    <n v="0.15672825654800865"/>
    <n v="2.506649753679568"/>
    <n v="462.60926380300543"/>
    <n v="379.15638565726971"/>
    <x v="11"/>
  </r>
  <r>
    <s v="SALE1113"/>
    <d v="2024-11-17T00:00:00"/>
    <s v="CUST1405"/>
    <s v="PROD48"/>
    <s v="STORE2"/>
    <n v="2.4955728718807202"/>
    <n v="485.46258330539598"/>
    <n v="0.153742802382696"/>
    <s v="COD"/>
    <n v="1028.3539161431599"/>
    <n v="291615.61332266888"/>
    <n v="298"/>
    <x v="141"/>
    <n v="0.15673163758330347"/>
    <n v="2.5066622982795668"/>
    <n v="462.58338235396542"/>
    <n v="379.11645378070483"/>
    <x v="3"/>
  </r>
  <r>
    <s v="SALE1114"/>
    <d v="2025-03-29T00:00:00"/>
    <s v="CUST1307"/>
    <s v="PROD93"/>
    <s v="STORE12"/>
    <n v="2.49559796108072"/>
    <n v="485.41082040731601"/>
    <n v="0.153749564453286"/>
    <s v="Credit Card"/>
    <n v="1028.2459196837101"/>
    <n v="291615.61332266888"/>
    <n v="298"/>
    <x v="142"/>
    <n v="0.15673501861859832"/>
    <n v="2.5066748428795651"/>
    <n v="462.55750090492529"/>
    <n v="379.07652190414001"/>
    <x v="9"/>
  </r>
  <r>
    <s v="SALE1115"/>
    <d v="2024-07-21T00:00:00"/>
    <s v="CUST1319"/>
    <s v="PROD49"/>
    <s v="STORE0"/>
    <n v="2.4956230502807202"/>
    <n v="485.35905750923502"/>
    <n v="0.153756326523875"/>
    <s v="PayPal"/>
    <n v="1028.13792322426"/>
    <n v="290587.36740298511"/>
    <n v="297"/>
    <x v="143"/>
    <n v="0.15673839965389308"/>
    <n v="2.5066873874795639"/>
    <n v="462.53161945588522"/>
    <n v="379.0365900275749"/>
    <x v="0"/>
  </r>
  <r>
    <s v="SALE1116"/>
    <d v="2025-08-14T00:00:00"/>
    <s v="CUST1097"/>
    <s v="PROD55"/>
    <s v="STORE5"/>
    <n v="2.4956481394807102"/>
    <n v="485.30729461115499"/>
    <n v="0.153763088594465"/>
    <s v="PayPal"/>
    <n v="1028.0299267648099"/>
    <n v="290587.36740298511"/>
    <n v="297"/>
    <x v="144"/>
    <n v="0.15674178068918793"/>
    <n v="2.5066999320795627"/>
    <n v="462.50573800684504"/>
    <n v="378.99665815101002"/>
    <x v="7"/>
  </r>
  <r>
    <s v="SALE1117"/>
    <d v="2024-11-05T00:00:00"/>
    <s v="CUST1369"/>
    <s v="PROD28"/>
    <s v="STORE11"/>
    <n v="2.49567322868071"/>
    <n v="485.25553171307502"/>
    <n v="0.153769850665055"/>
    <s v="PayPal"/>
    <n v="1027.9219303053501"/>
    <n v="290587.36740298511"/>
    <n v="297"/>
    <x v="145"/>
    <n v="0.15674516172448275"/>
    <n v="2.5067124766795614"/>
    <n v="462.47985655780508"/>
    <n v="378.9567262744427"/>
    <x v="3"/>
  </r>
  <r>
    <s v="SALE1118"/>
    <d v="2024-06-11T00:00:00"/>
    <s v="CUST1394"/>
    <s v="PROD89"/>
    <s v="STORE16"/>
    <n v="2.4956983178807102"/>
    <n v="485.20376881499499"/>
    <n v="0.153776612735644"/>
    <s v="COD"/>
    <n v="1027.8139338459"/>
    <n v="290587.36740298511"/>
    <n v="297"/>
    <x v="146"/>
    <n v="0.15674854275977754"/>
    <n v="2.5067250212795602"/>
    <n v="462.45397510876495"/>
    <n v="378.91679439787788"/>
    <x v="2"/>
  </r>
  <r>
    <s v="SALE1119"/>
    <d v="2025-09-18T00:00:00"/>
    <s v="CUST1020"/>
    <s v="PROD70"/>
    <s v="STORE18"/>
    <n v="2.4957234070807099"/>
    <n v="485.15200591691502"/>
    <n v="0.153783374806234"/>
    <s v="Credit Card"/>
    <n v="1027.7059373864499"/>
    <n v="290587.36740298511"/>
    <n v="297"/>
    <x v="147"/>
    <n v="0.15675192379507233"/>
    <n v="2.506737565879559"/>
    <n v="462.42809365972488"/>
    <n v="378.876862521313"/>
    <x v="8"/>
  </r>
  <r>
    <s v="SALE1120"/>
    <d v="2025-03-13T00:00:00"/>
    <s v="CUST1058"/>
    <s v="PROD70"/>
    <s v="STORE0"/>
    <n v="2.4957484962806999"/>
    <n v="485.10024301883499"/>
    <n v="0.153790136876823"/>
    <s v="PayPal"/>
    <n v="1027.5979409270001"/>
    <n v="289559.66146559868"/>
    <n v="296"/>
    <x v="148"/>
    <n v="0.15675530483036715"/>
    <n v="2.5067501104795573"/>
    <n v="462.40221221068481"/>
    <n v="378.83693064474812"/>
    <x v="9"/>
  </r>
  <r>
    <s v="SALE1121"/>
    <d v="2023-12-16T00:00:00"/>
    <s v="CUST1298"/>
    <s v="PROD73"/>
    <s v="STORE6"/>
    <n v="2.4957735854807002"/>
    <n v="485.04848012075399"/>
    <n v="0.153796898947413"/>
    <s v="PayPal"/>
    <n v="1027.48994446755"/>
    <n v="289559.66146559868"/>
    <n v="296"/>
    <x v="149"/>
    <n v="0.15675868586566197"/>
    <n v="2.5067626550795556"/>
    <n v="462.37633076164468"/>
    <n v="378.79699876818302"/>
    <x v="1"/>
  </r>
  <r>
    <s v="SALE1122"/>
    <d v="2025-07-13T00:00:00"/>
    <s v="CUST1076"/>
    <s v="PROD32"/>
    <s v="STORE1"/>
    <n v="2.4957986746806999"/>
    <n v="484.99671722267402"/>
    <n v="0.153803661018003"/>
    <s v="PayPal"/>
    <n v="1027.3819480080999"/>
    <n v="289559.66146559868"/>
    <n v="296"/>
    <x v="103"/>
    <n v="0.15676206690095673"/>
    <n v="2.5067751996795549"/>
    <n v="462.35044931260467"/>
    <n v="378.75706689161814"/>
    <x v="0"/>
  </r>
  <r>
    <s v="SALE1123"/>
    <d v="2024-05-06T00:00:00"/>
    <s v="CUST1276"/>
    <s v="PROD54"/>
    <s v="STORE12"/>
    <n v="2.4958237638807002"/>
    <n v="484.94495432459399"/>
    <n v="0.153810423088592"/>
    <s v="Credit Card"/>
    <n v="1027.2739515486401"/>
    <n v="289559.66146559868"/>
    <n v="296"/>
    <x v="150"/>
    <n v="0.15676544793625158"/>
    <n v="2.5067877442795532"/>
    <n v="462.32456786356454"/>
    <n v="378.71713501505087"/>
    <x v="5"/>
  </r>
  <r>
    <s v="SALE1124"/>
    <d v="2024-08-04T00:00:00"/>
    <s v="CUST1073"/>
    <s v="PROD10"/>
    <s v="STORE17"/>
    <n v="2.4958488530806902"/>
    <n v="484.89319142651402"/>
    <n v="0.153817185159182"/>
    <s v="PayPal"/>
    <n v="1027.16595508919"/>
    <n v="288532.38751405006"/>
    <n v="295"/>
    <x v="151"/>
    <n v="0.1567688289715464"/>
    <n v="2.506800288879552"/>
    <n v="462.29868641452447"/>
    <n v="378.67720313848599"/>
    <x v="7"/>
  </r>
  <r>
    <s v="SALE1125"/>
    <d v="2023-12-09T00:00:00"/>
    <s v="CUST1295"/>
    <s v="PROD69"/>
    <s v="STORE8"/>
    <n v="2.4958739422806899"/>
    <n v="484.84142852843399"/>
    <n v="0.153823947229772"/>
    <s v="COD"/>
    <n v="1027.0579586297399"/>
    <n v="288532.38751405006"/>
    <n v="295"/>
    <x v="152"/>
    <n v="0.15677221000684116"/>
    <n v="2.5068128334795503"/>
    <n v="462.27280496548434"/>
    <n v="378.63727126192111"/>
    <x v="1"/>
  </r>
  <r>
    <s v="SALE1126"/>
    <d v="2025-07-28T00:00:00"/>
    <s v="CUST1415"/>
    <s v="PROD79"/>
    <s v="STORE7"/>
    <n v="2.4958990314806901"/>
    <n v="484.78966563035402"/>
    <n v="0.153830709300361"/>
    <s v="Credit Card"/>
    <n v="1026.9499621702901"/>
    <n v="288532.38751405006"/>
    <n v="295"/>
    <x v="153"/>
    <n v="0.15677559104213595"/>
    <n v="2.5068253780795491"/>
    <n v="462.24692351644433"/>
    <n v="378.59733938535629"/>
    <x v="0"/>
  </r>
  <r>
    <s v="SALE1127"/>
    <d v="2024-06-19T00:00:00"/>
    <s v="CUST1108"/>
    <s v="PROD30"/>
    <s v="STORE9"/>
    <n v="2.4959241206806801"/>
    <n v="484.73790273227303"/>
    <n v="0.153837471370951"/>
    <s v="Credit Card"/>
    <n v="1026.84196571084"/>
    <n v="287505.43755187967"/>
    <n v="294"/>
    <x v="55"/>
    <n v="0.15677897207743077"/>
    <n v="2.5068379226795479"/>
    <n v="462.2210420674042"/>
    <n v="378.55740750879113"/>
    <x v="2"/>
  </r>
  <r>
    <s v="SALE1128"/>
    <d v="2024-01-22T00:00:00"/>
    <s v="CUST1373"/>
    <s v="PROD72"/>
    <s v="STORE7"/>
    <n v="2.4959492098806799"/>
    <n v="484.686139834193"/>
    <n v="0.15384423344154"/>
    <s v="COD"/>
    <n v="1026.7339692513799"/>
    <n v="286478.59558616893"/>
    <n v="293"/>
    <x v="154"/>
    <n v="0.15678235311272562"/>
    <n v="2.5068504672795466"/>
    <n v="462.19516061836413"/>
    <n v="378.51747563222375"/>
    <x v="4"/>
  </r>
  <r>
    <s v="SALE1129"/>
    <d v="2024-04-08T00:00:00"/>
    <s v="CUST1256"/>
    <s v="PROD34"/>
    <s v="STORE6"/>
    <n v="2.4959742990806801"/>
    <n v="484.63437693611297"/>
    <n v="0.15385099551213"/>
    <s v="COD"/>
    <n v="1026.6259727919301"/>
    <n v="286478.59558616893"/>
    <n v="293"/>
    <x v="155"/>
    <n v="0.15678573414802041"/>
    <n v="2.506863011879545"/>
    <n v="462.169279169324"/>
    <n v="378.47754375565898"/>
    <x v="10"/>
  </r>
  <r>
    <s v="SALE1130"/>
    <d v="2025-05-18T00:00:00"/>
    <s v="CUST1175"/>
    <s v="PROD49"/>
    <s v="STORE11"/>
    <n v="2.4959993882806799"/>
    <n v="484.582614038033"/>
    <n v="0.15385775758272"/>
    <s v="PayPal"/>
    <n v="1026.51797633248"/>
    <n v="286478.59558616893"/>
    <n v="293"/>
    <x v="156"/>
    <n v="0.1567891151833152"/>
    <n v="2.5068755564795437"/>
    <n v="462.14339772028387"/>
    <n v="378.43761187909411"/>
    <x v="5"/>
  </r>
  <r>
    <s v="SALE1131"/>
    <d v="2023-12-07T00:00:00"/>
    <s v="CUST1344"/>
    <s v="PROD89"/>
    <s v="STORE10"/>
    <n v="2.4960244774806699"/>
    <n v="484.53085113995297"/>
    <n v="0.153864519653309"/>
    <s v="COD"/>
    <n v="1026.4099798730299"/>
    <n v="286478.59558616893"/>
    <n v="293"/>
    <x v="157"/>
    <n v="0.15679249621860999"/>
    <n v="2.506888101079543"/>
    <n v="462.1175162712438"/>
    <n v="378.39768000252923"/>
    <x v="1"/>
  </r>
  <r>
    <s v="SALE1132"/>
    <d v="2024-01-23T00:00:00"/>
    <s v="CUST1485"/>
    <s v="PROD26"/>
    <s v="STORE2"/>
    <n v="2.4960495666806701"/>
    <n v="484.479088241873"/>
    <n v="0.15387128172389899"/>
    <s v="COD"/>
    <n v="1026.30198341358"/>
    <n v="286478.59558616893"/>
    <n v="293"/>
    <x v="158"/>
    <n v="0.15679587725390481"/>
    <n v="2.5069006456795417"/>
    <n v="462.09163482220373"/>
    <n v="378.35774812596441"/>
    <x v="4"/>
  </r>
  <r>
    <s v="SALE1133"/>
    <d v="2023-12-07T00:00:00"/>
    <s v="CUST1293"/>
    <s v="PROD20"/>
    <s v="STORE7"/>
    <n v="2.4960746558806699"/>
    <n v="484.42732534379297"/>
    <n v="0.153878043794488"/>
    <s v="COD"/>
    <n v="1026.19398695413"/>
    <n v="286478.59558616893"/>
    <n v="293"/>
    <x v="157"/>
    <n v="0.15679925828919963"/>
    <n v="2.5069131902795392"/>
    <n v="462.06575337316366"/>
    <n v="378.31781624939953"/>
    <x v="1"/>
  </r>
  <r>
    <s v="SALE1134"/>
    <d v="2024-12-15T00:00:00"/>
    <s v="CUST1377"/>
    <s v="PROD92"/>
    <s v="STORE1"/>
    <n v="2.4960997450806701"/>
    <n v="484.37556244571198"/>
    <n v="0.15388480586507799"/>
    <s v="Credit Card"/>
    <n v="1026.0859904946701"/>
    <n v="286478.59558616893"/>
    <n v="293"/>
    <x v="159"/>
    <n v="0.15680263932449442"/>
    <n v="2.5069257348795388"/>
    <n v="462.03987192412353"/>
    <n v="378.27788437283198"/>
    <x v="1"/>
  </r>
  <r>
    <s v="SALE1135"/>
    <d v="2024-03-20T00:00:00"/>
    <s v="CUST1128"/>
    <s v="PROD25"/>
    <s v="STORE15"/>
    <n v="2.4961248342806601"/>
    <n v="484.32379954763201"/>
    <n v="0.15389156793566799"/>
    <s v="PayPal"/>
    <n v="1025.97799403522"/>
    <n v="285452.50959567417"/>
    <n v="292"/>
    <x v="160"/>
    <n v="0.15680602035978924"/>
    <n v="2.5069382794795376"/>
    <n v="462.01399047508346"/>
    <n v="378.2379524962671"/>
    <x v="9"/>
  </r>
  <r>
    <s v="SALE1136"/>
    <d v="2025-01-13T00:00:00"/>
    <s v="CUST1499"/>
    <s v="PROD55"/>
    <s v="STORE8"/>
    <n v="2.4961499234806599"/>
    <n v="484.27203664955198"/>
    <n v="0.15389833000625699"/>
    <s v="PayPal"/>
    <n v="1025.86999757577"/>
    <n v="285452.50959567417"/>
    <n v="292"/>
    <x v="161"/>
    <n v="0.15680940139508404"/>
    <n v="2.506950824079536"/>
    <n v="461.98810902604339"/>
    <n v="378.19802061970222"/>
    <x v="4"/>
  </r>
  <r>
    <s v="SALE1137"/>
    <d v="2025-08-16T00:00:00"/>
    <s v="CUST1066"/>
    <s v="PROD94"/>
    <s v="STORE5"/>
    <n v="2.4961750126806601"/>
    <n v="484.22027375147201"/>
    <n v="0.15390509207684699"/>
    <s v="COD"/>
    <n v="1025.7620011163201"/>
    <n v="285452.50959567417"/>
    <n v="292"/>
    <x v="77"/>
    <n v="0.15681278243037886"/>
    <n v="2.5069633686795338"/>
    <n v="461.96222757700332"/>
    <n v="378.1580887431374"/>
    <x v="7"/>
  </r>
  <r>
    <s v="SALE1138"/>
    <d v="2025-06-04T00:00:00"/>
    <s v="CUST1081"/>
    <s v="PROD45"/>
    <s v="STORE0"/>
    <n v="2.4962001018806599"/>
    <n v="484.16851085339198"/>
    <n v="0.15391185414743599"/>
    <s v="Credit Card"/>
    <n v="1025.65400465687"/>
    <n v="285452.50959567417"/>
    <n v="292"/>
    <x v="162"/>
    <n v="0.15681616346567367"/>
    <n v="2.5069759132795335"/>
    <n v="461.93634612796319"/>
    <n v="378.11815686657252"/>
    <x v="2"/>
  </r>
  <r>
    <s v="SALE1139"/>
    <d v="2023-11-05T00:00:00"/>
    <s v="CUST1478"/>
    <s v="PROD39"/>
    <s v="STORE12"/>
    <n v="2.4962251910806499"/>
    <n v="484.11674795531201"/>
    <n v="0.15391861621802599"/>
    <s v="Credit Card"/>
    <n v="1025.54600819742"/>
    <n v="284426.85559101729"/>
    <n v="291"/>
    <x v="163"/>
    <n v="0.15681954450096847"/>
    <n v="2.5069884578795323"/>
    <n v="461.91046467892312"/>
    <n v="378.0782249900077"/>
    <x v="3"/>
  </r>
  <r>
    <s v="SALE1140"/>
    <d v="2025-02-22T00:00:00"/>
    <s v="CUST1462"/>
    <s v="PROD33"/>
    <s v="STORE13"/>
    <n v="2.4962502802806501"/>
    <n v="484.06498505723101"/>
    <n v="0.15392537828861599"/>
    <s v="PayPal"/>
    <n v="1025.4380117379601"/>
    <n v="283401.30958281993"/>
    <n v="290"/>
    <x v="27"/>
    <n v="0.15682292553626323"/>
    <n v="2.5070010024795306"/>
    <n v="461.88458322988305"/>
    <n v="378.03829311344009"/>
    <x v="6"/>
  </r>
  <r>
    <s v="SALE1141"/>
    <d v="2025-04-06T00:00:00"/>
    <s v="CUST1396"/>
    <s v="PROD34"/>
    <s v="STORE0"/>
    <n v="2.4962753694806499"/>
    <n v="484.01322215915098"/>
    <n v="0.15393214035920499"/>
    <s v="COD"/>
    <n v="1025.33001527851"/>
    <n v="283401.30958281993"/>
    <n v="290"/>
    <x v="164"/>
    <n v="0.15682630657155802"/>
    <n v="2.5070135470795298"/>
    <n v="461.85870178084298"/>
    <n v="377.99836123687521"/>
    <x v="10"/>
  </r>
  <r>
    <s v="SALE1142"/>
    <d v="2024-10-29T00:00:00"/>
    <s v="CUST1033"/>
    <s v="PROD46"/>
    <s v="STORE3"/>
    <n v="2.4963004586806501"/>
    <n v="483.96145926107101"/>
    <n v="0.15393890242979499"/>
    <s v="PayPal"/>
    <n v="1025.2220188190599"/>
    <n v="283401.30958281993"/>
    <n v="290"/>
    <x v="139"/>
    <n v="0.15682968760685287"/>
    <n v="2.5070260916795282"/>
    <n v="461.83282033180291"/>
    <n v="377.95842936031033"/>
    <x v="11"/>
  </r>
  <r>
    <s v="SALE1143"/>
    <d v="2025-01-29T00:00:00"/>
    <s v="CUST1489"/>
    <s v="PROD89"/>
    <s v="STORE3"/>
    <n v="2.4963255478806401"/>
    <n v="483.90969636299099"/>
    <n v="0.15394566450038499"/>
    <s v="PayPal"/>
    <n v="1025.1140223596101"/>
    <n v="283401.30958281993"/>
    <n v="290"/>
    <x v="165"/>
    <n v="0.15683306864214766"/>
    <n v="2.5070386362795269"/>
    <n v="461.80693888276278"/>
    <n v="377.91849748374551"/>
    <x v="4"/>
  </r>
  <r>
    <s v="SALE1144"/>
    <d v="2024-03-03T00:00:00"/>
    <s v="CUST1428"/>
    <s v="PROD63"/>
    <s v="STORE3"/>
    <n v="2.4963506370806399"/>
    <n v="483.85793346491101"/>
    <n v="0.15395242657097399"/>
    <s v="COD"/>
    <n v="1025.00602590016"/>
    <n v="283401.30958281993"/>
    <n v="290"/>
    <x v="166"/>
    <n v="0.15683644967744245"/>
    <n v="2.5070511808795262"/>
    <n v="461.78105743372265"/>
    <n v="377.87856560718069"/>
    <x v="9"/>
  </r>
  <r>
    <s v="SALE1145"/>
    <d v="2024-11-04T00:00:00"/>
    <s v="CUST1453"/>
    <s v="PROD79"/>
    <s v="STORE18"/>
    <n v="2.4963757262806401"/>
    <n v="483.80617056683099"/>
    <n v="0.15395918864156399"/>
    <s v="PayPal"/>
    <n v="1024.8980294407099"/>
    <n v="283401.30958281993"/>
    <n v="290"/>
    <x v="167"/>
    <n v="0.15683983071273724"/>
    <n v="2.5070637254795245"/>
    <n v="461.75517598468258"/>
    <n v="377.83863373061581"/>
    <x v="3"/>
  </r>
  <r>
    <s v="SALE1146"/>
    <d v="2024-09-03T00:00:00"/>
    <s v="CUST1272"/>
    <s v="PROD81"/>
    <s v="STORE6"/>
    <n v="2.4964008154806301"/>
    <n v="483.75440766874999"/>
    <n v="0.15396595071215299"/>
    <s v="COD"/>
    <n v="1024.7900329812501"/>
    <n v="283401.30958281993"/>
    <n v="290"/>
    <x v="44"/>
    <n v="0.15684321174803206"/>
    <n v="2.5070762700795228"/>
    <n v="461.72929453564257"/>
    <n v="377.7987018540482"/>
    <x v="8"/>
  </r>
  <r>
    <s v="SALE1147"/>
    <d v="2024-04-29T00:00:00"/>
    <s v="CUST1382"/>
    <s v="PROD4"/>
    <s v="STORE3"/>
    <n v="2.4964259046806299"/>
    <n v="483.70264477067002"/>
    <n v="0.15397271278274299"/>
    <s v="Credit Card"/>
    <n v="1024.6820365218"/>
    <n v="283401.30958281993"/>
    <n v="290"/>
    <x v="168"/>
    <n v="0.15684659278332688"/>
    <n v="2.5070888146795216"/>
    <n v="461.7034130866025"/>
    <n v="377.75876997748333"/>
    <x v="10"/>
  </r>
  <r>
    <s v="SALE1148"/>
    <d v="2024-04-29T00:00:00"/>
    <s v="CUST1091"/>
    <s v="PROD46"/>
    <s v="STORE3"/>
    <n v="2.4964509938806301"/>
    <n v="483.65088187258999"/>
    <n v="0.15397947485333299"/>
    <s v="COD"/>
    <n v="1024.5740400623499"/>
    <n v="282376.62754629808"/>
    <n v="289"/>
    <x v="168"/>
    <n v="0.15684997381862167"/>
    <n v="2.5071013592795208"/>
    <n v="461.67753163756242"/>
    <n v="377.71883810091845"/>
    <x v="10"/>
  </r>
  <r>
    <s v="SALE1149"/>
    <d v="2025-04-28T00:00:00"/>
    <s v="CUST1334"/>
    <s v="PROD71"/>
    <s v="STORE9"/>
    <n v="2.4964760830806298"/>
    <n v="483.59911897451002"/>
    <n v="0.15398623692392199"/>
    <s v="PayPal"/>
    <n v="1024.4660436029001"/>
    <n v="282376.62754629808"/>
    <n v="289"/>
    <x v="169"/>
    <n v="0.15685335485391647"/>
    <n v="2.5071139038795192"/>
    <n v="461.65165018852235"/>
    <n v="377.67890622435368"/>
    <x v="10"/>
  </r>
  <r>
    <s v="SALE1150"/>
    <d v="2024-06-16T00:00:00"/>
    <s v="CUST1138"/>
    <s v="PROD46"/>
    <s v="STORE18"/>
    <n v="2.4965011722806199"/>
    <n v="483.54735607642999"/>
    <n v="0.15399299899451199"/>
    <s v="PayPal"/>
    <n v="1024.35804714345"/>
    <n v="282376.62754629808"/>
    <n v="289"/>
    <x v="170"/>
    <n v="0.15685673588921129"/>
    <n v="2.5071264484795179"/>
    <n v="461.62576873948228"/>
    <n v="377.6389743477888"/>
    <x v="2"/>
  </r>
  <r>
    <s v="SALE1151"/>
    <d v="2024-11-21T00:00:00"/>
    <s v="CUST1424"/>
    <s v="PROD92"/>
    <s v="STORE14"/>
    <n v="2.4965262614806201"/>
    <n v="483.49559317835002"/>
    <n v="0.15399976106510099"/>
    <s v="COD"/>
    <n v="1024.2500506839999"/>
    <n v="282376.62754629808"/>
    <n v="289"/>
    <x v="136"/>
    <n v="0.15686011692450608"/>
    <n v="2.5071389930795172"/>
    <n v="461.59988729044221"/>
    <n v="377.59904247122392"/>
    <x v="3"/>
  </r>
  <r>
    <s v="SALE1152"/>
    <d v="2025-04-16T00:00:00"/>
    <s v="CUST1162"/>
    <s v="PROD7"/>
    <s v="STORE4"/>
    <n v="2.4965513506806198"/>
    <n v="483.44383028026903"/>
    <n v="0.15400652313569099"/>
    <s v="Credit Card"/>
    <n v="1024.1420542245401"/>
    <n v="282376.62754629808"/>
    <n v="289"/>
    <x v="171"/>
    <n v="0.15686349795980087"/>
    <n v="2.5071515376795159"/>
    <n v="461.57400584140208"/>
    <n v="377.55911059465637"/>
    <x v="10"/>
  </r>
  <r>
    <s v="SALE1153"/>
    <d v="2024-11-22T00:00:00"/>
    <s v="CUST1323"/>
    <s v="PROD49"/>
    <s v="STORE10"/>
    <n v="2.4965764398806201"/>
    <n v="483.392067382189"/>
    <n v="0.15401328520628099"/>
    <s v="COD"/>
    <n v="1024.03405776509"/>
    <n v="281352.48549207352"/>
    <n v="288"/>
    <x v="172"/>
    <n v="0.15686687899509572"/>
    <n v="2.5071640822795143"/>
    <n v="461.54812439236201"/>
    <n v="377.5191787180915"/>
    <x v="3"/>
  </r>
  <r>
    <s v="SALE1154"/>
    <d v="2023-12-30T00:00:00"/>
    <s v="CUST1427"/>
    <s v="PROD60"/>
    <s v="STORE17"/>
    <n v="2.4966015290806101"/>
    <n v="483.34030448410903"/>
    <n v="0.15402004727686999"/>
    <s v="Credit Card"/>
    <n v="1023.92606130564"/>
    <n v="281352.48549207352"/>
    <n v="288"/>
    <x v="63"/>
    <n v="0.15687026003039051"/>
    <n v="2.507176626879513"/>
    <n v="461.522242943322"/>
    <n v="377.47924684152662"/>
    <x v="1"/>
  </r>
  <r>
    <s v="SALE1155"/>
    <d v="2025-09-04T00:00:00"/>
    <s v="CUST1464"/>
    <s v="PROD57"/>
    <s v="STORE16"/>
    <n v="2.4966266182806098"/>
    <n v="483.288541586029"/>
    <n v="0.15402680934745999"/>
    <s v="COD"/>
    <n v="1023.8180648461901"/>
    <n v="280328.55943076796"/>
    <n v="287"/>
    <x v="173"/>
    <n v="0.15687364106568533"/>
    <n v="2.5071891714795118"/>
    <n v="461.49636149428198"/>
    <n v="377.4393149649618"/>
    <x v="8"/>
  </r>
  <r>
    <s v="SALE1156"/>
    <d v="2023-10-28T00:00:00"/>
    <s v="CUST1135"/>
    <s v="PROD44"/>
    <s v="STORE11"/>
    <n v="2.49665170748061"/>
    <n v="483.23677868794903"/>
    <n v="0.15403357141804899"/>
    <s v="PayPal"/>
    <n v="1023.71006838674"/>
    <n v="280328.55943076796"/>
    <n v="287"/>
    <x v="174"/>
    <n v="0.15687702210098012"/>
    <n v="2.5072017160795101"/>
    <n v="461.47048004524186"/>
    <n v="377.39938308839692"/>
    <x v="11"/>
  </r>
  <r>
    <s v="SALE1157"/>
    <d v="2024-11-04T00:00:00"/>
    <s v="CUST1448"/>
    <s v="PROD81"/>
    <s v="STORE6"/>
    <n v="2.4966767966806098"/>
    <n v="483.185015789869"/>
    <n v="0.15404033348863899"/>
    <s v="PayPal"/>
    <n v="1023.60207192728"/>
    <n v="280328.55943076796"/>
    <n v="287"/>
    <x v="167"/>
    <n v="0.15688040313627491"/>
    <n v="2.5072142606795085"/>
    <n v="461.44459859620173"/>
    <n v="377.35945121182954"/>
    <x v="3"/>
  </r>
  <r>
    <s v="SALE1158"/>
    <d v="2024-12-20T00:00:00"/>
    <s v="CUST1038"/>
    <s v="PROD66"/>
    <s v="STORE5"/>
    <n v="2.4967018858805998"/>
    <n v="483.13325289178903"/>
    <n v="0.15404709555922899"/>
    <s v="Credit Card"/>
    <n v="1023.49407546783"/>
    <n v="280328.55943076796"/>
    <n v="287"/>
    <x v="175"/>
    <n v="0.15688378417156973"/>
    <n v="2.5072268052795077"/>
    <n v="461.41871714716171"/>
    <n v="377.31951933526472"/>
    <x v="1"/>
  </r>
  <r>
    <s v="SALE1159"/>
    <d v="2025-03-09T00:00:00"/>
    <s v="CUST1170"/>
    <s v="PROD83"/>
    <s v="STORE6"/>
    <n v="2.4967269750806"/>
    <n v="483.08148999370798"/>
    <n v="0.15405385762981799"/>
    <s v="PayPal"/>
    <n v="1023.38607900838"/>
    <n v="279305.06535530015"/>
    <n v="286"/>
    <x v="176"/>
    <n v="0.15688716520686452"/>
    <n v="2.5072393498795065"/>
    <n v="461.39283569812159"/>
    <n v="377.27958745869961"/>
    <x v="9"/>
  </r>
  <r>
    <s v="SALE1160"/>
    <d v="2025-03-26T00:00:00"/>
    <s v="CUST1144"/>
    <s v="PROD33"/>
    <s v="STORE4"/>
    <n v="2.4967520642805998"/>
    <n v="483.029727095628"/>
    <n v="0.15406061970040799"/>
    <s v="Credit Card"/>
    <n v="1023.27808254893"/>
    <n v="279305.06535530015"/>
    <n v="286"/>
    <x v="177"/>
    <n v="0.15689054624215934"/>
    <n v="2.5072518944795052"/>
    <n v="461.36695424908157"/>
    <n v="377.23965558213479"/>
    <x v="9"/>
  </r>
  <r>
    <s v="SALE1161"/>
    <d v="2025-04-03T00:00:00"/>
    <s v="CUST1108"/>
    <s v="PROD62"/>
    <s v="STORE1"/>
    <n v="2.4967771534806"/>
    <n v="482.97796419754798"/>
    <n v="0.15406738177099699"/>
    <s v="COD"/>
    <n v="1023.17008608948"/>
    <n v="278281.78727275121"/>
    <n v="285"/>
    <x v="178"/>
    <n v="0.15689392727745413"/>
    <n v="2.5072644390795036"/>
    <n v="461.34107280004145"/>
    <n v="377.19972370556991"/>
    <x v="10"/>
  </r>
  <r>
    <s v="SALE1162"/>
    <d v="2024-02-05T00:00:00"/>
    <s v="CUST1472"/>
    <s v="PROD34"/>
    <s v="STORE9"/>
    <n v="2.49680224268059"/>
    <n v="482.926201299468"/>
    <n v="0.15407414384158699"/>
    <s v="PayPal"/>
    <n v="1023.06208963003"/>
    <n v="278281.78727275121"/>
    <n v="285"/>
    <x v="179"/>
    <n v="0.15689730831274895"/>
    <n v="2.5072769836795024"/>
    <n v="461.31519135100137"/>
    <n v="377.15979182900503"/>
    <x v="6"/>
  </r>
  <r>
    <s v="SALE1163"/>
    <d v="2024-06-22T00:00:00"/>
    <s v="CUST1022"/>
    <s v="PROD67"/>
    <s v="STORE9"/>
    <n v="2.4968273318805898"/>
    <n v="482.87443840138798"/>
    <n v="0.15408090591217699"/>
    <s v="COD"/>
    <n v="1022.95409317057"/>
    <n v="278281.78727275121"/>
    <n v="285"/>
    <x v="180"/>
    <n v="0.15690068934804374"/>
    <n v="2.5072895282795007"/>
    <n v="461.28930990196125"/>
    <n v="377.11985995243765"/>
    <x v="2"/>
  </r>
  <r>
    <s v="SALE1164"/>
    <d v="2025-08-14T00:00:00"/>
    <s v="CUST1437"/>
    <s v="PROD88"/>
    <s v="STORE5"/>
    <n v="2.49685242108059"/>
    <n v="482.82267550330801"/>
    <n v="0.15408766798276599"/>
    <s v="Credit Card"/>
    <n v="1022.84609671112"/>
    <n v="278281.78727275121"/>
    <n v="285"/>
    <x v="144"/>
    <n v="0.15690407038333856"/>
    <n v="2.507302072879499"/>
    <n v="461.26342845292129"/>
    <n v="377.07992807587283"/>
    <x v="7"/>
  </r>
  <r>
    <s v="SALE1165"/>
    <d v="2024-06-02T00:00:00"/>
    <s v="CUST1243"/>
    <s v="PROD34"/>
    <s v="STORE16"/>
    <n v="2.4968775102805898"/>
    <n v="482.77091260522701"/>
    <n v="0.15409443005335599"/>
    <s v="COD"/>
    <n v="1022.7381002516699"/>
    <n v="277258.9411760401"/>
    <n v="284"/>
    <x v="181"/>
    <n v="0.15690745141863338"/>
    <n v="2.5073146174794982"/>
    <n v="461.23754700388128"/>
    <n v="377.03999619930772"/>
    <x v="2"/>
  </r>
  <r>
    <s v="SALE1166"/>
    <d v="2024-12-14T00:00:00"/>
    <s v="CUST1185"/>
    <s v="PROD79"/>
    <s v="STORE3"/>
    <n v="2.4969025994805798"/>
    <n v="482.71914970714698"/>
    <n v="0.15410119212394599"/>
    <s v="PayPal"/>
    <n v="1022.63010379222"/>
    <n v="277258.9411760401"/>
    <n v="284"/>
    <x v="182"/>
    <n v="0.15691083245392817"/>
    <n v="2.5073271620794966"/>
    <n v="461.21166555484109"/>
    <n v="377.0000643227429"/>
    <x v="1"/>
  </r>
  <r>
    <s v="SALE1167"/>
    <d v="2024-04-29T00:00:00"/>
    <s v="CUST1184"/>
    <s v="PROD34"/>
    <s v="STORE17"/>
    <n v="2.49692768868058"/>
    <n v="482.66738680906701"/>
    <n v="0.15410795419453499"/>
    <s v="Credit Card"/>
    <n v="1022.52210733277"/>
    <n v="277258.9411760401"/>
    <n v="284"/>
    <x v="168"/>
    <n v="0.15691421348922296"/>
    <n v="2.5073397066794954"/>
    <n v="461.18578410580108"/>
    <n v="376.96013244617802"/>
    <x v="10"/>
  </r>
  <r>
    <s v="SALE1168"/>
    <d v="2023-10-25T00:00:00"/>
    <s v="CUST1371"/>
    <s v="PROD67"/>
    <s v="STORE8"/>
    <n v="2.4969527778805798"/>
    <n v="482.61562391098698"/>
    <n v="0.15411471626512499"/>
    <s v="PayPal"/>
    <n v="1022.4141108733201"/>
    <n v="276236.41906870727"/>
    <n v="283"/>
    <x v="183"/>
    <n v="0.15691759452451781"/>
    <n v="2.5073522512794941"/>
    <n v="461.15990265676101"/>
    <n v="376.92020056961314"/>
    <x v="11"/>
  </r>
  <r>
    <s v="SALE1169"/>
    <d v="2024-07-24T00:00:00"/>
    <s v="CUST1094"/>
    <s v="PROD50"/>
    <s v="STORE2"/>
    <n v="2.49697786708058"/>
    <n v="482.56386101290701"/>
    <n v="0.15412147833571399"/>
    <s v="COD"/>
    <n v="1022.30611441386"/>
    <n v="276236.41906870727"/>
    <n v="283"/>
    <x v="184"/>
    <n v="0.15692097555981258"/>
    <n v="2.5073647958794929"/>
    <n v="461.13402120772088"/>
    <n v="376.88026869304582"/>
    <x v="0"/>
  </r>
  <r>
    <s v="SALE1170"/>
    <d v="2025-05-30T00:00:00"/>
    <s v="CUST1012"/>
    <s v="PROD27"/>
    <s v="STORE8"/>
    <n v="2.49700295628057"/>
    <n v="482.51209811482698"/>
    <n v="0.15412824040630399"/>
    <s v="COD"/>
    <n v="1022.19811795441"/>
    <n v="276236.41906870727"/>
    <n v="283"/>
    <x v="185"/>
    <n v="0.15692435659510739"/>
    <n v="2.5073773404794917"/>
    <n v="461.10813975868081"/>
    <n v="376.840336816481"/>
    <x v="5"/>
  </r>
  <r>
    <s v="SALE1171"/>
    <d v="2025-10-12T00:00:00"/>
    <s v="CUST1442"/>
    <s v="PROD56"/>
    <s v="STORE19"/>
    <n v="2.4970280454805698"/>
    <n v="482.46033521674599"/>
    <n v="0.15413500247689399"/>
    <s v="Credit Card"/>
    <n v="1022.09012149496"/>
    <n v="276236.41906870727"/>
    <n v="283"/>
    <x v="72"/>
    <n v="0.15692773763040221"/>
    <n v="2.50738988507949"/>
    <n v="461.08225830964074"/>
    <n v="376.80040493991589"/>
    <x v="11"/>
  </r>
  <r>
    <s v="SALE1172"/>
    <d v="2024-01-23T00:00:00"/>
    <s v="CUST1307"/>
    <s v="PROD78"/>
    <s v="STORE2"/>
    <n v="2.49705313468057"/>
    <n v="482.40857231866602"/>
    <n v="0.15414176454748299"/>
    <s v="PayPal"/>
    <n v="1021.98212503551"/>
    <n v="275214.32894721231"/>
    <n v="282"/>
    <x v="158"/>
    <n v="0.15693111866569698"/>
    <n v="2.5074024296794888"/>
    <n v="461.05637686060061"/>
    <n v="376.76047306335101"/>
    <x v="4"/>
  </r>
  <r>
    <s v="SALE1173"/>
    <d v="2025-10-13T00:00:00"/>
    <s v="CUST1199"/>
    <s v="PROD48"/>
    <s v="STORE16"/>
    <n v="2.49707822388056"/>
    <n v="482.35680942058599"/>
    <n v="0.15414852661807299"/>
    <s v="Credit Card"/>
    <n v="1021.87412857606"/>
    <n v="275214.32894721231"/>
    <n v="282"/>
    <x v="186"/>
    <n v="0.15693449970099183"/>
    <n v="2.5074149742794876"/>
    <n v="461.03049541156059"/>
    <n v="376.72054118678614"/>
    <x v="11"/>
  </r>
  <r>
    <s v="SALE1174"/>
    <d v="2024-03-05T00:00:00"/>
    <s v="CUST1443"/>
    <s v="PROD14"/>
    <s v="STORE9"/>
    <n v="2.4971033130805602"/>
    <n v="482.30504652250602"/>
    <n v="0.15415528868866199"/>
    <s v="Credit Card"/>
    <n v="1021.76613211661"/>
    <n v="274192.45481863624"/>
    <n v="281"/>
    <x v="187"/>
    <n v="0.15693788073628664"/>
    <n v="2.5074275188794863"/>
    <n v="461.00461396252047"/>
    <n v="376.68060931022131"/>
    <x v="9"/>
  </r>
  <r>
    <s v="SALE1175"/>
    <d v="2025-07-16T00:00:00"/>
    <s v="CUST1153"/>
    <s v="PROD72"/>
    <s v="STORE8"/>
    <n v="2.49712840228056"/>
    <n v="482.25328362442599"/>
    <n v="0.15416205075925199"/>
    <s v="COD"/>
    <n v="1021.65813565715"/>
    <n v="273170.68868651969"/>
    <n v="280"/>
    <x v="58"/>
    <n v="0.15694126177158141"/>
    <n v="2.5074400634794851"/>
    <n v="460.97873251348045"/>
    <n v="376.64067743365393"/>
    <x v="0"/>
  </r>
  <r>
    <s v="SALE1176"/>
    <d v="2023-10-20T00:00:00"/>
    <s v="CUST1266"/>
    <s v="PROD15"/>
    <s v="STORE19"/>
    <n v="2.4971534914805602"/>
    <n v="482.20152072634602"/>
    <n v="0.15416881282984199"/>
    <s v="PayPal"/>
    <n v="1021.5501391977"/>
    <n v="273170.68868651969"/>
    <n v="280"/>
    <x v="188"/>
    <n v="0.15694464280687623"/>
    <n v="2.5074526080794834"/>
    <n v="460.95285106444032"/>
    <n v="376.60074555708911"/>
    <x v="11"/>
  </r>
  <r>
    <s v="SALE1177"/>
    <d v="2024-06-04T00:00:00"/>
    <s v="CUST1246"/>
    <s v="PROD72"/>
    <s v="STORE1"/>
    <n v="2.4971785806805502"/>
    <n v="482.14975782826599"/>
    <n v="0.15417557490043099"/>
    <s v="COD"/>
    <n v="1021.44214273825"/>
    <n v="273170.68868651969"/>
    <n v="280"/>
    <x v="21"/>
    <n v="0.15694802384217105"/>
    <n v="2.5074651526794827"/>
    <n v="460.92696961540025"/>
    <n v="376.56081368052423"/>
    <x v="2"/>
  </r>
  <r>
    <s v="SALE1178"/>
    <d v="2023-10-26T00:00:00"/>
    <s v="CUST1203"/>
    <s v="PROD90"/>
    <s v="STORE15"/>
    <n v="2.49720366988055"/>
    <n v="482.097994930185"/>
    <n v="0.15418233697102099"/>
    <s v="COD"/>
    <n v="1021.3341462787999"/>
    <n v="273170.68868651969"/>
    <n v="280"/>
    <x v="189"/>
    <n v="0.15695140487746584"/>
    <n v="2.5074776972794814"/>
    <n v="460.90108816636024"/>
    <n v="376.52088180395913"/>
    <x v="11"/>
  </r>
  <r>
    <s v="SALE1179"/>
    <d v="2025-04-07T00:00:00"/>
    <s v="CUST1075"/>
    <s v="PROD16"/>
    <s v="STORE18"/>
    <n v="2.4972287590805502"/>
    <n v="482.04623203210502"/>
    <n v="0.15418909904160999"/>
    <s v="COD"/>
    <n v="1021.22614981935"/>
    <n v="273170.68868651969"/>
    <n v="280"/>
    <x v="190"/>
    <n v="0.15695478591276063"/>
    <n v="2.5074902418794802"/>
    <n v="460.87520671732005"/>
    <n v="376.48094992739431"/>
    <x v="10"/>
  </r>
  <r>
    <s v="SALE1180"/>
    <d v="2025-03-13T00:00:00"/>
    <s v="CUST1099"/>
    <s v="PROD26"/>
    <s v="STORE14"/>
    <n v="2.49725384828055"/>
    <n v="481.994469134025"/>
    <n v="0.15419586111219999"/>
    <s v="Credit Card"/>
    <n v="1021.11815335989"/>
    <n v="273170.68868651969"/>
    <n v="280"/>
    <x v="148"/>
    <n v="0.15695816694805548"/>
    <n v="2.5075027864794786"/>
    <n v="460.84932526828004"/>
    <n v="376.44101805082693"/>
    <x v="9"/>
  </r>
  <r>
    <s v="SALE1181"/>
    <d v="2024-07-07T00:00:00"/>
    <s v="CUST1269"/>
    <s v="PROD76"/>
    <s v="STORE17"/>
    <n v="2.49727893748054"/>
    <n v="481.94270623594502"/>
    <n v="0.15420262318278999"/>
    <s v="Credit Card"/>
    <n v="1021.0101569004401"/>
    <n v="272149.57053315977"/>
    <n v="279"/>
    <x v="0"/>
    <n v="0.1569615479833503"/>
    <n v="2.5075153310794773"/>
    <n v="460.82344381923997"/>
    <n v="376.4010861742621"/>
    <x v="0"/>
  </r>
  <r>
    <s v="SALE1182"/>
    <d v="2024-03-10T00:00:00"/>
    <s v="CUST1495"/>
    <s v="PROD61"/>
    <s v="STORE15"/>
    <n v="2.4973040266805402"/>
    <n v="481.890943337865"/>
    <n v="0.15420938525337899"/>
    <s v="PayPal"/>
    <n v="1020.90216044099"/>
    <n v="271128.56037625932"/>
    <n v="278"/>
    <x v="191"/>
    <n v="0.15696492901864506"/>
    <n v="2.5075278756794761"/>
    <n v="460.79756237019984"/>
    <n v="376.36115429769723"/>
    <x v="9"/>
  </r>
  <r>
    <s v="SALE1183"/>
    <d v="2025-09-15T00:00:00"/>
    <s v="CUST1096"/>
    <s v="PROD65"/>
    <s v="STORE6"/>
    <n v="2.49732911588054"/>
    <n v="481.83918043978503"/>
    <n v="0.15421614732396899"/>
    <s v="Credit Card"/>
    <n v="1020.79416398154"/>
    <n v="271128.56037625932"/>
    <n v="278"/>
    <x v="192"/>
    <n v="0.15696831005393988"/>
    <n v="2.5075404202794749"/>
    <n v="460.77168092115983"/>
    <n v="376.32122242113235"/>
    <x v="8"/>
  </r>
  <r>
    <s v="SALE1184"/>
    <d v="2024-11-11T00:00:00"/>
    <s v="CUST1069"/>
    <s v="PROD73"/>
    <s v="STORE9"/>
    <n v="2.4973542050805402"/>
    <n v="481.78741754170397"/>
    <n v="0.15422290939455799"/>
    <s v="Credit Card"/>
    <n v="1020.68616752209"/>
    <n v="270107.76621227775"/>
    <n v="277"/>
    <x v="48"/>
    <n v="0.1569716910892347"/>
    <n v="2.5075529648794737"/>
    <n v="460.7457994721197"/>
    <n v="376.28129054456724"/>
    <x v="3"/>
  </r>
  <r>
    <s v="SALE1185"/>
    <d v="2025-01-09T00:00:00"/>
    <s v="CUST1266"/>
    <s v="PROD61"/>
    <s v="STORE3"/>
    <n v="2.4973792942805302"/>
    <n v="481.735654643624"/>
    <n v="0.15422967146514799"/>
    <s v="PayPal"/>
    <n v="1020.57817106264"/>
    <n v="269087.08004475571"/>
    <n v="276"/>
    <x v="193"/>
    <n v="0.15697507212452949"/>
    <n v="2.5075655094794724"/>
    <n v="460.71991802307957"/>
    <n v="376.24135866800242"/>
    <x v="4"/>
  </r>
  <r>
    <s v="SALE1186"/>
    <d v="2024-04-24T00:00:00"/>
    <s v="CUST1499"/>
    <s v="PROD39"/>
    <s v="STORE2"/>
    <n v="2.49740438348053"/>
    <n v="481.68389174554397"/>
    <n v="0.15423643353573799"/>
    <s v="Credit Card"/>
    <n v="1020.47017460318"/>
    <n v="269087.08004475571"/>
    <n v="276"/>
    <x v="194"/>
    <n v="0.15697845315982428"/>
    <n v="2.5075780540794712"/>
    <n v="460.6940365740395"/>
    <n v="376.2014267914351"/>
    <x v="10"/>
  </r>
  <r>
    <s v="SALE1187"/>
    <d v="2023-12-24T00:00:00"/>
    <s v="CUST1107"/>
    <s v="PROD75"/>
    <s v="STORE3"/>
    <n v="2.4974294726805302"/>
    <n v="481.632128847464"/>
    <n v="0.15424319560632699"/>
    <s v="PayPal"/>
    <n v="1020.36217814373"/>
    <n v="268066.60987015249"/>
    <n v="275"/>
    <x v="195"/>
    <n v="0.15698183419511913"/>
    <n v="2.50759059867947"/>
    <n v="460.66815512499954"/>
    <n v="376.16149491487022"/>
    <x v="1"/>
  </r>
  <r>
    <s v="SALE1188"/>
    <d v="2024-02-26T00:00:00"/>
    <s v="CUST1142"/>
    <s v="PROD60"/>
    <s v="STORE14"/>
    <n v="2.4974545618805299"/>
    <n v="481.58036594938397"/>
    <n v="0.15424995767691699"/>
    <s v="Credit Card"/>
    <n v="1020.25418168428"/>
    <n v="268066.60987015249"/>
    <n v="275"/>
    <x v="196"/>
    <n v="0.15698521523041389"/>
    <n v="2.5076031432794688"/>
    <n v="460.64227367595936"/>
    <n v="376.12156303830534"/>
    <x v="6"/>
  </r>
  <r>
    <s v="SALE1189"/>
    <d v="2025-01-19T00:00:00"/>
    <s v="CUST1049"/>
    <s v="PROD48"/>
    <s v="STORE13"/>
    <n v="2.4974796510805199"/>
    <n v="481.528603051304"/>
    <n v="0.15425671974750699"/>
    <s v="PayPal"/>
    <n v="1020.14618522483"/>
    <n v="267046.35568846826"/>
    <n v="274"/>
    <x v="197"/>
    <n v="0.15698859626570871"/>
    <n v="2.5076156878794671"/>
    <n v="460.61639222691923"/>
    <n v="376.08163116174052"/>
    <x v="4"/>
  </r>
  <r>
    <s v="SALE1190"/>
    <d v="2025-07-25T00:00:00"/>
    <s v="CUST1275"/>
    <s v="PROD69"/>
    <s v="STORE12"/>
    <n v="2.4975047402805202"/>
    <n v="481.47684015322301"/>
    <n v="0.15426348181809599"/>
    <s v="Credit Card"/>
    <n v="1020.03818876538"/>
    <n v="267046.35568846826"/>
    <n v="274"/>
    <x v="198"/>
    <n v="0.15699197730100353"/>
    <n v="2.5076282324794659"/>
    <n v="460.59051077787922"/>
    <n v="376.04169928517541"/>
    <x v="0"/>
  </r>
  <r>
    <s v="SALE1191"/>
    <d v="2024-04-27T00:00:00"/>
    <s v="CUST1148"/>
    <s v="PROD58"/>
    <s v="STORE10"/>
    <n v="2.4975298294805199"/>
    <n v="481.42507725514298"/>
    <n v="0.15427024388868599"/>
    <s v="PayPal"/>
    <n v="1019.9301923059299"/>
    <n v="266026.31749970285"/>
    <n v="273"/>
    <x v="199"/>
    <n v="0.15699535833629832"/>
    <n v="2.5076407770794646"/>
    <n v="460.56462932883915"/>
    <n v="376.00176740861053"/>
    <x v="10"/>
  </r>
  <r>
    <s v="SALE1192"/>
    <d v="2025-08-11T00:00:00"/>
    <s v="CUST1010"/>
    <s v="PROD79"/>
    <s v="STORE5"/>
    <n v="2.4975549186805099"/>
    <n v="481.37331435706301"/>
    <n v="0.15427700595927499"/>
    <s v="PayPal"/>
    <n v="1019.82219584647"/>
    <n v="266026.31749970285"/>
    <n v="273"/>
    <x v="200"/>
    <n v="0.15699873937159314"/>
    <n v="2.507653321679463"/>
    <n v="460.53874787979908"/>
    <n v="375.96183553204321"/>
    <x v="7"/>
  </r>
  <r>
    <s v="SALE1193"/>
    <d v="2025-03-15T00:00:00"/>
    <s v="CUST1335"/>
    <s v="PROD54"/>
    <s v="STORE0"/>
    <n v="2.4975800078805102"/>
    <n v="481.32155145898298"/>
    <n v="0.15428376802986499"/>
    <s v="COD"/>
    <n v="1019.71419938702"/>
    <n v="266026.31749970285"/>
    <n v="273"/>
    <x v="201"/>
    <n v="0.15700212040688794"/>
    <n v="2.5076658662794618"/>
    <n v="460.512866430759"/>
    <n v="375.92190365547833"/>
    <x v="9"/>
  </r>
  <r>
    <s v="SALE1194"/>
    <d v="2025-01-14T00:00:00"/>
    <s v="CUST1008"/>
    <s v="PROD94"/>
    <s v="STORE6"/>
    <n v="2.4976050970805099"/>
    <n v="481.26978856090301"/>
    <n v="0.15429053010045499"/>
    <s v="COD"/>
    <n v="1019.6062029275701"/>
    <n v="266026.31749970285"/>
    <n v="273"/>
    <x v="202"/>
    <n v="0.15700550144218273"/>
    <n v="2.5076784108794605"/>
    <n v="460.48698498171893"/>
    <n v="375.88197177891351"/>
    <x v="4"/>
  </r>
  <r>
    <s v="SALE1195"/>
    <d v="2025-06-01T00:00:00"/>
    <s v="CUST1169"/>
    <s v="PROD17"/>
    <s v="STORE0"/>
    <n v="2.4976301862805101"/>
    <n v="481.21802566282298"/>
    <n v="0.15429729217104399"/>
    <s v="Credit Card"/>
    <n v="1019.49820646812"/>
    <n v="266026.31749970285"/>
    <n v="273"/>
    <x v="203"/>
    <n v="0.15700888247747752"/>
    <n v="2.5076909554794589"/>
    <n v="460.46110353267881"/>
    <n v="375.84203990234863"/>
    <x v="2"/>
  </r>
  <r>
    <s v="SALE1196"/>
    <d v="2024-09-24T00:00:00"/>
    <s v="CUST1494"/>
    <s v="PROD28"/>
    <s v="STORE17"/>
    <n v="2.4976552754805001"/>
    <n v="481.16626276474199"/>
    <n v="0.15430405424163399"/>
    <s v="COD"/>
    <n v="1019.39021000867"/>
    <n v="265006.81929323473"/>
    <n v="272"/>
    <x v="204"/>
    <n v="0.15701226351277234"/>
    <n v="2.5077035000794576"/>
    <n v="460.43522208363873"/>
    <n v="375.80210802578353"/>
    <x v="8"/>
  </r>
  <r>
    <s v="SALE1197"/>
    <d v="2023-11-23T00:00:00"/>
    <s v="CUST1135"/>
    <s v="PROD15"/>
    <s v="STORE5"/>
    <n v="2.4976803646804999"/>
    <n v="481.11449986666202"/>
    <n v="0.15431081631222299"/>
    <s v="Credit Card"/>
    <n v="1019.28221354922"/>
    <n v="265006.81929323473"/>
    <n v="272"/>
    <x v="205"/>
    <n v="0.15701564454806716"/>
    <n v="2.5077160446794564"/>
    <n v="460.40934063459872"/>
    <n v="375.7621761492187"/>
    <x v="3"/>
  </r>
  <r>
    <s v="SALE1198"/>
    <d v="2025-07-23T00:00:00"/>
    <s v="CUST1216"/>
    <s v="PROD86"/>
    <s v="STORE8"/>
    <n v="2.4977054538805001"/>
    <n v="481.06273696858199"/>
    <n v="0.15431757838281299"/>
    <s v="COD"/>
    <n v="1019.17421708976"/>
    <n v="263987.53707968554"/>
    <n v="271"/>
    <x v="206"/>
    <n v="0.15701902558336198"/>
    <n v="2.5077285892794547"/>
    <n v="460.38345918555859"/>
    <n v="375.72224427265132"/>
    <x v="0"/>
  </r>
  <r>
    <s v="SALE1199"/>
    <d v="2025-09-17T00:00:00"/>
    <s v="CUST1031"/>
    <s v="PROD62"/>
    <s v="STORE12"/>
    <n v="2.4977305430804999"/>
    <n v="481.01097407050202"/>
    <n v="0.15432434045340299"/>
    <s v="Credit Card"/>
    <n v="1019.06622063031"/>
    <n v="263987.53707968554"/>
    <n v="271"/>
    <x v="207"/>
    <n v="0.15702240661865677"/>
    <n v="2.5077411338794535"/>
    <n v="460.35757773651846"/>
    <n v="375.68231239608645"/>
    <x v="8"/>
  </r>
  <r>
    <s v="SALE1200"/>
    <d v="2025-04-07T00:00:00"/>
    <s v="CUST1476"/>
    <s v="PROD16"/>
    <s v="STORE19"/>
    <n v="2.4977556322804899"/>
    <n v="480.95921117242199"/>
    <n v="0.15433110252399199"/>
    <s v="COD"/>
    <n v="1018.95822417086"/>
    <n v="262968.47085905517"/>
    <n v="270"/>
    <x v="190"/>
    <n v="0.15702578765395156"/>
    <n v="2.5077536784794523"/>
    <n v="460.33169628747845"/>
    <n v="375.64238051952162"/>
    <x v="10"/>
  </r>
  <r>
    <s v="SALE1201"/>
    <d v="2024-01-21T00:00:00"/>
    <s v="CUST1325"/>
    <s v="PROD8"/>
    <s v="STORE16"/>
    <n v="2.4977807214804901"/>
    <n v="480.90744827434202"/>
    <n v="0.15433786459458201"/>
    <s v="PayPal"/>
    <n v="1018.85022771141"/>
    <n v="262968.47085905517"/>
    <n v="270"/>
    <x v="86"/>
    <n v="0.15702916868924635"/>
    <n v="2.5077662230794506"/>
    <n v="460.30581483843844"/>
    <n v="375.60244864295674"/>
    <x v="4"/>
  </r>
  <r>
    <s v="SALE1202"/>
    <d v="2024-07-07T00:00:00"/>
    <s v="CUST1364"/>
    <s v="PROD65"/>
    <s v="STORE11"/>
    <n v="2.4978058106804899"/>
    <n v="480.85568537626199"/>
    <n v="0.15434462666517099"/>
    <s v="Credit Card"/>
    <n v="1018.74223125196"/>
    <n v="262968.47085905517"/>
    <n v="270"/>
    <x v="0"/>
    <n v="0.1570325497245412"/>
    <n v="2.5077787676794494"/>
    <n v="460.27993338939825"/>
    <n v="375.56251676639192"/>
    <x v="0"/>
  </r>
  <r>
    <s v="SALE1203"/>
    <d v="2025-05-03T00:00:00"/>
    <s v="CUST1200"/>
    <s v="PROD14"/>
    <s v="STORE0"/>
    <n v="2.4978308998804901"/>
    <n v="480.80392247818099"/>
    <n v="0.15435138873576101"/>
    <s v="PayPal"/>
    <n v="1018.6342347925"/>
    <n v="261949.72862780324"/>
    <n v="269"/>
    <x v="208"/>
    <n v="0.15703593075983596"/>
    <n v="2.5077913122794482"/>
    <n v="460.25405194035812"/>
    <n v="375.52258488982432"/>
    <x v="5"/>
  </r>
  <r>
    <s v="SALE1204"/>
    <d v="2024-02-27T00:00:00"/>
    <s v="CUST1463"/>
    <s v="PROD8"/>
    <s v="STORE7"/>
    <n v="2.4978559890804801"/>
    <n v="480.75215958010102"/>
    <n v="0.15435815080635101"/>
    <s v="PayPal"/>
    <n v="1018.5262383330499"/>
    <n v="261949.72862780324"/>
    <n v="269"/>
    <x v="209"/>
    <n v="0.15703931179513078"/>
    <n v="2.507803856879447"/>
    <n v="460.22817049131811"/>
    <n v="375.48265301325944"/>
    <x v="6"/>
  </r>
  <r>
    <s v="SALE1205"/>
    <d v="2025-07-08T00:00:00"/>
    <s v="CUST1344"/>
    <s v="PROD74"/>
    <s v="STORE7"/>
    <n v="2.4978810782804799"/>
    <n v="480.70039668202099"/>
    <n v="0.15436491287694001"/>
    <s v="PayPal"/>
    <n v="1018.4182418736"/>
    <n v="261949.72862780324"/>
    <n v="269"/>
    <x v="210"/>
    <n v="0.1570426928304256"/>
    <n v="2.5078164014794457"/>
    <n v="460.20228904227798"/>
    <n v="375.44272113669462"/>
    <x v="0"/>
  </r>
  <r>
    <s v="SALE1206"/>
    <d v="2025-03-13T00:00:00"/>
    <s v="CUST1435"/>
    <s v="PROD94"/>
    <s v="STORE12"/>
    <n v="2.4979061674804801"/>
    <n v="480.64863378394102"/>
    <n v="0.15437167494753001"/>
    <s v="COD"/>
    <n v="1018.31024541415"/>
    <n v="261949.72862780324"/>
    <n v="269"/>
    <x v="148"/>
    <n v="0.15704607386572042"/>
    <n v="2.5078289460794445"/>
    <n v="460.17640759323797"/>
    <n v="375.40278926012979"/>
    <x v="9"/>
  </r>
  <r>
    <s v="SALE1207"/>
    <d v="2025-04-21T00:00:00"/>
    <s v="CUST1083"/>
    <s v="PROD45"/>
    <s v="STORE9"/>
    <n v="2.4979312566804799"/>
    <n v="480.59687088586099"/>
    <n v="0.15437843701812001"/>
    <s v="PayPal"/>
    <n v="1018.2022489547001"/>
    <n v="261949.72862780324"/>
    <n v="269"/>
    <x v="211"/>
    <n v="0.15704945490101518"/>
    <n v="2.5078414906794433"/>
    <n v="460.15052614419784"/>
    <n v="375.36285738356491"/>
    <x v="10"/>
  </r>
  <r>
    <s v="SALE1208"/>
    <d v="2024-11-10T00:00:00"/>
    <s v="CUST1023"/>
    <s v="PROD68"/>
    <s v="STORE3"/>
    <n v="2.4979563458804699"/>
    <n v="480.54510798778102"/>
    <n v="0.15438519908870901"/>
    <s v="Credit Card"/>
    <n v="1018.09425249525"/>
    <n v="261949.72862780324"/>
    <n v="269"/>
    <x v="45"/>
    <n v="0.15705283593631003"/>
    <n v="2.5078540352794421"/>
    <n v="460.12464469515777"/>
    <n v="375.32292550700004"/>
    <x v="3"/>
  </r>
  <r>
    <s v="SALE1209"/>
    <d v="2024-08-09T00:00:00"/>
    <s v="CUST1131"/>
    <s v="PROD75"/>
    <s v="STORE9"/>
    <n v="2.4979814350804701"/>
    <n v="480.49334508969997"/>
    <n v="0.15439196115929901"/>
    <s v="Credit Card"/>
    <n v="1017.98625603579"/>
    <n v="260931.63437530797"/>
    <n v="268"/>
    <x v="212"/>
    <n v="0.15705621697160482"/>
    <n v="2.5078665798794408"/>
    <n v="460.0987632461177"/>
    <n v="375.28299363043243"/>
    <x v="7"/>
  </r>
  <r>
    <s v="SALE1210"/>
    <d v="2024-03-05T00:00:00"/>
    <s v="CUST1485"/>
    <s v="PROD41"/>
    <s v="STORE17"/>
    <n v="2.4980065242804699"/>
    <n v="480.44158219162"/>
    <n v="0.15439872322988801"/>
    <s v="PayPal"/>
    <n v="1017.87825957634"/>
    <n v="259913.64811927223"/>
    <n v="267"/>
    <x v="187"/>
    <n v="0.15705959800689961"/>
    <n v="2.5078791244794396"/>
    <n v="460.07288179707757"/>
    <n v="375.24306175386761"/>
    <x v="9"/>
  </r>
  <r>
    <s v="SALE1211"/>
    <d v="2025-09-25T00:00:00"/>
    <s v="CUST1449"/>
    <s v="PROD98"/>
    <s v="STORE19"/>
    <n v="2.4980316134804701"/>
    <n v="480.38981929353997"/>
    <n v="0.15440548530047801"/>
    <s v="PayPal"/>
    <n v="1017.77026311689"/>
    <n v="259913.64811927223"/>
    <n v="267"/>
    <x v="108"/>
    <n v="0.15706297904219443"/>
    <n v="2.5078916690794379"/>
    <n v="460.04700034803756"/>
    <n v="375.20312987730273"/>
    <x v="8"/>
  </r>
  <r>
    <s v="SALE1212"/>
    <d v="2025-08-07T00:00:00"/>
    <s v="CUST1240"/>
    <s v="PROD92"/>
    <s v="STORE18"/>
    <n v="2.4980567026804601"/>
    <n v="480.33805639546"/>
    <n v="0.15441224737106801"/>
    <s v="Credit Card"/>
    <n v="1017.66226665744"/>
    <n v="259913.64811927223"/>
    <n v="267"/>
    <x v="213"/>
    <n v="0.15706636007748923"/>
    <n v="2.5079042136794372"/>
    <n v="460.02111889899749"/>
    <n v="375.16319800073791"/>
    <x v="7"/>
  </r>
  <r>
    <s v="SALE1213"/>
    <d v="2024-02-16T00:00:00"/>
    <s v="CUST1082"/>
    <s v="PROD92"/>
    <s v="STORE6"/>
    <n v="2.4980817918804599"/>
    <n v="480.28629349737997"/>
    <n v="0.15441900944165701"/>
    <s v="PayPal"/>
    <n v="1017.55427019799"/>
    <n v="258895.98585261471"/>
    <n v="266"/>
    <x v="214"/>
    <n v="0.15706974111278404"/>
    <n v="2.5079167582794359"/>
    <n v="459.99523744995736"/>
    <n v="375.12326612417303"/>
    <x v="6"/>
  </r>
  <r>
    <s v="SALE1214"/>
    <d v="2025-03-30T00:00:00"/>
    <s v="CUST1044"/>
    <s v="PROD1"/>
    <s v="STORE9"/>
    <n v="2.4981068810804601"/>
    <n v="480.2345305993"/>
    <n v="0.15442577151224701"/>
    <s v="Credit Card"/>
    <n v="1017.44627373854"/>
    <n v="258895.98585261471"/>
    <n v="266"/>
    <x v="215"/>
    <n v="0.15707312214807886"/>
    <n v="2.5079293028794343"/>
    <n v="459.96935600091729"/>
    <n v="375.08333424760815"/>
    <x v="9"/>
  </r>
  <r>
    <s v="SALE1215"/>
    <d v="2025-02-18T00:00:00"/>
    <s v="CUST1471"/>
    <s v="PROD17"/>
    <s v="STORE10"/>
    <n v="2.4981319702804501"/>
    <n v="480.18276770121901"/>
    <n v="0.15443253358283601"/>
    <s v="Credit Card"/>
    <n v="1017.33827727908"/>
    <n v="257878.53957887625"/>
    <n v="265"/>
    <x v="52"/>
    <n v="0.15707650318337366"/>
    <n v="2.5079418474794331"/>
    <n v="459.94347455187722"/>
    <n v="375.04340237104054"/>
    <x v="6"/>
  </r>
  <r>
    <s v="SALE1216"/>
    <d v="2025-03-01T00:00:00"/>
    <s v="CUST1013"/>
    <s v="PROD24"/>
    <s v="STORE1"/>
    <n v="2.4981570594804499"/>
    <n v="480.13100480313898"/>
    <n v="0.15443929565342601"/>
    <s v="COD"/>
    <n v="1017.23028081963"/>
    <n v="256861.20130159715"/>
    <n v="264"/>
    <x v="216"/>
    <n v="0.15707988421866845"/>
    <n v="2.5079543920794318"/>
    <n v="459.91759310283715"/>
    <n v="375.00347049447572"/>
    <x v="9"/>
  </r>
  <r>
    <s v="SALE1217"/>
    <d v="2024-01-09T00:00:00"/>
    <s v="CUST1136"/>
    <s v="PROD35"/>
    <s v="STORE17"/>
    <n v="2.4981821486804501"/>
    <n v="480.07924190505901"/>
    <n v="0.15444605772401601"/>
    <s v="Credit Card"/>
    <n v="1017.1222843601799"/>
    <n v="256861.20130159715"/>
    <n v="264"/>
    <x v="217"/>
    <n v="0.15708326525396327"/>
    <n v="2.5079669366794306"/>
    <n v="459.89171165379707"/>
    <n v="374.96353861791084"/>
    <x v="4"/>
  </r>
  <r>
    <s v="SALE1218"/>
    <d v="2025-04-26T00:00:00"/>
    <s v="CUST1248"/>
    <s v="PROD35"/>
    <s v="STORE2"/>
    <n v="2.4982072378804498"/>
    <n v="480.02747900697898"/>
    <n v="0.15445281979460501"/>
    <s v="PayPal"/>
    <n v="1017.01428790073"/>
    <n v="255844.07901723697"/>
    <n v="263"/>
    <x v="218"/>
    <n v="0.15708664628925806"/>
    <n v="2.5079794812794289"/>
    <n v="459.865830204757"/>
    <n v="374.92360674134602"/>
    <x v="10"/>
  </r>
  <r>
    <s v="SALE1219"/>
    <d v="2024-07-24T00:00:00"/>
    <s v="CUST1103"/>
    <s v="PROD89"/>
    <s v="STORE19"/>
    <n v="2.4982323270804399"/>
    <n v="479.97571610889901"/>
    <n v="0.15445958186519501"/>
    <s v="PayPal"/>
    <n v="1016.90629144128"/>
    <n v="255844.07901723697"/>
    <n v="263"/>
    <x v="184"/>
    <n v="0.15709002732455285"/>
    <n v="2.5079920258794282"/>
    <n v="459.83994875571693"/>
    <n v="374.88367486478114"/>
    <x v="0"/>
  </r>
  <r>
    <s v="SALE1220"/>
    <d v="2025-03-26T00:00:00"/>
    <s v="CUST1333"/>
    <s v="PROD0"/>
    <s v="STORE8"/>
    <n v="2.4982574162804401"/>
    <n v="479.92395321081898"/>
    <n v="0.15446634393578401"/>
    <s v="Credit Card"/>
    <n v="1016.7982949818301"/>
    <n v="255844.07901723697"/>
    <n v="263"/>
    <x v="177"/>
    <n v="0.15709340835984767"/>
    <n v="2.5080045704794269"/>
    <n v="459.81406730667686"/>
    <n v="374.84374298821632"/>
    <x v="9"/>
  </r>
  <r>
    <s v="SALE1221"/>
    <d v="2025-02-25T00:00:00"/>
    <s v="CUST1209"/>
    <s v="PROD42"/>
    <s v="STORE7"/>
    <n v="2.4982825054804398"/>
    <n v="479.87219031273901"/>
    <n v="0.15447310600637401"/>
    <s v="COD"/>
    <n v="1016.69029852237"/>
    <n v="254827.28072225515"/>
    <n v="262"/>
    <x v="219"/>
    <n v="0.15709678939514249"/>
    <n v="2.5080171150794257"/>
    <n v="459.78818585763673"/>
    <n v="374.80381111164894"/>
    <x v="6"/>
  </r>
  <r>
    <s v="SALE1222"/>
    <d v="2025-06-18T00:00:00"/>
    <s v="CUST1282"/>
    <s v="PROD91"/>
    <s v="STORE9"/>
    <n v="2.4983075946804401"/>
    <n v="479.82042741465801"/>
    <n v="0.15447986807696401"/>
    <s v="COD"/>
    <n v="1016.58230206292"/>
    <n v="254827.28072225515"/>
    <n v="262"/>
    <x v="220"/>
    <n v="0.15710017043043728"/>
    <n v="2.508029659679424"/>
    <n v="459.76230440859666"/>
    <n v="374.76387923508389"/>
    <x v="2"/>
  </r>
  <r>
    <s v="SALE1223"/>
    <d v="2024-12-22T00:00:00"/>
    <s v="CUST1478"/>
    <s v="PROD16"/>
    <s v="STORE11"/>
    <n v="2.4983326838804301"/>
    <n v="479.76866451657799"/>
    <n v="0.15448663014755301"/>
    <s v="COD"/>
    <n v="1016.47430560347"/>
    <n v="254827.28072225515"/>
    <n v="262"/>
    <x v="221"/>
    <n v="0.1571035514657321"/>
    <n v="2.5080422042794228"/>
    <n v="459.73642295955659"/>
    <n v="374.72394735851901"/>
    <x v="1"/>
  </r>
  <r>
    <s v="SALE1224"/>
    <d v="2025-06-28T00:00:00"/>
    <s v="CUST1141"/>
    <s v="PROD21"/>
    <s v="STORE6"/>
    <n v="2.4983577730804298"/>
    <n v="479.71690161849801"/>
    <n v="0.15449339221814301"/>
    <s v="Credit Card"/>
    <n v="1016.36630914402"/>
    <n v="254827.28072225515"/>
    <n v="262"/>
    <x v="222"/>
    <n v="0.15710693250102689"/>
    <n v="2.5080547488794211"/>
    <n v="459.71054151051652"/>
    <n v="374.68401548195413"/>
    <x v="2"/>
  </r>
  <r>
    <s v="SALE1225"/>
    <d v="2024-05-25T00:00:00"/>
    <s v="CUST1433"/>
    <s v="PROD64"/>
    <s v="STORE4"/>
    <n v="2.4983828622804301"/>
    <n v="479.66513872041799"/>
    <n v="0.15450015428873201"/>
    <s v="Credit Card"/>
    <n v="1016.25831268457"/>
    <n v="253810.91441311108"/>
    <n v="261"/>
    <x v="223"/>
    <n v="0.15711031353632168"/>
    <n v="2.5080672934794204"/>
    <n v="459.68466006147639"/>
    <n v="374.64408360538926"/>
    <x v="5"/>
  </r>
  <r>
    <s v="SALE1226"/>
    <d v="2025-05-30T00:00:00"/>
    <s v="CUST1118"/>
    <s v="PROD83"/>
    <s v="STORE7"/>
    <n v="2.4984079514804298"/>
    <n v="479.61337582233801"/>
    <n v="0.15450691635932201"/>
    <s v="Credit Card"/>
    <n v="1016.15031622511"/>
    <n v="252794.65610042654"/>
    <n v="260"/>
    <x v="185"/>
    <n v="0.15711369457161653"/>
    <n v="2.5080798380794187"/>
    <n v="459.65877861243632"/>
    <n v="374.60415172882193"/>
    <x v="5"/>
  </r>
  <r>
    <s v="SALE1227"/>
    <d v="2024-09-20T00:00:00"/>
    <s v="CUST1406"/>
    <s v="PROD90"/>
    <s v="STORE18"/>
    <n v="2.4984330406804198"/>
    <n v="479.56161292425799"/>
    <n v="0.15451367842991201"/>
    <s v="Credit Card"/>
    <n v="1016.04231976566"/>
    <n v="251778.50578420146"/>
    <n v="259"/>
    <x v="224"/>
    <n v="0.15711707560691135"/>
    <n v="2.5080923826794175"/>
    <n v="459.63289716339619"/>
    <n v="374.56421985225705"/>
    <x v="8"/>
  </r>
  <r>
    <s v="SALE1228"/>
    <d v="2025-05-26T00:00:00"/>
    <s v="CUST1219"/>
    <s v="PROD37"/>
    <s v="STORE0"/>
    <n v="2.49845812988042"/>
    <n v="479.50985002617699"/>
    <n v="0.15452044050050101"/>
    <s v="PayPal"/>
    <n v="1015.93432330621"/>
    <n v="250762.4634644358"/>
    <n v="258"/>
    <x v="225"/>
    <n v="0.15712045664220614"/>
    <n v="2.5081049272794158"/>
    <n v="459.60701571435618"/>
    <n v="374.524287975692"/>
    <x v="5"/>
  </r>
  <r>
    <s v="SALE1229"/>
    <d v="2025-03-19T00:00:00"/>
    <s v="CUST1101"/>
    <s v="PROD89"/>
    <s v="STORE12"/>
    <n v="2.4984832190804198"/>
    <n v="479.45808712809702"/>
    <n v="0.15452720257109101"/>
    <s v="PayPal"/>
    <n v="1015.82632684676"/>
    <n v="250762.4634644358"/>
    <n v="258"/>
    <x v="226"/>
    <n v="0.15712383767750096"/>
    <n v="2.5081174718794146"/>
    <n v="459.58113426531611"/>
    <n v="374.48435609912713"/>
    <x v="9"/>
  </r>
  <r>
    <s v="SALE1230"/>
    <d v="2025-04-03T00:00:00"/>
    <s v="CUST1134"/>
    <s v="PROD70"/>
    <s v="STORE8"/>
    <n v="2.49850830828042"/>
    <n v="479.40632423001699"/>
    <n v="0.15453396464168101"/>
    <s v="Credit Card"/>
    <n v="1015.7183303873099"/>
    <n v="250762.4634644358"/>
    <n v="258"/>
    <x v="178"/>
    <n v="0.15712721871279575"/>
    <n v="2.5081300164794134"/>
    <n v="459.55525281627598"/>
    <n v="374.44442422256225"/>
    <x v="10"/>
  </r>
  <r>
    <s v="SALE1231"/>
    <d v="2025-02-05T00:00:00"/>
    <s v="CUST1033"/>
    <s v="PROD23"/>
    <s v="STORE3"/>
    <n v="2.49853339748041"/>
    <n v="479.35456133193702"/>
    <n v="0.15454072671227001"/>
    <s v="COD"/>
    <n v="1015.61033392786"/>
    <n v="249746.74513404848"/>
    <n v="257"/>
    <x v="227"/>
    <n v="0.15713059974809057"/>
    <n v="2.5081425610794121"/>
    <n v="459.52937136723585"/>
    <n v="374.40449234599743"/>
    <x v="6"/>
  </r>
  <r>
    <s v="SALE1232"/>
    <d v="2025-01-10T00:00:00"/>
    <s v="CUST1312"/>
    <s v="PROD74"/>
    <s v="STORE8"/>
    <n v="2.4985584866804098"/>
    <n v="479.30279843385699"/>
    <n v="0.15454748878286001"/>
    <s v="PayPal"/>
    <n v="1015.5023374684"/>
    <n v="249746.74513404848"/>
    <n v="257"/>
    <x v="228"/>
    <n v="0.15713398078338536"/>
    <n v="2.5081551056794109"/>
    <n v="459.50348991819578"/>
    <n v="374.36456046943005"/>
    <x v="4"/>
  </r>
  <r>
    <s v="SALE1233"/>
    <d v="2024-01-25T00:00:00"/>
    <s v="CUST1433"/>
    <s v="PROD10"/>
    <s v="STORE1"/>
    <n v="2.49858357588041"/>
    <n v="479.25103553577702"/>
    <n v="0.15455425085344901"/>
    <s v="COD"/>
    <n v="1015.3943410089501"/>
    <n v="249746.74513404848"/>
    <n v="257"/>
    <x v="229"/>
    <n v="0.15713736181868015"/>
    <n v="2.5081676502794092"/>
    <n v="459.47760846915571"/>
    <n v="374.32462859286522"/>
    <x v="4"/>
  </r>
  <r>
    <s v="SALE1234"/>
    <d v="2025-10-02T00:00:00"/>
    <s v="CUST1372"/>
    <s v="PROD54"/>
    <s v="STORE14"/>
    <n v="2.4986086650804098"/>
    <n v="479.19927263769603"/>
    <n v="0.15456101292403901"/>
    <s v="PayPal"/>
    <n v="1015.2863445495"/>
    <n v="249746.74513404848"/>
    <n v="257"/>
    <x v="230"/>
    <n v="0.15714074285397497"/>
    <n v="2.5081801948794076"/>
    <n v="459.45172702011553"/>
    <n v="374.28469671630012"/>
    <x v="11"/>
  </r>
  <r>
    <s v="SALE1235"/>
    <d v="2024-07-10T00:00:00"/>
    <s v="CUST1349"/>
    <s v="PROD17"/>
    <s v="STORE5"/>
    <n v="2.4986337542803998"/>
    <n v="479.147509739616"/>
    <n v="0.15456777499462901"/>
    <s v="Credit Card"/>
    <n v="1015.17834809005"/>
    <n v="249746.74513404848"/>
    <n v="257"/>
    <x v="231"/>
    <n v="0.15714412388926979"/>
    <n v="2.5081927394794068"/>
    <n v="459.42584557107551"/>
    <n v="374.24476483973524"/>
    <x v="0"/>
  </r>
  <r>
    <s v="SALE1236"/>
    <d v="2025-01-04T00:00:00"/>
    <s v="CUST1484"/>
    <s v="PROD77"/>
    <s v="STORE18"/>
    <n v="2.4986588434804"/>
    <n v="479.09574684153603"/>
    <n v="0.15457453706521801"/>
    <s v="PayPal"/>
    <n v="1015.0703516306"/>
    <n v="248731.56678595839"/>
    <n v="256"/>
    <x v="232"/>
    <n v="0.15714750492456458"/>
    <n v="2.5082052840794056"/>
    <n v="459.39996412203539"/>
    <n v="374.20483296317042"/>
    <x v="4"/>
  </r>
  <r>
    <s v="SALE1237"/>
    <d v="2025-05-21T00:00:00"/>
    <s v="CUST1316"/>
    <s v="PROD25"/>
    <s v="STORE7"/>
    <n v="2.4986839326803998"/>
    <n v="479.043983943456"/>
    <n v="0.15458129913580801"/>
    <s v="PayPal"/>
    <n v="1014.96235517115"/>
    <n v="248731.56678595839"/>
    <n v="256"/>
    <x v="104"/>
    <n v="0.15715088595985938"/>
    <n v="2.5082178286794039"/>
    <n v="459.37408267299531"/>
    <n v="374.16490108660554"/>
    <x v="5"/>
  </r>
  <r>
    <s v="SALE1238"/>
    <d v="2025-07-30T00:00:00"/>
    <s v="CUST1326"/>
    <s v="PROD37"/>
    <s v="STORE11"/>
    <n v="2.4987090218803898"/>
    <n v="478.99222104537603"/>
    <n v="0.15458806120639701"/>
    <s v="PayPal"/>
    <n v="1014.85435871169"/>
    <n v="248731.56678595839"/>
    <n v="256"/>
    <x v="233"/>
    <n v="0.15715426699515417"/>
    <n v="2.5082303732794022"/>
    <n v="459.34820122395519"/>
    <n v="374.12496921003822"/>
    <x v="0"/>
  </r>
  <r>
    <s v="SALE1239"/>
    <d v="2025-04-10T00:00:00"/>
    <s v="CUST1119"/>
    <s v="PROD62"/>
    <s v="STORE8"/>
    <n v="2.49873411108039"/>
    <n v="478.940458147296"/>
    <n v="0.15459482327698701"/>
    <s v="Credit Card"/>
    <n v="1014.74636225224"/>
    <n v="248731.56678595839"/>
    <n v="256"/>
    <x v="234"/>
    <n v="0.15715764803044896"/>
    <n v="2.5082429178794015"/>
    <n v="459.32231977491517"/>
    <n v="374.08503733347334"/>
    <x v="10"/>
  </r>
  <r>
    <s v="SALE1240"/>
    <d v="2024-07-02T00:00:00"/>
    <s v="CUST1490"/>
    <s v="PROD47"/>
    <s v="STORE16"/>
    <n v="2.4987592002803898"/>
    <n v="478.888695249215"/>
    <n v="0.15460158534757701"/>
    <s v="COD"/>
    <n v="1014.63836579279"/>
    <n v="247716.82042370617"/>
    <n v="255"/>
    <x v="235"/>
    <n v="0.15716102906574381"/>
    <n v="2.5082554624794002"/>
    <n v="459.29643832587504"/>
    <n v="374.04510545690823"/>
    <x v="0"/>
  </r>
  <r>
    <s v="SALE1241"/>
    <d v="2025-06-21T00:00:00"/>
    <s v="CUST1262"/>
    <s v="PROD11"/>
    <s v="STORE13"/>
    <n v="2.49878428948039"/>
    <n v="478.83693235113498"/>
    <n v="0.15460834741816601"/>
    <s v="COD"/>
    <n v="1014.53036933334"/>
    <n v="247716.82042370617"/>
    <n v="255"/>
    <x v="14"/>
    <n v="0.15716441010103863"/>
    <n v="2.5082680070793986"/>
    <n v="459.27055687683497"/>
    <n v="374.00517358034335"/>
    <x v="2"/>
  </r>
  <r>
    <s v="SALE1242"/>
    <d v="2024-12-13T00:00:00"/>
    <s v="CUST1022"/>
    <s v="PROD9"/>
    <s v="STORE5"/>
    <n v="2.49880937868038"/>
    <n v="478.785169453055"/>
    <n v="0.15461510948875601"/>
    <s v="Credit Card"/>
    <n v="1014.42237287389"/>
    <n v="247716.82042370617"/>
    <n v="255"/>
    <x v="236"/>
    <n v="0.15716779113633339"/>
    <n v="2.5082805516793978"/>
    <n v="459.2446754277949"/>
    <n v="373.96524170377853"/>
    <x v="1"/>
  </r>
  <r>
    <s v="SALE1243"/>
    <d v="2024-08-14T00:00:00"/>
    <s v="CUST1260"/>
    <s v="PROD84"/>
    <s v="STORE13"/>
    <n v="2.4988344678803802"/>
    <n v="478.73340655497498"/>
    <n v="0.15462187155934501"/>
    <s v="Credit Card"/>
    <n v="1014.3143764144399"/>
    <n v="246702.39805083224"/>
    <n v="254"/>
    <x v="79"/>
    <n v="0.15717117217162824"/>
    <n v="2.5082930962793966"/>
    <n v="459.21879397875477"/>
    <n v="373.92530982721365"/>
    <x v="7"/>
  </r>
  <r>
    <s v="SALE1244"/>
    <d v="2025-03-05T00:00:00"/>
    <s v="CUST1225"/>
    <s v="PROD19"/>
    <s v="STORE7"/>
    <n v="2.49885955708038"/>
    <n v="478.68164365689501"/>
    <n v="0.15462863362993501"/>
    <s v="COD"/>
    <n v="1014.20637995498"/>
    <n v="245688.08367441784"/>
    <n v="253"/>
    <x v="237"/>
    <n v="0.15717455320692303"/>
    <n v="2.5083056408793949"/>
    <n v="459.19291252971465"/>
    <n v="373.88537795064633"/>
    <x v="9"/>
  </r>
  <r>
    <s v="SALE1245"/>
    <d v="2024-01-17T00:00:00"/>
    <s v="CUST1466"/>
    <s v="PROD48"/>
    <s v="STORE19"/>
    <n v="2.4988846462803802"/>
    <n v="478.62988075881498"/>
    <n v="0.15463539570052501"/>
    <s v="PayPal"/>
    <n v="1014.09838349553"/>
    <n v="245688.08367441784"/>
    <n v="253"/>
    <x v="238"/>
    <n v="0.15717793424221779"/>
    <n v="2.5083181854793937"/>
    <n v="459.16703108067469"/>
    <n v="373.84544607408145"/>
    <x v="4"/>
  </r>
  <r>
    <s v="SALE1246"/>
    <d v="2025-08-20T00:00:00"/>
    <s v="CUST1335"/>
    <s v="PROD38"/>
    <s v="STORE6"/>
    <n v="2.4989097354803702"/>
    <n v="478.57811786073501"/>
    <n v="0.15464215777111401"/>
    <s v="PayPal"/>
    <n v="1013.9903870360801"/>
    <n v="245688.08367441784"/>
    <n v="253"/>
    <x v="69"/>
    <n v="0.15718131527751261"/>
    <n v="2.5083307300793924"/>
    <n v="459.14114963163445"/>
    <n v="373.80551419751663"/>
    <x v="7"/>
  </r>
  <r>
    <s v="SALE1247"/>
    <d v="2024-04-04T00:00:00"/>
    <s v="CUST1182"/>
    <s v="PROD57"/>
    <s v="STORE8"/>
    <n v="2.49893482468037"/>
    <n v="478.52635496265401"/>
    <n v="0.15464891984170401"/>
    <s v="COD"/>
    <n v="1013.88239057663"/>
    <n v="245688.08367441784"/>
    <n v="253"/>
    <x v="239"/>
    <n v="0.1571846963128074"/>
    <n v="2.5083432746793912"/>
    <n v="459.11526818259449"/>
    <n v="373.76558232095152"/>
    <x v="10"/>
  </r>
  <r>
    <s v="SALE1248"/>
    <d v="2024-05-26T00:00:00"/>
    <s v="CUST1263"/>
    <s v="PROD65"/>
    <s v="STORE7"/>
    <n v="2.4989599138803702"/>
    <n v="478.47459206457398"/>
    <n v="0.15465568191229401"/>
    <s v="COD"/>
    <n v="1013.77439411718"/>
    <n v="245688.08367441784"/>
    <n v="253"/>
    <x v="240"/>
    <n v="0.15718807734810222"/>
    <n v="2.50835581927939"/>
    <n v="459.08938673355436"/>
    <n v="373.72565044438664"/>
    <x v="5"/>
  </r>
  <r>
    <s v="SALE1249"/>
    <d v="2025-07-18T00:00:00"/>
    <s v="CUST1417"/>
    <s v="PROD97"/>
    <s v="STORE15"/>
    <n v="2.49898500308037"/>
    <n v="478.42282916649401"/>
    <n v="0.15466244398288301"/>
    <s v="COD"/>
    <n v="1013.66639765773"/>
    <n v="245688.08367441784"/>
    <n v="253"/>
    <x v="241"/>
    <n v="0.15719145838339704"/>
    <n v="2.5083683638793883"/>
    <n v="459.06350528451429"/>
    <n v="373.68571856782182"/>
    <x v="0"/>
  </r>
  <r>
    <s v="SALE1250"/>
    <d v="2024-07-12T00:00:00"/>
    <s v="CUST1017"/>
    <s v="PROD41"/>
    <s v="STORE17"/>
    <n v="2.49901009228036"/>
    <n v="478.37106626841398"/>
    <n v="0.15466920605347301"/>
    <s v="Credit Card"/>
    <n v="1013.55840119827"/>
    <n v="245688.08367441784"/>
    <n v="253"/>
    <x v="242"/>
    <n v="0.15719483941869183"/>
    <n v="2.5083809084793871"/>
    <n v="459.03762383547428"/>
    <n v="373.64578669125444"/>
    <x v="0"/>
  </r>
  <r>
    <s v="SALE1251"/>
    <d v="2024-09-10T00:00:00"/>
    <s v="CUST1119"/>
    <s v="PROD74"/>
    <s v="STORE4"/>
    <n v="2.4990351814803602"/>
    <n v="478.31930337033401"/>
    <n v="0.15467596812406201"/>
    <s v="Credit Card"/>
    <n v="1013.45040473882"/>
    <n v="244674.52527321954"/>
    <n v="252"/>
    <x v="81"/>
    <n v="0.15719822045398663"/>
    <n v="2.5083934530793859"/>
    <n v="459.01174238643421"/>
    <n v="373.60585481468962"/>
    <x v="8"/>
  </r>
  <r>
    <s v="SALE1252"/>
    <d v="2025-06-18T00:00:00"/>
    <s v="CUST1224"/>
    <s v="PROD39"/>
    <s v="STORE8"/>
    <n v="2.49906027068036"/>
    <n v="478.26754047225398"/>
    <n v="0.15468273019465201"/>
    <s v="Credit Card"/>
    <n v="1013.34240827937"/>
    <n v="243661.07486848076"/>
    <n v="251"/>
    <x v="220"/>
    <n v="0.15720160148928145"/>
    <n v="2.5084059976793847"/>
    <n v="458.98586093739408"/>
    <n v="373.56592293812474"/>
    <x v="2"/>
  </r>
  <r>
    <s v="SALE1253"/>
    <d v="2024-12-28T00:00:00"/>
    <s v="CUST1277"/>
    <s v="PROD19"/>
    <s v="STORE8"/>
    <n v="2.4990853598803602"/>
    <n v="478.21577757417299"/>
    <n v="0.15468949226524201"/>
    <s v="Credit Card"/>
    <n v="1013.23441181992"/>
    <n v="242647.7324602014"/>
    <n v="250"/>
    <x v="243"/>
    <n v="0.15720498252457624"/>
    <n v="2.5084185422793834"/>
    <n v="458.95997948835395"/>
    <n v="373.52599106155964"/>
    <x v="1"/>
  </r>
  <r>
    <s v="SALE1254"/>
    <d v="2024-09-21T00:00:00"/>
    <s v="CUST1211"/>
    <s v="PROD85"/>
    <s v="STORE17"/>
    <n v="2.4991104490803502"/>
    <n v="478.16401467609302"/>
    <n v="0.15469625433583101"/>
    <s v="COD"/>
    <n v="1013.12641536047"/>
    <n v="241634.49804838144"/>
    <n v="249"/>
    <x v="90"/>
    <n v="0.15720836355987106"/>
    <n v="2.5084310868793827"/>
    <n v="458.93409803931388"/>
    <n v="373.48605918499482"/>
    <x v="8"/>
  </r>
  <r>
    <s v="SALE1255"/>
    <d v="2024-05-22T00:00:00"/>
    <s v="CUST1082"/>
    <s v="PROD41"/>
    <s v="STORE14"/>
    <n v="2.49913553828035"/>
    <n v="478.11225177801299"/>
    <n v="0.15470301640642101"/>
    <s v="PayPal"/>
    <n v="1013.01841890101"/>
    <n v="241634.49804838144"/>
    <n v="249"/>
    <x v="244"/>
    <n v="0.15721174459516588"/>
    <n v="2.508443631479381"/>
    <n v="458.90821659027387"/>
    <n v="373.44612730842744"/>
    <x v="5"/>
  </r>
  <r>
    <s v="SALE1256"/>
    <d v="2025-08-02T00:00:00"/>
    <s v="CUST1191"/>
    <s v="PROD17"/>
    <s v="STORE1"/>
    <n v="2.4991606274803502"/>
    <n v="478.06048887993302"/>
    <n v="0.15470977847701001"/>
    <s v="COD"/>
    <n v="1012.9104224415599"/>
    <n v="241634.49804838144"/>
    <n v="249"/>
    <x v="245"/>
    <n v="0.15721512563046067"/>
    <n v="2.5084561760793798"/>
    <n v="458.88233514123391"/>
    <n v="373.40619543186256"/>
    <x v="7"/>
  </r>
  <r>
    <s v="SALE1257"/>
    <d v="2024-10-18T00:00:00"/>
    <s v="CUST1065"/>
    <s v="PROD90"/>
    <s v="STORE1"/>
    <n v="2.4991857166803499"/>
    <n v="478.00872598185299"/>
    <n v="0.15471654054760001"/>
    <s v="Credit Card"/>
    <n v="1012.80242598211"/>
    <n v="241634.49804838144"/>
    <n v="249"/>
    <x v="246"/>
    <n v="0.15721850666575549"/>
    <n v="2.508468720679379"/>
    <n v="458.85645369219378"/>
    <n v="373.36626355529773"/>
    <x v="11"/>
  </r>
  <r>
    <s v="SALE1258"/>
    <d v="2024-02-26T00:00:00"/>
    <s v="CUST1216"/>
    <s v="PROD22"/>
    <s v="STORE19"/>
    <n v="2.4992108058803399"/>
    <n v="477.95696308377302"/>
    <n v="0.15472330261819001"/>
    <s v="PayPal"/>
    <n v="1012.69442952266"/>
    <n v="240621.69562239936"/>
    <n v="248"/>
    <x v="196"/>
    <n v="0.15722188770105028"/>
    <n v="2.5084812652793773"/>
    <n v="458.83057224315371"/>
    <n v="373.32633167873291"/>
    <x v="6"/>
  </r>
  <r>
    <s v="SALE1259"/>
    <d v="2023-12-08T00:00:00"/>
    <s v="CUST1198"/>
    <s v="PROD12"/>
    <s v="STORE15"/>
    <n v="2.4992358950803402"/>
    <n v="477.90520018569202"/>
    <n v="0.15473006468877901"/>
    <s v="Credit Card"/>
    <n v="1012.5864330632101"/>
    <n v="240621.69562239936"/>
    <n v="248"/>
    <x v="76"/>
    <n v="0.1572252687363451"/>
    <n v="2.5084938098793761"/>
    <n v="458.80469079411364"/>
    <n v="373.28639980216781"/>
    <x v="1"/>
  </r>
  <r>
    <s v="SALE1260"/>
    <d v="2024-10-31T00:00:00"/>
    <s v="CUST1028"/>
    <s v="PROD74"/>
    <s v="STORE11"/>
    <n v="2.4992609842803399"/>
    <n v="477.853437287612"/>
    <n v="0.15473682675936901"/>
    <s v="COD"/>
    <n v="1012.47843660376"/>
    <n v="239609.10918933616"/>
    <n v="247"/>
    <x v="247"/>
    <n v="0.15722864977163989"/>
    <n v="2.5085063544793749"/>
    <n v="458.77880934507357"/>
    <n v="373.24646792560293"/>
    <x v="11"/>
  </r>
  <r>
    <s v="SALE1261"/>
    <d v="2024-11-28T00:00:00"/>
    <s v="CUST1468"/>
    <s v="PROD75"/>
    <s v="STORE5"/>
    <n v="2.4992860734803299"/>
    <n v="477.80167438953202"/>
    <n v="0.15474358882995801"/>
    <s v="PayPal"/>
    <n v="1012.3704401443"/>
    <n v="239609.10918933616"/>
    <n v="247"/>
    <x v="248"/>
    <n v="0.15723203080693468"/>
    <n v="2.5085188990793732"/>
    <n v="458.7529278960335"/>
    <n v="373.20653604903555"/>
    <x v="3"/>
  </r>
  <r>
    <s v="SALE1262"/>
    <d v="2025-06-05T00:00:00"/>
    <s v="CUST1097"/>
    <s v="PROD31"/>
    <s v="STORE9"/>
    <n v="2.4993111626803302"/>
    <n v="477.749911491452"/>
    <n v="0.15475035090054801"/>
    <s v="COD"/>
    <n v="1012.26244368485"/>
    <n v="239609.10918933616"/>
    <n v="247"/>
    <x v="249"/>
    <n v="0.15723541184222947"/>
    <n v="2.5085314436793715"/>
    <n v="458.72704644699337"/>
    <n v="373.16660417247073"/>
    <x v="2"/>
  </r>
  <r>
    <s v="SALE1263"/>
    <d v="2024-11-19T00:00:00"/>
    <s v="CUST1042"/>
    <s v="PROD51"/>
    <s v="STORE12"/>
    <n v="2.4993362518803299"/>
    <n v="477.69814859337203"/>
    <n v="0.15475711297113801"/>
    <s v="Credit Card"/>
    <n v="1012.1544472254"/>
    <n v="239609.10918933616"/>
    <n v="247"/>
    <x v="250"/>
    <n v="0.15723879287752429"/>
    <n v="2.5085439882793703"/>
    <n v="458.70116499795324"/>
    <n v="373.12667229590585"/>
    <x v="3"/>
  </r>
  <r>
    <s v="SALE1264"/>
    <d v="2024-05-19T00:00:00"/>
    <s v="CUST1211"/>
    <s v="PROD38"/>
    <s v="STORE12"/>
    <n v="2.4993613410803301"/>
    <n v="477.646385695292"/>
    <n v="0.15476387504172701"/>
    <s v="COD"/>
    <n v="1012.04645076595"/>
    <n v="238596.95474211077"/>
    <n v="246"/>
    <x v="251"/>
    <n v="0.15724217391281908"/>
    <n v="2.5085565328793691"/>
    <n v="458.67528354891317"/>
    <n v="373.08674041934103"/>
    <x v="5"/>
  </r>
  <r>
    <s v="SALE1265"/>
    <d v="2025-01-22T00:00:00"/>
    <s v="CUST1481"/>
    <s v="PROD62"/>
    <s v="STORE14"/>
    <n v="2.4993864302803201"/>
    <n v="477.59462279721203"/>
    <n v="0.15477063711231701"/>
    <s v="COD"/>
    <n v="1011.9384543065"/>
    <n v="238596.95474211077"/>
    <n v="246"/>
    <x v="252"/>
    <n v="0.15724555494811393"/>
    <n v="2.5085690774793679"/>
    <n v="458.64940209987333"/>
    <n v="373.04680854277615"/>
    <x v="4"/>
  </r>
  <r>
    <s v="SALE1266"/>
    <d v="2025-07-04T00:00:00"/>
    <s v="CUST1451"/>
    <s v="PROD90"/>
    <s v="STORE1"/>
    <n v="2.4994115194803199"/>
    <n v="477.54285989913097"/>
    <n v="0.15477739918290601"/>
    <s v="Credit Card"/>
    <n v="1011.83045784705"/>
    <n v="238596.95474211077"/>
    <n v="246"/>
    <x v="253"/>
    <n v="0.15724893598340872"/>
    <n v="2.5085816220793662"/>
    <n v="458.62352065083314"/>
    <n v="373.00687666621104"/>
    <x v="0"/>
  </r>
  <r>
    <s v="SALE1267"/>
    <d v="2025-05-19T00:00:00"/>
    <s v="CUST1479"/>
    <s v="PROD74"/>
    <s v="STORE1"/>
    <n v="2.4994366086803201"/>
    <n v="477.491097001051"/>
    <n v="0.15478416125349601"/>
    <s v="PayPal"/>
    <n v="1011.72246138759"/>
    <n v="237585.12428426367"/>
    <n v="245"/>
    <x v="254"/>
    <n v="0.15725231701870354"/>
    <n v="2.508594166679365"/>
    <n v="458.59763920179307"/>
    <n v="372.96694478964366"/>
    <x v="5"/>
  </r>
  <r>
    <s v="SALE1268"/>
    <d v="2023-12-04T00:00:00"/>
    <s v="CUST1220"/>
    <s v="PROD29"/>
    <s v="STORE14"/>
    <n v="2.4994616978803199"/>
    <n v="477.43933410297097"/>
    <n v="0.154790923324086"/>
    <s v="PayPal"/>
    <n v="1011.61446492814"/>
    <n v="237585.12428426367"/>
    <n v="245"/>
    <x v="39"/>
    <n v="0.15725569805399833"/>
    <n v="2.5086067112793637"/>
    <n v="458.571757752753"/>
    <n v="372.92701291307884"/>
    <x v="1"/>
  </r>
  <r>
    <s v="SALE1269"/>
    <d v="2024-07-31T00:00:00"/>
    <s v="CUST1047"/>
    <s v="PROD64"/>
    <s v="STORE2"/>
    <n v="2.4994867870803099"/>
    <n v="477.387571204891"/>
    <n v="0.15479768539467501"/>
    <s v="Credit Card"/>
    <n v="1011.5064684686899"/>
    <n v="237585.12428426367"/>
    <n v="245"/>
    <x v="255"/>
    <n v="0.15725907908929312"/>
    <n v="2.5086192558793625"/>
    <n v="458.54587630371293"/>
    <n v="372.88708103651396"/>
    <x v="0"/>
  </r>
  <r>
    <s v="SALE1270"/>
    <d v="2025-01-22T00:00:00"/>
    <s v="CUST1126"/>
    <s v="PROD80"/>
    <s v="STORE2"/>
    <n v="2.4995118762803101"/>
    <n v="477.33580830681097"/>
    <n v="0.154804447465265"/>
    <s v="COD"/>
    <n v="1011.39847200924"/>
    <n v="236573.61781579498"/>
    <n v="244"/>
    <x v="252"/>
    <n v="0.15726246012458794"/>
    <n v="2.5086318004793609"/>
    <n v="458.51999485467286"/>
    <n v="372.84714915994914"/>
    <x v="4"/>
  </r>
  <r>
    <s v="SALE1271"/>
    <d v="2024-11-15T00:00:00"/>
    <s v="CUST1023"/>
    <s v="PROD80"/>
    <s v="STORE17"/>
    <n v="2.4995369654803099"/>
    <n v="477.284045408731"/>
    <n v="0.154811209535855"/>
    <s v="PayPal"/>
    <n v="1011.29047554979"/>
    <n v="236573.61781579498"/>
    <n v="244"/>
    <x v="256"/>
    <n v="0.15726584115988274"/>
    <n v="2.5086443450793596"/>
    <n v="458.49411340563279"/>
    <n v="372.80721728338432"/>
    <x v="3"/>
  </r>
  <r>
    <s v="SALE1272"/>
    <d v="2024-04-07T00:00:00"/>
    <s v="CUST1304"/>
    <s v="PROD50"/>
    <s v="STORE2"/>
    <n v="2.4995620546803101"/>
    <n v="477.23228251065001"/>
    <n v="0.154817971606444"/>
    <s v="PayPal"/>
    <n v="1011.1824790903401"/>
    <n v="236573.61781579498"/>
    <n v="244"/>
    <x v="257"/>
    <n v="0.15726922219517755"/>
    <n v="2.5086568896793584"/>
    <n v="458.46823195659266"/>
    <n v="372.76728540681921"/>
    <x v="10"/>
  </r>
  <r>
    <s v="SALE1273"/>
    <d v="2024-02-17T00:00:00"/>
    <s v="CUST1118"/>
    <s v="PROD61"/>
    <s v="STORE16"/>
    <n v="2.4995871438803001"/>
    <n v="477.18051961256998"/>
    <n v="0.154824733677034"/>
    <s v="COD"/>
    <n v="1011.07448263088"/>
    <n v="236573.61781579498"/>
    <n v="244"/>
    <x v="258"/>
    <n v="0.15727260323047235"/>
    <n v="2.5086694342793572"/>
    <n v="458.44235050755265"/>
    <n v="372.72735353025183"/>
    <x v="6"/>
  </r>
  <r>
    <s v="SALE1274"/>
    <d v="2024-05-21T00:00:00"/>
    <s v="CUST1116"/>
    <s v="PROD77"/>
    <s v="STORE3"/>
    <n v="2.4996122330802999"/>
    <n v="477.12875671449001"/>
    <n v="0.154831495747623"/>
    <s v="Credit Card"/>
    <n v="1010.96648617143"/>
    <n v="236573.61781579498"/>
    <n v="244"/>
    <x v="138"/>
    <n v="0.15727598426576717"/>
    <n v="2.508681978879356"/>
    <n v="458.41646905851246"/>
    <n v="372.68742165368701"/>
    <x v="5"/>
  </r>
  <r>
    <s v="SALE1275"/>
    <d v="2024-05-23T00:00:00"/>
    <s v="CUST1262"/>
    <s v="PROD54"/>
    <s v="STORE10"/>
    <n v="2.4996373222803001"/>
    <n v="477.07699381640998"/>
    <n v="0.154838257818213"/>
    <s v="PayPal"/>
    <n v="1010.85848971198"/>
    <n v="235562.65132962351"/>
    <n v="243"/>
    <x v="259"/>
    <n v="0.15727936530106196"/>
    <n v="2.5086945234793547"/>
    <n v="458.3905876094725"/>
    <n v="372.64748977712213"/>
    <x v="5"/>
  </r>
  <r>
    <s v="SALE1276"/>
    <d v="2025-06-15T00:00:00"/>
    <s v="CUST1346"/>
    <s v="PROD44"/>
    <s v="STORE18"/>
    <n v="2.4996624114802999"/>
    <n v="477.02523091833001"/>
    <n v="0.154845019888803"/>
    <s v="COD"/>
    <n v="1010.75049325253"/>
    <n v="235562.65132962351"/>
    <n v="243"/>
    <x v="260"/>
    <n v="0.15728274633635678"/>
    <n v="2.5087070680793535"/>
    <n v="458.36470616043243"/>
    <n v="372.60755790055725"/>
    <x v="2"/>
  </r>
  <r>
    <s v="SALE1277"/>
    <d v="2025-01-06T00:00:00"/>
    <s v="CUST1088"/>
    <s v="PROD2"/>
    <s v="STORE4"/>
    <n v="2.4996875006802899"/>
    <n v="476.97346802024998"/>
    <n v="0.154851781959392"/>
    <s v="Credit Card"/>
    <n v="1010.64249679308"/>
    <n v="235562.65132962351"/>
    <n v="243"/>
    <x v="261"/>
    <n v="0.1572861273716516"/>
    <n v="2.5087196126793523"/>
    <n v="458.33882471139236"/>
    <n v="372.56762602399243"/>
    <x v="4"/>
  </r>
  <r>
    <s v="SALE1278"/>
    <d v="2025-08-10T00:00:00"/>
    <s v="CUST1358"/>
    <s v="PROD55"/>
    <s v="STORE19"/>
    <n v="2.4997125898802901"/>
    <n v="476.92170512216899"/>
    <n v="0.154858544029982"/>
    <s v="PayPal"/>
    <n v="1010.53450033362"/>
    <n v="234552.00883283044"/>
    <n v="242"/>
    <x v="262"/>
    <n v="0.15728950840694639"/>
    <n v="2.5087321572793506"/>
    <n v="458.31294326235229"/>
    <n v="372.52769414742482"/>
    <x v="7"/>
  </r>
  <r>
    <s v="SALE1279"/>
    <d v="2025-07-02T00:00:00"/>
    <s v="CUST1332"/>
    <s v="PROD32"/>
    <s v="STORE4"/>
    <n v="2.4997376790802899"/>
    <n v="476.86994222408902"/>
    <n v="0.154865306100571"/>
    <s v="Credit Card"/>
    <n v="1010.42650387417"/>
    <n v="234552.00883283044"/>
    <n v="242"/>
    <x v="263"/>
    <n v="0.15729288944224118"/>
    <n v="2.5087447018793494"/>
    <n v="458.28706181331222"/>
    <n v="372.48776227085995"/>
    <x v="0"/>
  </r>
  <r>
    <s v="SALE1280"/>
    <d v="2024-03-29T00:00:00"/>
    <s v="CUST1297"/>
    <s v="PROD69"/>
    <s v="STORE2"/>
    <n v="2.4997627682802901"/>
    <n v="476.81817932600899"/>
    <n v="0.154872068171161"/>
    <s v="Credit Card"/>
    <n v="1010.31850741472"/>
    <n v="233541.58232895625"/>
    <n v="241"/>
    <x v="264"/>
    <n v="0.157296270477536"/>
    <n v="2.5087572464793482"/>
    <n v="458.26118036427209"/>
    <n v="372.44783039429512"/>
    <x v="9"/>
  </r>
  <r>
    <s v="SALE1281"/>
    <d v="2025-01-15T00:00:00"/>
    <s v="CUST1095"/>
    <s v="PROD80"/>
    <s v="STORE5"/>
    <n v="2.4997878574802801"/>
    <n v="476.76641642792902"/>
    <n v="0.154878830241751"/>
    <s v="Credit Card"/>
    <n v="1010.21051095527"/>
    <n v="232531.26382154154"/>
    <n v="240"/>
    <x v="265"/>
    <n v="0.15729965151283082"/>
    <n v="2.5087697910793469"/>
    <n v="458.23529891523202"/>
    <n v="372.40789851773025"/>
    <x v="4"/>
  </r>
  <r>
    <s v="SALE1282"/>
    <d v="2024-07-24T00:00:00"/>
    <s v="CUST1438"/>
    <s v="PROD63"/>
    <s v="STORE12"/>
    <n v="2.4998129466802799"/>
    <n v="476.71465352984899"/>
    <n v="0.15488559231234"/>
    <s v="PayPal"/>
    <n v="1010.1025144958199"/>
    <n v="231521.05331058629"/>
    <n v="239"/>
    <x v="184"/>
    <n v="0.15730303254812561"/>
    <n v="2.5087823356793457"/>
    <n v="458.20941746619195"/>
    <n v="372.36796664116537"/>
    <x v="0"/>
  </r>
  <r>
    <s v="SALE1283"/>
    <d v="2024-04-25T00:00:00"/>
    <s v="CUST1234"/>
    <s v="PROD98"/>
    <s v="STORE7"/>
    <n v="2.4998380358802801"/>
    <n v="476.66289063176902"/>
    <n v="0.15489235438293"/>
    <s v="PayPal"/>
    <n v="1009.99451803637"/>
    <n v="231521.05331058629"/>
    <n v="239"/>
    <x v="266"/>
    <n v="0.1573064135834204"/>
    <n v="2.5087948802793441"/>
    <n v="458.18353601715182"/>
    <n v="372.32803476460055"/>
    <x v="10"/>
  </r>
  <r>
    <s v="SALE1284"/>
    <d v="2025-04-17T00:00:00"/>
    <s v="CUST1013"/>
    <s v="PROD37"/>
    <s v="STORE3"/>
    <n v="2.4998631250802701"/>
    <n v="476.61112773368802"/>
    <n v="0.154899116453519"/>
    <s v="Credit Card"/>
    <n v="1009.88652157691"/>
    <n v="231521.05331058629"/>
    <n v="239"/>
    <x v="267"/>
    <n v="0.15730979461871525"/>
    <n v="2.5088074248793428"/>
    <n v="458.15765456811175"/>
    <n v="372.28810288803294"/>
    <x v="10"/>
  </r>
  <r>
    <s v="SALE1285"/>
    <d v="2025-09-24T00:00:00"/>
    <s v="CUST1187"/>
    <s v="PROD13"/>
    <s v="STORE1"/>
    <n v="2.4998882142802699"/>
    <n v="476.55936483560799"/>
    <n v="0.154905878524109"/>
    <s v="PayPal"/>
    <n v="1009.77852511746"/>
    <n v="230511.16678900938"/>
    <n v="238"/>
    <x v="268"/>
    <n v="0.15731317565401004"/>
    <n v="2.508819969479342"/>
    <n v="458.13177311907174"/>
    <n v="372.24817101146812"/>
    <x v="8"/>
  </r>
  <r>
    <s v="SALE1286"/>
    <d v="2023-11-10T00:00:00"/>
    <s v="CUST1334"/>
    <s v="PROD51"/>
    <s v="STORE16"/>
    <n v="2.4999133034802701"/>
    <n v="476.50760193752802"/>
    <n v="0.154912640594699"/>
    <s v="Credit Card"/>
    <n v="1009.67052865801"/>
    <n v="230511.16678900938"/>
    <n v="238"/>
    <x v="269"/>
    <n v="0.15731655668930483"/>
    <n v="2.5088325140793404"/>
    <n v="458.10589167003161"/>
    <n v="372.20823913490324"/>
    <x v="3"/>
  </r>
  <r>
    <s v="SALE1287"/>
    <d v="2024-02-27T00:00:00"/>
    <s v="CUST1438"/>
    <s v="PROD77"/>
    <s v="STORE6"/>
    <n v="2.4999383926802698"/>
    <n v="476.45583903944799"/>
    <n v="0.154919402665288"/>
    <s v="COD"/>
    <n v="1009.56253219856"/>
    <n v="229501.49626035136"/>
    <n v="237"/>
    <x v="209"/>
    <n v="0.15731993772459965"/>
    <n v="2.5088450586793392"/>
    <n v="458.08001022099148"/>
    <n v="372.16830725833842"/>
    <x v="6"/>
  </r>
  <r>
    <s v="SALE1288"/>
    <d v="2025-04-09T00:00:00"/>
    <s v="CUST1322"/>
    <s v="PROD6"/>
    <s v="STORE0"/>
    <n v="2.4999634818802599"/>
    <n v="476.40407614136802"/>
    <n v="0.154926164735878"/>
    <s v="Credit Card"/>
    <n v="1009.45453573911"/>
    <n v="229501.49626035136"/>
    <n v="237"/>
    <x v="131"/>
    <n v="0.15732331875989447"/>
    <n v="2.5088576032793379"/>
    <n v="458.05412877195147"/>
    <n v="372.12837538177354"/>
    <x v="10"/>
  </r>
  <r>
    <s v="SALE1289"/>
    <d v="2024-07-05T00:00:00"/>
    <s v="CUST1251"/>
    <s v="PROD9"/>
    <s v="STORE9"/>
    <n v="2.4999885710802601"/>
    <n v="476.35231324328799"/>
    <n v="0.154932926806468"/>
    <s v="COD"/>
    <n v="1009.34653927966"/>
    <n v="228492.04172461227"/>
    <n v="236"/>
    <x v="270"/>
    <n v="0.15732669979518923"/>
    <n v="2.5088701478793367"/>
    <n v="458.0282473229114"/>
    <n v="372.08844350520866"/>
    <x v="0"/>
  </r>
  <r>
    <s v="SALE1290"/>
    <d v="2025-08-21T00:00:00"/>
    <s v="CUST1257"/>
    <s v="PROD68"/>
    <s v="STORE9"/>
    <n v="2.5000136602802598"/>
    <n v="476.30055034520802"/>
    <n v="0.154939688877057"/>
    <s v="COD"/>
    <n v="1009.2385428202"/>
    <n v="228492.04172461227"/>
    <n v="236"/>
    <x v="271"/>
    <n v="0.15733008083048405"/>
    <n v="2.508882692479335"/>
    <n v="458.00236587387127"/>
    <n v="372.04851162864134"/>
    <x v="7"/>
  </r>
  <r>
    <s v="SALE1291"/>
    <d v="2025-06-07T00:00:00"/>
    <s v="CUST1133"/>
    <s v="PROD36"/>
    <s v="STORE4"/>
    <n v="2.5000387494802601"/>
    <n v="476.24878744712697"/>
    <n v="0.154946450947647"/>
    <s v="Credit Card"/>
    <n v="1009.13054636075"/>
    <n v="228492.04172461227"/>
    <n v="236"/>
    <x v="272"/>
    <n v="0.15733346186577887"/>
    <n v="2.5088952370793338"/>
    <n v="457.9764844248312"/>
    <n v="372.00857975207623"/>
    <x v="2"/>
  </r>
  <r>
    <s v="SALE1292"/>
    <d v="2025-08-22T00:00:00"/>
    <s v="CUST1085"/>
    <s v="PROD31"/>
    <s v="STORE19"/>
    <n v="2.5000638386802501"/>
    <n v="476.197024549047"/>
    <n v="0.154953213018236"/>
    <s v="PayPal"/>
    <n v="1009.0225499013"/>
    <n v="227482.91117825152"/>
    <n v="235"/>
    <x v="99"/>
    <n v="0.15733684290107366"/>
    <n v="2.5089077816793326"/>
    <n v="457.95060297579113"/>
    <n v="371.96864787551135"/>
    <x v="7"/>
  </r>
  <r>
    <s v="SALE1293"/>
    <d v="2024-11-13T00:00:00"/>
    <s v="CUST1349"/>
    <s v="PROD50"/>
    <s v="STORE5"/>
    <n v="2.5000889278802498"/>
    <n v="476.14526165096697"/>
    <n v="0.154959975088826"/>
    <s v="PayPal"/>
    <n v="1008.91455344185"/>
    <n v="227482.91117825152"/>
    <n v="235"/>
    <x v="75"/>
    <n v="0.15734022393636846"/>
    <n v="2.5089203262793309"/>
    <n v="457.92472152675111"/>
    <n v="371.92871599894653"/>
    <x v="3"/>
  </r>
  <r>
    <s v="SALE1294"/>
    <d v="2024-01-18T00:00:00"/>
    <s v="CUST1458"/>
    <s v="PROD2"/>
    <s v="STORE14"/>
    <n v="2.5001140170802501"/>
    <n v="476.093498752887"/>
    <n v="0.154966737159416"/>
    <s v="PayPal"/>
    <n v="1008.8065569824"/>
    <n v="227482.91117825152"/>
    <n v="235"/>
    <x v="273"/>
    <n v="0.15734360497166328"/>
    <n v="2.5089328708793297"/>
    <n v="457.89884007771093"/>
    <n v="371.88878412238171"/>
    <x v="4"/>
  </r>
  <r>
    <s v="SALE1295"/>
    <d v="2024-08-15T00:00:00"/>
    <s v="CUST1034"/>
    <s v="PROD28"/>
    <s v="STORE7"/>
    <n v="2.5001391062802498"/>
    <n v="476.04173585480697"/>
    <n v="0.154973499230005"/>
    <s v="PayPal"/>
    <n v="1008.6985605229499"/>
    <n v="227482.91117825152"/>
    <n v="235"/>
    <x v="274"/>
    <n v="0.1573469860069581"/>
    <n v="2.5089454154793285"/>
    <n v="457.87295862867092"/>
    <n v="371.84885224581677"/>
    <x v="7"/>
  </r>
  <r>
    <s v="SALE1296"/>
    <d v="2025-09-21T00:00:00"/>
    <s v="CUST1087"/>
    <s v="PROD8"/>
    <s v="STORE9"/>
    <n v="2.5001641954802398"/>
    <n v="475.989972956727"/>
    <n v="0.154980261300595"/>
    <s v="Credit Card"/>
    <n v="1008.59056406349"/>
    <n v="227482.91117825152"/>
    <n v="235"/>
    <x v="275"/>
    <n v="0.15735036704225289"/>
    <n v="2.5089579600793273"/>
    <n v="457.84707717963084"/>
    <n v="371.80892036924945"/>
    <x v="8"/>
  </r>
  <r>
    <s v="SALE1297"/>
    <d v="2024-06-22T00:00:00"/>
    <s v="CUST1128"/>
    <s v="PROD10"/>
    <s v="STORE15"/>
    <n v="2.50018928468024"/>
    <n v="475.93821005864601"/>
    <n v="0.154987023371184"/>
    <s v="PayPal"/>
    <n v="1008.48256760404"/>
    <n v="226474.32061418801"/>
    <n v="234"/>
    <x v="180"/>
    <n v="0.15735374807754768"/>
    <n v="2.5089705046793256"/>
    <n v="457.82119573059077"/>
    <n v="371.76898849268434"/>
    <x v="2"/>
  </r>
  <r>
    <s v="SALE1298"/>
    <d v="2024-01-12T00:00:00"/>
    <s v="CUST1222"/>
    <s v="PROD46"/>
    <s v="STORE6"/>
    <n v="2.5002143738802398"/>
    <n v="475.88644716056598"/>
    <n v="0.154993785441774"/>
    <s v="PayPal"/>
    <n v="1008.37457114459"/>
    <n v="226474.32061418801"/>
    <n v="234"/>
    <x v="276"/>
    <n v="0.1573571291128425"/>
    <n v="2.5089830492793244"/>
    <n v="457.79531428155065"/>
    <n v="371.72905661611952"/>
    <x v="4"/>
  </r>
  <r>
    <s v="SALE1299"/>
    <d v="2023-10-19T00:00:00"/>
    <s v="CUST1047"/>
    <s v="PROD17"/>
    <s v="STORE19"/>
    <n v="2.50023946308024"/>
    <n v="475.83468426248601"/>
    <n v="0.155000547512364"/>
    <s v="COD"/>
    <n v="1008.26657468514"/>
    <n v="226474.32061418801"/>
    <n v="234"/>
    <x v="47"/>
    <n v="0.15736051014813729"/>
    <n v="2.5089955938793231"/>
    <n v="457.76943283251069"/>
    <n v="371.68912473955464"/>
    <x v="11"/>
  </r>
  <r>
    <s v="SALE1300"/>
    <d v="2025-03-11T00:00:00"/>
    <s v="CUST1150"/>
    <s v="PROD11"/>
    <s v="STORE15"/>
    <n v="2.50026455228023"/>
    <n v="475.78292136440598"/>
    <n v="0.155007309582953"/>
    <s v="PayPal"/>
    <n v="1008.15857822569"/>
    <n v="226474.32061418801"/>
    <n v="234"/>
    <x v="277"/>
    <n v="0.15736389118343208"/>
    <n v="2.5090081384793219"/>
    <n v="457.74355138347056"/>
    <n v="371.64919286298982"/>
    <x v="9"/>
  </r>
  <r>
    <s v="SALE1301"/>
    <d v="2024-09-22T00:00:00"/>
    <s v="CUST1221"/>
    <s v="PROD68"/>
    <s v="STORE10"/>
    <n v="2.5002896414802298"/>
    <n v="475.73115846632601"/>
    <n v="0.155014071653543"/>
    <s v="PayPal"/>
    <n v="1008.05058176623"/>
    <n v="226474.32061418801"/>
    <n v="234"/>
    <x v="278"/>
    <n v="0.1573672722187269"/>
    <n v="2.5090206830793202"/>
    <n v="457.71766993443043"/>
    <n v="371.60926098642244"/>
    <x v="8"/>
  </r>
  <r>
    <s v="SALE1302"/>
    <d v="2024-11-27T00:00:00"/>
    <s v="CUST1027"/>
    <s v="PROD24"/>
    <s v="STORE19"/>
    <n v="2.50031473068023"/>
    <n v="475.67939556824598"/>
    <n v="0.155020833724132"/>
    <s v="PayPal"/>
    <n v="1007.94258530678"/>
    <n v="226474.32061418801"/>
    <n v="234"/>
    <x v="279"/>
    <n v="0.15737065325402172"/>
    <n v="2.5090332276793186"/>
    <n v="457.69178848539036"/>
    <n v="371.56932910985756"/>
    <x v="3"/>
  </r>
  <r>
    <s v="SALE1303"/>
    <d v="2023-10-25T00:00:00"/>
    <s v="CUST1014"/>
    <s v="PROD26"/>
    <s v="STORE9"/>
    <n v="2.50033981988022"/>
    <n v="475.62763267016499"/>
    <n v="0.155027595794722"/>
    <s v="PayPal"/>
    <n v="1007.83458884733"/>
    <n v="226474.32061418801"/>
    <n v="234"/>
    <x v="183"/>
    <n v="0.15737403428931651"/>
    <n v="2.5090457722793178"/>
    <n v="457.66590703635029"/>
    <n v="371.52939723329246"/>
    <x v="11"/>
  </r>
  <r>
    <s v="SALE1304"/>
    <d v="2025-10-10T00:00:00"/>
    <s v="CUST1287"/>
    <s v="PROD50"/>
    <s v="STORE0"/>
    <n v="2.5003649090802198"/>
    <n v="475.57586977208501"/>
    <n v="0.155034357865312"/>
    <s v="Credit Card"/>
    <n v="1007.72659238788"/>
    <n v="226474.32061418801"/>
    <n v="234"/>
    <x v="280"/>
    <n v="0.1573774153246113"/>
    <n v="2.5090583168793166"/>
    <n v="457.64002558731022"/>
    <n v="371.48946535672764"/>
    <x v="11"/>
  </r>
  <r>
    <s v="SALE1305"/>
    <d v="2025-09-15T00:00:00"/>
    <s v="CUST1061"/>
    <s v="PROD51"/>
    <s v="STORE8"/>
    <n v="2.50038999828022"/>
    <n v="475.52410687400499"/>
    <n v="0.155041119935901"/>
    <s v="COD"/>
    <n v="1007.61859592843"/>
    <n v="225466.59402180012"/>
    <n v="233"/>
    <x v="192"/>
    <n v="0.15738079635990612"/>
    <n v="2.5090708614793149"/>
    <n v="457.61414413827009"/>
    <n v="371.44953348016276"/>
    <x v="8"/>
  </r>
  <r>
    <s v="SALE1306"/>
    <d v="2024-09-06T00:00:00"/>
    <s v="CUST1054"/>
    <s v="PROD15"/>
    <s v="STORE15"/>
    <n v="2.5004150874802198"/>
    <n v="475.47234397592501"/>
    <n v="0.155047882006491"/>
    <s v="COD"/>
    <n v="1007.51059946898"/>
    <n v="225466.59402180012"/>
    <n v="233"/>
    <x v="281"/>
    <n v="0.15738417739520091"/>
    <n v="2.5090834060793132"/>
    <n v="457.58826268923008"/>
    <n v="371.40960160359793"/>
    <x v="8"/>
  </r>
  <r>
    <s v="SALE1307"/>
    <d v="2024-07-16T00:00:00"/>
    <s v="CUST1372"/>
    <s v="PROD50"/>
    <s v="STORE3"/>
    <n v="2.5004401766802098"/>
    <n v="475.42058107784499"/>
    <n v="0.15505464407708"/>
    <s v="Credit Card"/>
    <n v="1007.40260300952"/>
    <n v="225466.59402180012"/>
    <n v="233"/>
    <x v="282"/>
    <n v="0.15738755843049571"/>
    <n v="2.5090959506793125"/>
    <n v="457.56238124019001"/>
    <n v="371.36966972703055"/>
    <x v="0"/>
  </r>
  <r>
    <s v="SALE1308"/>
    <d v="2025-04-01T00:00:00"/>
    <s v="CUST1312"/>
    <s v="PROD27"/>
    <s v="STORE13"/>
    <n v="2.50046526588021"/>
    <n v="475.36881817976501"/>
    <n v="0.15506140614767"/>
    <s v="Credit Card"/>
    <n v="1007.2946065500699"/>
    <n v="224459.19141879064"/>
    <n v="232"/>
    <x v="283"/>
    <n v="0.15739093946579052"/>
    <n v="2.5091084952793112"/>
    <n v="457.53649979114988"/>
    <n v="371.32973785046573"/>
    <x v="10"/>
  </r>
  <r>
    <s v="SALE1309"/>
    <d v="2024-01-18T00:00:00"/>
    <s v="CUST1033"/>
    <s v="PROD80"/>
    <s v="STORE18"/>
    <n v="2.5004903550802098"/>
    <n v="475.31705528168499"/>
    <n v="0.15506816821826"/>
    <s v="PayPal"/>
    <n v="1007.18661009062"/>
    <n v="223451.89681224056"/>
    <n v="231"/>
    <x v="273"/>
    <n v="0.15739432050108534"/>
    <n v="2.50912103987931"/>
    <n v="457.51061834210975"/>
    <n v="371.28980597390085"/>
    <x v="4"/>
  </r>
  <r>
    <s v="SALE1310"/>
    <d v="2024-11-25T00:00:00"/>
    <s v="CUST1214"/>
    <s v="PROD12"/>
    <s v="STORE18"/>
    <n v="2.50051544428021"/>
    <n v="475.26529238360399"/>
    <n v="0.155074930288849"/>
    <s v="PayPal"/>
    <n v="1007.07861363117"/>
    <n v="223451.89681224056"/>
    <n v="231"/>
    <x v="284"/>
    <n v="0.15739770153638014"/>
    <n v="2.5091335844793088"/>
    <n v="457.48473689306968"/>
    <n v="371.24987409733575"/>
    <x v="3"/>
  </r>
  <r>
    <s v="SALE1311"/>
    <d v="2024-11-07T00:00:00"/>
    <s v="CUST1257"/>
    <s v="PROD57"/>
    <s v="STORE9"/>
    <n v="2.5005405334802"/>
    <n v="475.21352948552402"/>
    <n v="0.155081692359439"/>
    <s v="COD"/>
    <n v="1006.9706171717201"/>
    <n v="223451.89681224056"/>
    <n v="231"/>
    <x v="285"/>
    <n v="0.15740108257167493"/>
    <n v="2.5091461290793071"/>
    <n v="457.45885544402967"/>
    <n v="371.20994222077093"/>
    <x v="3"/>
  </r>
  <r>
    <s v="SALE1312"/>
    <d v="2024-07-28T00:00:00"/>
    <s v="CUST1104"/>
    <s v="PROD25"/>
    <s v="STORE12"/>
    <n v="2.5005656226802002"/>
    <n v="475.16176658744399"/>
    <n v="0.155088454430029"/>
    <s v="PayPal"/>
    <n v="1006.86262071227"/>
    <n v="223451.89681224056"/>
    <n v="231"/>
    <x v="286"/>
    <n v="0.15740446360696975"/>
    <n v="2.5091586736793059"/>
    <n v="457.43297399498954"/>
    <n v="371.17001034420605"/>
    <x v="0"/>
  </r>
  <r>
    <s v="SALE1313"/>
    <d v="2024-04-16T00:00:00"/>
    <s v="CUST1248"/>
    <s v="PROD87"/>
    <s v="STORE8"/>
    <n v="2.5005907118802"/>
    <n v="475.11000368936402"/>
    <n v="0.155095216500618"/>
    <s v="COD"/>
    <n v="1006.75462425281"/>
    <n v="223451.89681224056"/>
    <n v="231"/>
    <x v="287"/>
    <n v="0.15740784464226454"/>
    <n v="2.5091712182793047"/>
    <n v="457.40709254594952"/>
    <n v="371.13007846763873"/>
    <x v="10"/>
  </r>
  <r>
    <s v="SALE1314"/>
    <d v="2024-01-13T00:00:00"/>
    <s v="CUST1241"/>
    <s v="PROD15"/>
    <s v="STORE15"/>
    <n v="2.5006158010802002"/>
    <n v="475.05824079128399"/>
    <n v="0.155101978571208"/>
    <s v="Credit Card"/>
    <n v="1006.64662779336"/>
    <n v="223451.89681224056"/>
    <n v="231"/>
    <x v="288"/>
    <n v="0.15741122567755933"/>
    <n v="2.5091837628793034"/>
    <n v="457.38121109690934"/>
    <n v="371.09014659107385"/>
    <x v="4"/>
  </r>
  <r>
    <s v="SALE1315"/>
    <d v="2024-01-08T00:00:00"/>
    <s v="CUST1065"/>
    <s v="PROD18"/>
    <s v="STORE1"/>
    <n v="2.5006408902801902"/>
    <n v="475.00647789320402"/>
    <n v="0.155108740641797"/>
    <s v="COD"/>
    <n v="1006.53863133391"/>
    <n v="222445.25018444724"/>
    <n v="230"/>
    <x v="289"/>
    <n v="0.15741460671285415"/>
    <n v="2.5091963074793018"/>
    <n v="457.35532964786933"/>
    <n v="371.05021471450902"/>
    <x v="4"/>
  </r>
  <r>
    <s v="SALE1316"/>
    <d v="2024-09-29T00:00:00"/>
    <s v="CUST1165"/>
    <s v="PROD27"/>
    <s v="STORE0"/>
    <n v="2.50066597948019"/>
    <n v="474.95471499512303"/>
    <n v="0.155115502712387"/>
    <s v="Credit Card"/>
    <n v="1006.43063487446"/>
    <n v="222445.25018444724"/>
    <n v="230"/>
    <x v="290"/>
    <n v="0.15741798774814897"/>
    <n v="2.509208852079301"/>
    <n v="457.3294481988292"/>
    <n v="371.01028283794392"/>
    <x v="8"/>
  </r>
  <r>
    <s v="SALE1317"/>
    <d v="2024-05-01T00:00:00"/>
    <s v="CUST1210"/>
    <s v="PROD60"/>
    <s v="STORE16"/>
    <n v="2.5006910686801902"/>
    <n v="474.902952097043"/>
    <n v="0.155122264782977"/>
    <s v="COD"/>
    <n v="1006.32263841501"/>
    <n v="221438.8195495728"/>
    <n v="229"/>
    <x v="106"/>
    <n v="0.15742136878344376"/>
    <n v="2.5092213966792993"/>
    <n v="457.30356674978913"/>
    <n v="370.97035096137904"/>
    <x v="5"/>
  </r>
  <r>
    <s v="SALE1318"/>
    <d v="2024-07-07T00:00:00"/>
    <s v="CUST1417"/>
    <s v="PROD41"/>
    <s v="STORE9"/>
    <n v="2.50071615788019"/>
    <n v="474.85118919896303"/>
    <n v="0.155129026853566"/>
    <s v="COD"/>
    <n v="1006.21464195556"/>
    <n v="221438.8195495728"/>
    <n v="229"/>
    <x v="0"/>
    <n v="0.15742474981873861"/>
    <n v="2.5092339412792986"/>
    <n v="457.27768530074906"/>
    <n v="370.93041908481416"/>
    <x v="0"/>
  </r>
  <r>
    <s v="SALE1319"/>
    <d v="2024-11-14T00:00:00"/>
    <s v="CUST1108"/>
    <s v="PROD88"/>
    <s v="STORE1"/>
    <n v="2.50074124708018"/>
    <n v="474.799426300883"/>
    <n v="0.155135788924156"/>
    <s v="PayPal"/>
    <n v="1006.1066454961"/>
    <n v="221438.8195495728"/>
    <n v="229"/>
    <x v="291"/>
    <n v="0.15742813085403337"/>
    <n v="2.5092464858792973"/>
    <n v="457.25180385170898"/>
    <n v="370.89048720824684"/>
    <x v="3"/>
  </r>
  <r>
    <s v="SALE1320"/>
    <d v="2025-04-16T00:00:00"/>
    <s v="CUST1102"/>
    <s v="PROD98"/>
    <s v="STORE11"/>
    <n v="2.5007663362801802"/>
    <n v="474.74766340280303"/>
    <n v="0.155142550994745"/>
    <s v="COD"/>
    <n v="1005.99864903665"/>
    <n v="221438.8195495728"/>
    <n v="229"/>
    <x v="171"/>
    <n v="0.15743151188932819"/>
    <n v="2.5092590304792957"/>
    <n v="457.22592240266891"/>
    <n v="370.85055533168202"/>
    <x v="10"/>
  </r>
  <r>
    <s v="SALE1321"/>
    <d v="2025-07-18T00:00:00"/>
    <s v="CUST1360"/>
    <s v="PROD73"/>
    <s v="STORE2"/>
    <n v="2.50079142548018"/>
    <n v="474.695900504723"/>
    <n v="0.155149313065335"/>
    <s v="COD"/>
    <n v="1005.8906525771999"/>
    <n v="221438.8195495728"/>
    <n v="229"/>
    <x v="241"/>
    <n v="0.15743489292462301"/>
    <n v="2.5092715750792944"/>
    <n v="457.20004095362884"/>
    <n v="370.81062345511714"/>
    <x v="0"/>
  </r>
  <r>
    <s v="SALE1322"/>
    <d v="2025-02-24T00:00:00"/>
    <s v="CUST1334"/>
    <s v="PROD46"/>
    <s v="STORE2"/>
    <n v="2.5008165146801802"/>
    <n v="474.644137606642"/>
    <n v="0.155156075135925"/>
    <s v="Credit Card"/>
    <n v="1005.78265611775"/>
    <n v="221438.8195495728"/>
    <n v="229"/>
    <x v="292"/>
    <n v="0.1574382739599178"/>
    <n v="2.5092841196792932"/>
    <n v="457.17415950458877"/>
    <n v="370.77069157855203"/>
    <x v="6"/>
  </r>
  <r>
    <s v="SALE1323"/>
    <d v="2025-03-07T00:00:00"/>
    <s v="CUST1216"/>
    <s v="PROD35"/>
    <s v="STORE18"/>
    <n v="2.5008416038801702"/>
    <n v="474.59237470856198"/>
    <n v="0.155162837206514"/>
    <s v="COD"/>
    <n v="1005.6746596583"/>
    <n v="220433.03689345505"/>
    <n v="228"/>
    <x v="122"/>
    <n v="0.15744165499521259"/>
    <n v="2.509296664279292"/>
    <n v="457.14827805554859"/>
    <n v="370.73075970198715"/>
    <x v="9"/>
  </r>
  <r>
    <s v="SALE1324"/>
    <d v="2025-02-18T00:00:00"/>
    <s v="CUST1077"/>
    <s v="PROD21"/>
    <s v="STORE19"/>
    <n v="2.50086669308017"/>
    <n v="474.54061181048201"/>
    <n v="0.155169599277104"/>
    <s v="PayPal"/>
    <n v="1005.56666319884"/>
    <n v="220433.03689345505"/>
    <n v="228"/>
    <x v="52"/>
    <n v="0.15744503603050744"/>
    <n v="2.5093092088792908"/>
    <n v="457.12239660650857"/>
    <n v="370.69082782541983"/>
    <x v="6"/>
  </r>
  <r>
    <s v="SALE1325"/>
    <d v="2024-06-26T00:00:00"/>
    <s v="CUST1370"/>
    <s v="PROD37"/>
    <s v="STORE16"/>
    <n v="2.5008917822801702"/>
    <n v="474.48884891240198"/>
    <n v="0.155176361347693"/>
    <s v="COD"/>
    <n v="1005.45866673939"/>
    <n v="220433.03689345505"/>
    <n v="228"/>
    <x v="293"/>
    <n v="0.15744841706580223"/>
    <n v="2.5093217534792891"/>
    <n v="457.0965151574685"/>
    <n v="370.65089594885495"/>
    <x v="2"/>
  </r>
  <r>
    <s v="SALE1326"/>
    <d v="2025-02-23T00:00:00"/>
    <s v="CUST1085"/>
    <s v="PROD84"/>
    <s v="STORE4"/>
    <n v="2.5009168714801699"/>
    <n v="474.43708601432201"/>
    <n v="0.155183123418283"/>
    <s v="Credit Card"/>
    <n v="1005.35067027994"/>
    <n v="220433.03689345505"/>
    <n v="228"/>
    <x v="294"/>
    <n v="0.15745179810109705"/>
    <n v="2.5093342980792879"/>
    <n v="457.07063370842843"/>
    <n v="370.61096407229013"/>
    <x v="6"/>
  </r>
  <r>
    <s v="SALE1327"/>
    <d v="2025-06-15T00:00:00"/>
    <s v="CUST1471"/>
    <s v="PROD93"/>
    <s v="STORE12"/>
    <n v="2.5009419606801599"/>
    <n v="474.38532311624198"/>
    <n v="0.155189885488873"/>
    <s v="COD"/>
    <n v="1005.24267382049"/>
    <n v="219427.68622317511"/>
    <n v="227"/>
    <x v="260"/>
    <n v="0.15745517913639184"/>
    <n v="2.5093468426792866"/>
    <n v="457.0447522593883"/>
    <n v="370.57103219572525"/>
    <x v="2"/>
  </r>
  <r>
    <s v="SALE1328"/>
    <d v="2023-10-18T00:00:00"/>
    <s v="CUST1448"/>
    <s v="PROD65"/>
    <s v="STORE3"/>
    <n v="2.5009670498801602"/>
    <n v="474.33356021816098"/>
    <n v="0.155196647559462"/>
    <s v="PayPal"/>
    <n v="1005.13467736104"/>
    <n v="219427.68622317511"/>
    <n v="227"/>
    <x v="30"/>
    <n v="0.15745856017168663"/>
    <n v="2.5093593872792854"/>
    <n v="457.01887081034818"/>
    <n v="370.53110031916015"/>
    <x v="11"/>
  </r>
  <r>
    <s v="SALE1329"/>
    <d v="2025-03-17T00:00:00"/>
    <s v="CUST1099"/>
    <s v="PROD22"/>
    <s v="STORE18"/>
    <n v="2.5009921390801599"/>
    <n v="474.28179732008101"/>
    <n v="0.155203409630052"/>
    <s v="Credit Card"/>
    <n v="1005.02668090159"/>
    <n v="219427.68622317511"/>
    <n v="227"/>
    <x v="295"/>
    <n v="0.15746194120698148"/>
    <n v="2.5093719318792842"/>
    <n v="456.9929893613081"/>
    <n v="370.49116844259532"/>
    <x v="9"/>
  </r>
  <r>
    <s v="SALE1330"/>
    <d v="2024-08-16T00:00:00"/>
    <s v="CUST1231"/>
    <s v="PROD90"/>
    <s v="STORE13"/>
    <n v="2.5010172282801499"/>
    <n v="474.23003442200098"/>
    <n v="0.155210171700641"/>
    <s v="COD"/>
    <n v="1004.91868444213"/>
    <n v="218422.65954227353"/>
    <n v="226"/>
    <x v="296"/>
    <n v="0.15746532224227627"/>
    <n v="2.5093844764792825"/>
    <n v="456.96710791226803"/>
    <n v="370.45123656602794"/>
    <x v="7"/>
  </r>
  <r>
    <s v="SALE1331"/>
    <d v="2024-03-22T00:00:00"/>
    <s v="CUST1037"/>
    <s v="PROD94"/>
    <s v="STORE13"/>
    <n v="2.5010423174801502"/>
    <n v="474.17827152392101"/>
    <n v="0.155216933771231"/>
    <s v="Credit Card"/>
    <n v="1004.81068798268"/>
    <n v="218422.65954227353"/>
    <n v="226"/>
    <x v="297"/>
    <n v="0.15746870327757109"/>
    <n v="2.5093970210792813"/>
    <n v="456.94122646322796"/>
    <n v="370.41130468946307"/>
    <x v="9"/>
  </r>
  <r>
    <s v="SALE1332"/>
    <d v="2025-01-31T00:00:00"/>
    <s v="CUST1161"/>
    <s v="PROD97"/>
    <s v="STORE19"/>
    <n v="2.5010674066801499"/>
    <n v="474.12650862584098"/>
    <n v="0.155223695841821"/>
    <s v="COD"/>
    <n v="1004.70269152323"/>
    <n v="217417.84885429082"/>
    <n v="225"/>
    <x v="298"/>
    <n v="0.15747208431286591"/>
    <n v="2.5094095656792801"/>
    <n v="456.91534501418789"/>
    <n v="370.37137281289824"/>
    <x v="4"/>
  </r>
  <r>
    <s v="SALE1333"/>
    <d v="2023-12-16T00:00:00"/>
    <s v="CUST1469"/>
    <s v="PROD45"/>
    <s v="STORE15"/>
    <n v="2.5010924958801501"/>
    <n v="474.07474572776101"/>
    <n v="0.15523045791241"/>
    <s v="COD"/>
    <n v="1004.59469506378"/>
    <n v="217417.84885429082"/>
    <n v="225"/>
    <x v="149"/>
    <n v="0.15747546534816068"/>
    <n v="2.5094221102792784"/>
    <n v="456.88946356514771"/>
    <n v="370.33144093633337"/>
    <x v="1"/>
  </r>
  <r>
    <s v="SALE1334"/>
    <d v="2025-04-09T00:00:00"/>
    <s v="CUST1044"/>
    <s v="PROD9"/>
    <s v="STORE12"/>
    <n v="2.5011175850801401"/>
    <n v="474.02298282968098"/>
    <n v="0.155237219983"/>
    <s v="PayPal"/>
    <n v="1004.4866986043299"/>
    <n v="217417.84885429082"/>
    <n v="225"/>
    <x v="131"/>
    <n v="0.1574788463834555"/>
    <n v="2.5094346548792767"/>
    <n v="456.86358211610769"/>
    <n v="370.29150905976849"/>
    <x v="10"/>
  </r>
  <r>
    <s v="SALE1335"/>
    <d v="2024-01-18T00:00:00"/>
    <s v="CUST1120"/>
    <s v="PROD73"/>
    <s v="STORE4"/>
    <n v="2.5011426742801399"/>
    <n v="473.97121993159999"/>
    <n v="0.15524398205359"/>
    <s v="PayPal"/>
    <n v="1004.37870214488"/>
    <n v="217417.84885429082"/>
    <n v="225"/>
    <x v="273"/>
    <n v="0.15748222741875029"/>
    <n v="2.509447199479276"/>
    <n v="456.83770066706757"/>
    <n v="370.25157718320344"/>
    <x v="4"/>
  </r>
  <r>
    <s v="SALE1336"/>
    <d v="2025-03-28T00:00:00"/>
    <s v="CUST1455"/>
    <s v="PROD83"/>
    <s v="STORE10"/>
    <n v="2.5011677634801401"/>
    <n v="473.91945703352002"/>
    <n v="0.155250744124179"/>
    <s v="PayPal"/>
    <n v="1004.27070568542"/>
    <n v="217417.84885429082"/>
    <n v="225"/>
    <x v="299"/>
    <n v="0.15748560845404511"/>
    <n v="2.5094597440792743"/>
    <n v="456.81181921802755"/>
    <n v="370.21164530663611"/>
    <x v="9"/>
  </r>
  <r>
    <s v="SALE1337"/>
    <d v="2024-08-31T00:00:00"/>
    <s v="CUST1125"/>
    <s v="PROD7"/>
    <s v="STORE18"/>
    <n v="2.5011928526801399"/>
    <n v="473.86769413543999"/>
    <n v="0.155257506194769"/>
    <s v="COD"/>
    <n v="1004.16270922597"/>
    <n v="217417.84885429082"/>
    <n v="225"/>
    <x v="300"/>
    <n v="0.15748898948933987"/>
    <n v="2.5094722886792731"/>
    <n v="456.78593776898737"/>
    <n v="370.17171343007124"/>
    <x v="7"/>
  </r>
  <r>
    <s v="SALE1338"/>
    <d v="2023-11-10T00:00:00"/>
    <s v="CUST1239"/>
    <s v="PROD78"/>
    <s v="STORE1"/>
    <n v="2.5012179418801299"/>
    <n v="473.81593123736002"/>
    <n v="0.155264268265358"/>
    <s v="COD"/>
    <n v="1004.05471276652"/>
    <n v="217417.84885429082"/>
    <n v="225"/>
    <x v="269"/>
    <n v="0.15749237052463472"/>
    <n v="2.5094848332792714"/>
    <n v="456.7600563199473"/>
    <n v="370.13178155350636"/>
    <x v="3"/>
  </r>
  <r>
    <s v="SALE1339"/>
    <d v="2023-12-15T00:00:00"/>
    <s v="CUST1096"/>
    <s v="PROD4"/>
    <s v="STORE19"/>
    <n v="2.5012430310801301"/>
    <n v="473.76416833927999"/>
    <n v="0.155271030335948"/>
    <s v="Credit Card"/>
    <n v="1003.94671630707"/>
    <n v="217417.84885429082"/>
    <n v="225"/>
    <x v="301"/>
    <n v="0.15749575155992951"/>
    <n v="2.5094973778792702"/>
    <n v="456.73417487090717"/>
    <n v="370.09184967694154"/>
    <x v="1"/>
  </r>
  <r>
    <s v="SALE1340"/>
    <d v="2024-05-15T00:00:00"/>
    <s v="CUST1075"/>
    <s v="PROD89"/>
    <s v="STORE10"/>
    <n v="2.5012681202801299"/>
    <n v="473.71240544120002"/>
    <n v="0.155277792406538"/>
    <s v="COD"/>
    <n v="1003.83871984762"/>
    <n v="216413.90213798374"/>
    <n v="224"/>
    <x v="80"/>
    <n v="0.15749913259522433"/>
    <n v="2.509509922479269"/>
    <n v="456.70829342186704"/>
    <n v="370.05191780037671"/>
    <x v="5"/>
  </r>
  <r>
    <s v="SALE1341"/>
    <d v="2024-01-31T00:00:00"/>
    <s v="CUST1208"/>
    <s v="PROD34"/>
    <s v="STORE4"/>
    <n v="2.5012932094801301"/>
    <n v="473.66064254311902"/>
    <n v="0.155284554477127"/>
    <s v="COD"/>
    <n v="1003.73072338817"/>
    <n v="216413.90213798374"/>
    <n v="224"/>
    <x v="302"/>
    <n v="0.15750251363051912"/>
    <n v="2.5095224670792677"/>
    <n v="456.68241197282703"/>
    <n v="370.01198592381155"/>
    <x v="4"/>
  </r>
  <r>
    <s v="SALE1342"/>
    <d v="2023-12-06T00:00:00"/>
    <s v="CUST1334"/>
    <s v="PROD76"/>
    <s v="STORE6"/>
    <n v="2.5013182986801201"/>
    <n v="473.608879645039"/>
    <n v="0.155291316547717"/>
    <s v="Credit Card"/>
    <n v="1003.62272692871"/>
    <n v="216413.90213798374"/>
    <n v="224"/>
    <x v="303"/>
    <n v="0.15750589466581394"/>
    <n v="2.509535011679267"/>
    <n v="456.65653052378678"/>
    <n v="369.97205404724423"/>
    <x v="1"/>
  </r>
  <r>
    <s v="SALE1343"/>
    <d v="2024-01-11T00:00:00"/>
    <s v="CUST1483"/>
    <s v="PROD9"/>
    <s v="STORE15"/>
    <n v="2.5013433878801199"/>
    <n v="473.55711674695903"/>
    <n v="0.155298078618306"/>
    <s v="COD"/>
    <n v="1003.51473046926"/>
    <n v="215410.27941105506"/>
    <n v="223"/>
    <x v="29"/>
    <n v="0.1575092757011087"/>
    <n v="2.5095475562792657"/>
    <n v="456.63064907474688"/>
    <n v="369.93212217067935"/>
    <x v="4"/>
  </r>
  <r>
    <s v="SALE1344"/>
    <d v="2025-09-07T00:00:00"/>
    <s v="CUST1211"/>
    <s v="PROD38"/>
    <s v="STORE6"/>
    <n v="2.5013684770801201"/>
    <n v="473.505353848879"/>
    <n v="0.155304840688896"/>
    <s v="COD"/>
    <n v="1003.40673400981"/>
    <n v="215410.27941105506"/>
    <n v="223"/>
    <x v="96"/>
    <n v="0.15751265673640352"/>
    <n v="2.5095601008792641"/>
    <n v="456.60476762570681"/>
    <n v="369.89219029411447"/>
    <x v="8"/>
  </r>
  <r>
    <s v="SALE1345"/>
    <d v="2024-05-21T00:00:00"/>
    <s v="CUST1420"/>
    <s v="PROD69"/>
    <s v="STORE16"/>
    <n v="2.5013935662801199"/>
    <n v="473.45359095079903"/>
    <n v="0.15531160275948599"/>
    <s v="PayPal"/>
    <n v="1003.29873755036"/>
    <n v="215410.27941105506"/>
    <n v="223"/>
    <x v="138"/>
    <n v="0.15751603777169831"/>
    <n v="2.5095726454792633"/>
    <n v="456.57888617666674"/>
    <n v="369.85225841754965"/>
    <x v="5"/>
  </r>
  <r>
    <s v="SALE1346"/>
    <d v="2025-08-23T00:00:00"/>
    <s v="CUST1066"/>
    <s v="PROD80"/>
    <s v="STORE10"/>
    <n v="2.5014186554801099"/>
    <n v="473.401828052719"/>
    <n v="0.155318364830075"/>
    <s v="COD"/>
    <n v="1003.19074109091"/>
    <n v="215410.27941105506"/>
    <n v="223"/>
    <x v="304"/>
    <n v="0.15751941880699316"/>
    <n v="2.5095851900792616"/>
    <n v="456.55300472762656"/>
    <n v="369.81232654098483"/>
    <x v="7"/>
  </r>
  <r>
    <s v="SALE1347"/>
    <d v="2025-05-03T00:00:00"/>
    <s v="CUST1000"/>
    <s v="PROD63"/>
    <s v="STORE16"/>
    <n v="2.5014437446801101"/>
    <n v="473.350065154638"/>
    <n v="0.15532512690066499"/>
    <s v="PayPal"/>
    <n v="1003.0827446314599"/>
    <n v="215410.27941105506"/>
    <n v="223"/>
    <x v="208"/>
    <n v="0.15752279984228792"/>
    <n v="2.5095977346792604"/>
    <n v="456.52712327858649"/>
    <n v="369.77239466441966"/>
    <x v="5"/>
  </r>
  <r>
    <s v="SALE1348"/>
    <d v="2023-11-03T00:00:00"/>
    <s v="CUST1347"/>
    <s v="PROD37"/>
    <s v="STORE7"/>
    <n v="2.5014688338801099"/>
    <n v="473.29830225655797"/>
    <n v="0.155331888971254"/>
    <s v="PayPal"/>
    <n v="1002.974748172"/>
    <n v="215410.27941105506"/>
    <n v="223"/>
    <x v="305"/>
    <n v="0.15752618087758274"/>
    <n v="2.5096102792792592"/>
    <n v="456.50124182954636"/>
    <n v="369.73246278785234"/>
    <x v="3"/>
  </r>
  <r>
    <s v="SALE1349"/>
    <d v="2025-03-26T00:00:00"/>
    <s v="CUST1089"/>
    <s v="PROD57"/>
    <s v="STORE3"/>
    <n v="2.5014939230800999"/>
    <n v="473.246539358478"/>
    <n v="0.15533865104184399"/>
    <s v="PayPal"/>
    <n v="1002.86675171255"/>
    <n v="215410.27941105506"/>
    <n v="223"/>
    <x v="177"/>
    <n v="0.15752956191287754"/>
    <n v="2.5096228238792579"/>
    <n v="456.47536038050629"/>
    <n v="369.69253091128746"/>
    <x v="9"/>
  </r>
  <r>
    <s v="SALE1350"/>
    <d v="2024-07-05T00:00:00"/>
    <s v="CUST1141"/>
    <s v="PROD93"/>
    <s v="STORE13"/>
    <n v="2.5015190122801001"/>
    <n v="473.19477646039797"/>
    <n v="0.15534541311243399"/>
    <s v="PayPal"/>
    <n v="1002.7587552531"/>
    <n v="215410.27941105506"/>
    <n v="223"/>
    <x v="270"/>
    <n v="0.15753294294817236"/>
    <n v="2.5096353684792563"/>
    <n v="456.44947893146622"/>
    <n v="369.65259903472264"/>
    <x v="0"/>
  </r>
  <r>
    <s v="SALE1351"/>
    <d v="2025-05-12T00:00:00"/>
    <s v="CUST1153"/>
    <s v="PROD78"/>
    <s v="STORE6"/>
    <n v="2.5015441014800999"/>
    <n v="473.143013562318"/>
    <n v="0.15535217518302299"/>
    <s v="COD"/>
    <n v="1002.65075879365"/>
    <n v="215410.27941105506"/>
    <n v="223"/>
    <x v="306"/>
    <n v="0.15753632398346717"/>
    <n v="2.5096479130792555"/>
    <n v="456.4235974824262"/>
    <n v="369.61266715815776"/>
    <x v="5"/>
  </r>
  <r>
    <s v="SALE1352"/>
    <d v="2024-09-26T00:00:00"/>
    <s v="CUST1472"/>
    <s v="PROD43"/>
    <s v="STORE8"/>
    <n v="2.5015691906801001"/>
    <n v="473.09125066423798"/>
    <n v="0.15535893725361299"/>
    <s v="Credit Card"/>
    <n v="1002.5427623342"/>
    <n v="215410.27941105506"/>
    <n v="223"/>
    <x v="307"/>
    <n v="0.15753970501876197"/>
    <n v="2.5096604576792543"/>
    <n v="456.39771603338608"/>
    <n v="369.57273528159294"/>
    <x v="8"/>
  </r>
  <r>
    <s v="SALE1353"/>
    <d v="2024-03-27T00:00:00"/>
    <s v="CUST1203"/>
    <s v="PROD94"/>
    <s v="STORE19"/>
    <n v="2.5015942798800901"/>
    <n v="473.039487766158"/>
    <n v="0.15536569932420299"/>
    <s v="COD"/>
    <n v="1002.43476587474"/>
    <n v="214407.73664872083"/>
    <n v="222"/>
    <x v="38"/>
    <n v="0.15754308605405676"/>
    <n v="2.5096730022792531"/>
    <n v="456.37183458434612"/>
    <n v="369.53280340502556"/>
    <x v="9"/>
  </r>
  <r>
    <s v="SALE1354"/>
    <d v="2024-01-17T00:00:00"/>
    <s v="CUST1213"/>
    <s v="PROD21"/>
    <s v="STORE0"/>
    <n v="2.5016193690800899"/>
    <n v="472.98772486807701"/>
    <n v="0.15537246139479199"/>
    <s v="Credit Card"/>
    <n v="1002.32676941529"/>
    <n v="214407.73664872083"/>
    <n v="222"/>
    <x v="238"/>
    <n v="0.15754646708935158"/>
    <n v="2.5096855468792514"/>
    <n v="456.34595313530605"/>
    <n v="369.49287152846046"/>
    <x v="4"/>
  </r>
  <r>
    <s v="SALE1355"/>
    <d v="2024-04-25T00:00:00"/>
    <s v="CUST1015"/>
    <s v="PROD18"/>
    <s v="STORE14"/>
    <n v="2.5016444582800901"/>
    <n v="472.93596196999698"/>
    <n v="0.15537922346538199"/>
    <s v="PayPal"/>
    <n v="1002.21877295584"/>
    <n v="213405.4098793056"/>
    <n v="221"/>
    <x v="266"/>
    <n v="0.15754984812464637"/>
    <n v="2.5096980914792502"/>
    <n v="456.32007168626598"/>
    <n v="369.45293965189563"/>
    <x v="10"/>
  </r>
  <r>
    <s v="SALE1356"/>
    <d v="2025-09-29T00:00:00"/>
    <s v="CUST1168"/>
    <s v="PROD21"/>
    <s v="STORE13"/>
    <n v="2.5016695474800899"/>
    <n v="472.88419907191701"/>
    <n v="0.15538598553597099"/>
    <s v="Credit Card"/>
    <n v="1002.11077649639"/>
    <n v="213405.4098793056"/>
    <n v="221"/>
    <x v="308"/>
    <n v="0.15755322915994119"/>
    <n v="2.5097106360792489"/>
    <n v="456.29419023722591"/>
    <n v="369.41300777533081"/>
    <x v="8"/>
  </r>
  <r>
    <s v="SALE1357"/>
    <d v="2025-07-06T00:00:00"/>
    <s v="CUST1206"/>
    <s v="PROD94"/>
    <s v="STORE12"/>
    <n v="2.5016946366800799"/>
    <n v="472.83243617383698"/>
    <n v="0.15539274760656099"/>
    <s v="PayPal"/>
    <n v="1002.00278003694"/>
    <n v="212403.29910280919"/>
    <n v="220"/>
    <x v="309"/>
    <n v="0.15755661019523595"/>
    <n v="2.5097231806792477"/>
    <n v="456.26830878818583"/>
    <n v="369.37307589876593"/>
    <x v="0"/>
  </r>
  <r>
    <s v="SALE1358"/>
    <d v="2024-10-14T00:00:00"/>
    <s v="CUST1037"/>
    <s v="PROD6"/>
    <s v="STORE16"/>
    <n v="2.5017197258800801"/>
    <n v="472.78067327575701"/>
    <n v="0.15539950967715099"/>
    <s v="PayPal"/>
    <n v="1001.89478357749"/>
    <n v="212403.29910280919"/>
    <n v="220"/>
    <x v="140"/>
    <n v="0.15755999123053077"/>
    <n v="2.5097357252792465"/>
    <n v="456.24242733914571"/>
    <n v="369.33314402220105"/>
    <x v="11"/>
  </r>
  <r>
    <s v="SALE1359"/>
    <d v="2023-10-28T00:00:00"/>
    <s v="CUST1095"/>
    <s v="PROD19"/>
    <s v="STORE16"/>
    <n v="2.5017448150800798"/>
    <n v="472.72891037767698"/>
    <n v="0.15540627174773999"/>
    <s v="PayPal"/>
    <n v="1001.78678711803"/>
    <n v="212403.29910280919"/>
    <n v="220"/>
    <x v="174"/>
    <n v="0.15756337226582556"/>
    <n v="2.5097482698792448"/>
    <n v="456.21654589010564"/>
    <n v="369.29321214563367"/>
    <x v="11"/>
  </r>
  <r>
    <s v="SALE1360"/>
    <d v="2024-03-29T00:00:00"/>
    <s v="CUST1348"/>
    <s v="PROD57"/>
    <s v="STORE13"/>
    <n v="2.5017699042800801"/>
    <n v="472.67714747959599"/>
    <n v="0.15541303381832999"/>
    <s v="Credit Card"/>
    <n v="1001.6787906585801"/>
    <n v="212403.29910280919"/>
    <n v="220"/>
    <x v="264"/>
    <n v="0.15756675330112041"/>
    <n v="2.5097608144792436"/>
    <n v="456.19066444106556"/>
    <n v="369.25328026906863"/>
    <x v="9"/>
  </r>
  <r>
    <s v="SALE1361"/>
    <d v="2025-06-09T00:00:00"/>
    <s v="CUST1296"/>
    <s v="PROD14"/>
    <s v="STORE10"/>
    <n v="2.5017949934800701"/>
    <n v="472.62538458151602"/>
    <n v="0.15541979588891899"/>
    <s v="COD"/>
    <n v="1001.57079419913"/>
    <n v="211401.6203121506"/>
    <n v="219"/>
    <x v="310"/>
    <n v="0.15757013433641523"/>
    <n v="2.5097733590792424"/>
    <n v="456.16478299202549"/>
    <n v="369.21334839250375"/>
    <x v="2"/>
  </r>
  <r>
    <s v="SALE1362"/>
    <d v="2024-10-11T00:00:00"/>
    <s v="CUST1201"/>
    <s v="PROD71"/>
    <s v="STORE12"/>
    <n v="2.5018200826800698"/>
    <n v="472.57362168343599"/>
    <n v="0.15542655795950899"/>
    <s v="COD"/>
    <n v="1001.46279773968"/>
    <n v="211401.6203121506"/>
    <n v="219"/>
    <x v="311"/>
    <n v="0.15757351537170999"/>
    <n v="2.5097859036792411"/>
    <n v="456.13890154298548"/>
    <n v="369.17341651593892"/>
    <x v="11"/>
  </r>
  <r>
    <s v="SALE1363"/>
    <d v="2024-07-22T00:00:00"/>
    <s v="CUST1379"/>
    <s v="PROD20"/>
    <s v="STORE0"/>
    <n v="2.5018451718800701"/>
    <n v="472.52185878535602"/>
    <n v="0.15543332003009899"/>
    <s v="COD"/>
    <n v="1001.35480128023"/>
    <n v="211401.6203121506"/>
    <n v="219"/>
    <x v="123"/>
    <n v="0.15757689640700484"/>
    <n v="2.5097984482792395"/>
    <n v="456.11302009394547"/>
    <n v="369.13348463937405"/>
    <x v="0"/>
  </r>
  <r>
    <s v="SALE1364"/>
    <d v="2024-12-02T00:00:00"/>
    <s v="CUST1476"/>
    <s v="PROD75"/>
    <s v="STORE16"/>
    <n v="2.5018702610800698"/>
    <n v="472.47009588727599"/>
    <n v="0.15544008210068799"/>
    <s v="COD"/>
    <n v="1001.24680482078"/>
    <n v="211401.6203121506"/>
    <n v="219"/>
    <x v="312"/>
    <n v="0.1575802774422996"/>
    <n v="2.5098109928792378"/>
    <n v="456.08713864490528"/>
    <n v="369.09355276280917"/>
    <x v="1"/>
  </r>
  <r>
    <s v="SALE1365"/>
    <d v="2023-11-14T00:00:00"/>
    <s v="CUST1050"/>
    <s v="PROD99"/>
    <s v="STORE2"/>
    <n v="2.5018953502800598"/>
    <n v="472.41833298919602"/>
    <n v="0.15544684417127799"/>
    <s v="COD"/>
    <n v="1001.13880836132"/>
    <n v="211401.6203121506"/>
    <n v="219"/>
    <x v="313"/>
    <n v="0.15758365847759442"/>
    <n v="2.5098235374792366"/>
    <n v="456.06125719586521"/>
    <n v="369.05362088624184"/>
    <x v="3"/>
  </r>
  <r>
    <s v="SALE1366"/>
    <d v="2024-02-14T00:00:00"/>
    <s v="CUST1413"/>
    <s v="PROD70"/>
    <s v="STORE14"/>
    <n v="2.50192043948006"/>
    <n v="472.36657009111502"/>
    <n v="0.15545360624186699"/>
    <s v="PayPal"/>
    <n v="1001.03081190187"/>
    <n v="211401.6203121506"/>
    <n v="219"/>
    <x v="314"/>
    <n v="0.15758703951288922"/>
    <n v="2.5098360820792354"/>
    <n v="456.03537574682514"/>
    <n v="369.01368900967674"/>
    <x v="6"/>
  </r>
  <r>
    <s v="SALE1367"/>
    <d v="2024-06-22T00:00:00"/>
    <s v="CUST1039"/>
    <s v="PROD74"/>
    <s v="STORE3"/>
    <n v="2.5019455286800598"/>
    <n v="472.31480719303499"/>
    <n v="0.15546036831245699"/>
    <s v="PayPal"/>
    <n v="1000.92281544242"/>
    <n v="211401.6203121506"/>
    <n v="219"/>
    <x v="180"/>
    <n v="0.15759042054818401"/>
    <n v="2.5098486266792337"/>
    <n v="456.00949429778507"/>
    <n v="368.97375713311186"/>
    <x v="2"/>
  </r>
  <r>
    <s v="SALE1368"/>
    <d v="2025-06-29T00:00:00"/>
    <s v="CUST1327"/>
    <s v="PROD15"/>
    <s v="STORE16"/>
    <n v="2.50197061788006"/>
    <n v="472.26304429495502"/>
    <n v="0.15546713038304699"/>
    <s v="Credit Card"/>
    <n v="1000.81481898297"/>
    <n v="211401.6203121506"/>
    <n v="219"/>
    <x v="315"/>
    <n v="0.15759380158347883"/>
    <n v="2.5098611712792325"/>
    <n v="455.98361284874505"/>
    <n v="368.93382525654704"/>
    <x v="2"/>
  </r>
  <r>
    <s v="SALE1369"/>
    <d v="2025-02-18T00:00:00"/>
    <s v="CUST1391"/>
    <s v="PROD29"/>
    <s v="STORE19"/>
    <n v="2.50199570708005"/>
    <n v="472.21128139687499"/>
    <n v="0.15547389245363599"/>
    <s v="Credit Card"/>
    <n v="1000.70682252352"/>
    <n v="210400.80549316763"/>
    <n v="218"/>
    <x v="52"/>
    <n v="0.15759718261877365"/>
    <n v="2.5098737158792312"/>
    <n v="455.95773139970493"/>
    <n v="368.89389337998216"/>
    <x v="6"/>
  </r>
  <r>
    <s v="SALE1370"/>
    <d v="2025-06-15T00:00:00"/>
    <s v="CUST1043"/>
    <s v="PROD39"/>
    <s v="STORE12"/>
    <n v="2.5020207962800498"/>
    <n v="472.15951849879502"/>
    <n v="0.15548065452422599"/>
    <s v="COD"/>
    <n v="1000.59882606407"/>
    <n v="209400.09867064413"/>
    <n v="217"/>
    <x v="260"/>
    <n v="0.15760056365406849"/>
    <n v="2.50988626047923"/>
    <n v="455.93184995066491"/>
    <n v="368.85396150341728"/>
    <x v="2"/>
  </r>
  <r>
    <s v="SALE1371"/>
    <d v="2024-08-14T00:00:00"/>
    <s v="CUST1479"/>
    <s v="PROD99"/>
    <s v="STORE17"/>
    <n v="2.50204588548005"/>
    <n v="472.107755600715"/>
    <n v="0.15548741659481499"/>
    <s v="PayPal"/>
    <n v="1000.49082960461"/>
    <n v="209400.09867064413"/>
    <n v="217"/>
    <x v="79"/>
    <n v="0.15760394468936326"/>
    <n v="2.5098988050792284"/>
    <n v="455.9059685016249"/>
    <n v="368.81402962684996"/>
    <x v="7"/>
  </r>
  <r>
    <s v="SALE1372"/>
    <d v="2025-07-25T00:00:00"/>
    <s v="CUST1185"/>
    <s v="PROD66"/>
    <s v="STORE9"/>
    <n v="2.50207097468004"/>
    <n v="472.055992702634"/>
    <n v="0.15549417866540499"/>
    <s v="Credit Card"/>
    <n v="1000.38283314516"/>
    <n v="209400.09867064413"/>
    <n v="217"/>
    <x v="198"/>
    <n v="0.15760732572465808"/>
    <n v="2.5099113496792271"/>
    <n v="455.88008705258483"/>
    <n v="368.77409775028485"/>
    <x v="0"/>
  </r>
  <r>
    <s v="SALE1373"/>
    <d v="2025-01-09T00:00:00"/>
    <s v="CUST1006"/>
    <s v="PROD93"/>
    <s v="STORE4"/>
    <n v="2.5020960638800398"/>
    <n v="472.00422980455397"/>
    <n v="0.15550094073599499"/>
    <s v="Credit Card"/>
    <n v="1000.2748366857101"/>
    <n v="208399.71583749898"/>
    <n v="216"/>
    <x v="193"/>
    <n v="0.1576107067599529"/>
    <n v="2.5099238942792259"/>
    <n v="455.85420560354481"/>
    <n v="368.73416587372003"/>
    <x v="4"/>
  </r>
  <r>
    <s v="SALE1374"/>
    <d v="2025-06-05T00:00:00"/>
    <s v="CUST1047"/>
    <s v="PROD70"/>
    <s v="STORE14"/>
    <n v="2.50212115308004"/>
    <n v="471.952466906474"/>
    <n v="0.15550770280658399"/>
    <s v="COD"/>
    <n v="1000.16684022626"/>
    <n v="207399.44100081324"/>
    <n v="215"/>
    <x v="249"/>
    <n v="0.15761408779524766"/>
    <n v="2.5099364388792247"/>
    <n v="455.82832415450468"/>
    <n v="368.69423399715515"/>
    <x v="2"/>
  </r>
  <r>
    <s v="SALE1375"/>
    <d v="2024-12-07T00:00:00"/>
    <s v="CUST1347"/>
    <s v="PROD38"/>
    <s v="STORE17"/>
    <n v="2.5021462422800398"/>
    <n v="471.90070400839397"/>
    <n v="0.15551446487717399"/>
    <s v="PayPal"/>
    <n v="1000.05884376681"/>
    <n v="207399.44100081324"/>
    <n v="215"/>
    <x v="56"/>
    <n v="0.15761746883054248"/>
    <n v="2.5099489834792235"/>
    <n v="455.80244270546456"/>
    <n v="368.65430212059027"/>
    <x v="1"/>
  </r>
  <r>
    <s v="SALE1376"/>
    <d v="2024-02-09T00:00:00"/>
    <s v="CUST1383"/>
    <s v="PROD58"/>
    <s v="STORE10"/>
    <n v="2.5021713314800298"/>
    <n v="471.848941110314"/>
    <n v="0.15552122694776399"/>
    <s v="PayPal"/>
    <n v="999.95084730735402"/>
    <n v="207399.44100081324"/>
    <n v="215"/>
    <x v="316"/>
    <n v="0.1576208498658373"/>
    <n v="2.5099615280792222"/>
    <n v="455.77656125642454"/>
    <n v="368.61437024402397"/>
    <x v="6"/>
  </r>
  <r>
    <s v="SALE1377"/>
    <d v="2025-10-12T00:00:00"/>
    <s v="CUST1398"/>
    <s v="PROD62"/>
    <s v="STORE14"/>
    <n v="2.50219642068003"/>
    <n v="471.79717821223397"/>
    <n v="0.15552798901835299"/>
    <s v="Credit Card"/>
    <n v="999.84285084790201"/>
    <n v="207399.44100081324"/>
    <n v="215"/>
    <x v="72"/>
    <n v="0.15762423090113209"/>
    <n v="2.5099740726792206"/>
    <n v="455.75067980738436"/>
    <n v="368.57443836745858"/>
    <x v="11"/>
  </r>
  <r>
    <s v="SALE1378"/>
    <d v="2025-06-16T00:00:00"/>
    <s v="CUST1417"/>
    <s v="PROD91"/>
    <s v="STORE19"/>
    <n v="2.5022215098800298"/>
    <n v="471.745415314154"/>
    <n v="0.15553475108894299"/>
    <s v="PayPal"/>
    <n v="999.73485438845103"/>
    <n v="206399.59814996534"/>
    <n v="214"/>
    <x v="317"/>
    <n v="0.15762761193642694"/>
    <n v="2.5099866172792198"/>
    <n v="455.72479835834434"/>
    <n v="368.53450649089348"/>
    <x v="2"/>
  </r>
  <r>
    <s v="SALE1379"/>
    <d v="2025-09-21T00:00:00"/>
    <s v="CUST1451"/>
    <s v="PROD40"/>
    <s v="STORE11"/>
    <n v="2.50224659908003"/>
    <n v="471.69365241607301"/>
    <n v="0.15554151315953199"/>
    <s v="PayPal"/>
    <n v="999.62685792899902"/>
    <n v="206399.59814996534"/>
    <n v="214"/>
    <x v="275"/>
    <n v="0.1576309929717217"/>
    <n v="2.5099991618792186"/>
    <n v="455.69891690930427"/>
    <n v="368.49457461432792"/>
    <x v="8"/>
  </r>
  <r>
    <s v="SALE1380"/>
    <d v="2025-09-09T00:00:00"/>
    <s v="CUST1041"/>
    <s v="PROD85"/>
    <s v="STORE6"/>
    <n v="2.50227168828002"/>
    <n v="471.64188951799298"/>
    <n v="0.15554827523012199"/>
    <s v="PayPal"/>
    <n v="999.51886146954701"/>
    <n v="206399.59814996534"/>
    <n v="214"/>
    <x v="318"/>
    <n v="0.15763437400701649"/>
    <n v="2.5100117064792169"/>
    <n v="455.6730354602642"/>
    <n v="368.45464273776253"/>
    <x v="8"/>
  </r>
  <r>
    <s v="SALE1381"/>
    <d v="2025-07-15T00:00:00"/>
    <s v="CUST1338"/>
    <s v="PROD13"/>
    <s v="STORE15"/>
    <n v="2.5022967774800202"/>
    <n v="471.59012661991301"/>
    <n v="0.15555503730071199"/>
    <s v="PayPal"/>
    <n v="999.41086501009602"/>
    <n v="206399.59814996534"/>
    <n v="214"/>
    <x v="319"/>
    <n v="0.15763775504231134"/>
    <n v="2.5100242510792157"/>
    <n v="455.64715401122419"/>
    <n v="368.41471086119742"/>
    <x v="0"/>
  </r>
  <r>
    <s v="SALE1382"/>
    <d v="2024-10-15T00:00:00"/>
    <s v="CUST1145"/>
    <s v="PROD69"/>
    <s v="STORE5"/>
    <n v="2.50232186668002"/>
    <n v="471.53836372183298"/>
    <n v="0.15556179937130099"/>
    <s v="PayPal"/>
    <n v="999.30286855064401"/>
    <n v="206399.59814996534"/>
    <n v="214"/>
    <x v="93"/>
    <n v="0.1576411360776061"/>
    <n v="2.5100367956792144"/>
    <n v="455.62127256218406"/>
    <n v="368.37477898463209"/>
    <x v="11"/>
  </r>
  <r>
    <s v="SALE1383"/>
    <d v="2023-10-21T00:00:00"/>
    <s v="CUST1037"/>
    <s v="PROD79"/>
    <s v="STORE13"/>
    <n v="2.5023469558800202"/>
    <n v="471.48660082375301"/>
    <n v="0.15556856144189099"/>
    <s v="COD"/>
    <n v="999.194872091192"/>
    <n v="206399.59814996534"/>
    <n v="214"/>
    <x v="320"/>
    <n v="0.15764451711290095"/>
    <n v="2.5100493402792132"/>
    <n v="455.59539111314393"/>
    <n v="368.3348471080667"/>
    <x v="11"/>
  </r>
  <r>
    <s v="SALE1384"/>
    <d v="2025-05-30T00:00:00"/>
    <s v="CUST1478"/>
    <s v="PROD87"/>
    <s v="STORE9"/>
    <n v="2.5023720450800102"/>
    <n v="471.43483792567298"/>
    <n v="0.15557532351247999"/>
    <s v="Credit Card"/>
    <n v="999.08687563173999"/>
    <n v="206399.59814996534"/>
    <n v="214"/>
    <x v="185"/>
    <n v="0.15764789814819577"/>
    <n v="2.510061884879212"/>
    <n v="455.56950966410392"/>
    <n v="368.29491523150136"/>
    <x v="5"/>
  </r>
  <r>
    <s v="SALE1385"/>
    <d v="2024-06-19T00:00:00"/>
    <s v="CUST1175"/>
    <s v="PROD0"/>
    <s v="STORE16"/>
    <n v="2.50239713428001"/>
    <n v="471.38307502759199"/>
    <n v="0.15558208558306999"/>
    <s v="COD"/>
    <n v="998.978879172289"/>
    <n v="205400.51127433358"/>
    <n v="213"/>
    <x v="55"/>
    <n v="0.15765127918349053"/>
    <n v="2.5100744294792108"/>
    <n v="455.54362821506385"/>
    <n v="368.25498335493603"/>
    <x v="2"/>
  </r>
  <r>
    <s v="SALE1386"/>
    <d v="2024-12-20T00:00:00"/>
    <s v="CUST1181"/>
    <s v="PROD63"/>
    <s v="STORE0"/>
    <n v="2.5024222234800102"/>
    <n v="471.33131212951201"/>
    <n v="0.15558884765365999"/>
    <s v="COD"/>
    <n v="998.87088271283699"/>
    <n v="205400.51127433358"/>
    <n v="213"/>
    <x v="175"/>
    <n v="0.15765466021878535"/>
    <n v="2.5100869740792096"/>
    <n v="455.51774676602366"/>
    <n v="368.21505147837064"/>
    <x v="1"/>
  </r>
  <r>
    <s v="SALE1387"/>
    <d v="2024-08-16T00:00:00"/>
    <s v="CUST1084"/>
    <s v="PROD51"/>
    <s v="STORE6"/>
    <n v="2.50244731268001"/>
    <n v="471.27954923143199"/>
    <n v="0.15559560972424899"/>
    <s v="COD"/>
    <n v="998.76288625338498"/>
    <n v="205400.51127433358"/>
    <n v="213"/>
    <x v="296"/>
    <n v="0.15765804125408017"/>
    <n v="2.5100995186792083"/>
    <n v="455.49186531698359"/>
    <n v="368.17511960180531"/>
    <x v="7"/>
  </r>
  <r>
    <s v="SALE1388"/>
    <d v="2025-03-15T00:00:00"/>
    <s v="CUST1183"/>
    <s v="PROD7"/>
    <s v="STORE4"/>
    <n v="2.50247240188"/>
    <n v="471.22778633335201"/>
    <n v="0.15560237179483899"/>
    <s v="Credit Card"/>
    <n v="998.65488979393297"/>
    <n v="205400.51127433358"/>
    <n v="213"/>
    <x v="201"/>
    <n v="0.15766142228937494"/>
    <n v="2.5101120632792067"/>
    <n v="455.46598386794346"/>
    <n v="368.13518772523997"/>
    <x v="9"/>
  </r>
  <r>
    <s v="SALE1389"/>
    <d v="2024-06-02T00:00:00"/>
    <s v="CUST1001"/>
    <s v="PROD51"/>
    <s v="STORE14"/>
    <n v="2.5024974910800002"/>
    <n v="471.17602343527199"/>
    <n v="0.15560913386542799"/>
    <s v="COD"/>
    <n v="998.54689333448198"/>
    <n v="204401.85638453966"/>
    <n v="212"/>
    <x v="181"/>
    <n v="0.15766480332466978"/>
    <n v="2.5101246078792059"/>
    <n v="455.44010241890345"/>
    <n v="368.09525584867487"/>
    <x v="2"/>
  </r>
  <r>
    <s v="SALE1390"/>
    <d v="2025-07-22T00:00:00"/>
    <s v="CUST1094"/>
    <s v="PROD67"/>
    <s v="STORE6"/>
    <n v="2.50252258028"/>
    <n v="471.12426053719201"/>
    <n v="0.15561589593601799"/>
    <s v="COD"/>
    <n v="998.43889687502997"/>
    <n v="204401.85638453966"/>
    <n v="212"/>
    <x v="321"/>
    <n v="0.15766818435996457"/>
    <n v="2.5101371524792047"/>
    <n v="455.41422096986344"/>
    <n v="368.05532397210948"/>
    <x v="0"/>
  </r>
  <r>
    <s v="SALE1391"/>
    <d v="2025-03-09T00:00:00"/>
    <s v="CUST1016"/>
    <s v="PROD41"/>
    <s v="STORE3"/>
    <n v="2.50254766947999"/>
    <n v="471.07249763911102"/>
    <n v="0.15562265800660799"/>
    <s v="PayPal"/>
    <n v="998.33090041557796"/>
    <n v="204401.85638453966"/>
    <n v="212"/>
    <x v="176"/>
    <n v="0.15767156539525937"/>
    <n v="2.5101496970792034"/>
    <n v="455.38833952082319"/>
    <n v="368.01539209554392"/>
    <x v="9"/>
  </r>
  <r>
    <s v="SALE1392"/>
    <d v="2025-02-11T00:00:00"/>
    <s v="CUST1114"/>
    <s v="PROD59"/>
    <s v="STORE2"/>
    <n v="2.5025727586799902"/>
    <n v="471.02073474103099"/>
    <n v="0.15562942007719699"/>
    <s v="Credit Card"/>
    <n v="998.22290395612595"/>
    <n v="204401.85638453966"/>
    <n v="212"/>
    <x v="322"/>
    <n v="0.15767494643055421"/>
    <n v="2.5101622416792018"/>
    <n v="455.36245807178312"/>
    <n v="367.97546021897853"/>
    <x v="6"/>
  </r>
  <r>
    <s v="SALE1393"/>
    <d v="2023-12-06T00:00:00"/>
    <s v="CUST1148"/>
    <s v="PROD5"/>
    <s v="STORE5"/>
    <n v="2.50259784787999"/>
    <n v="470.96897184295102"/>
    <n v="0.15563618214778699"/>
    <s v="Credit Card"/>
    <n v="998.11490749667496"/>
    <n v="203403.63348058352"/>
    <n v="211"/>
    <x v="303"/>
    <n v="0.15767832746584898"/>
    <n v="2.5101747862792005"/>
    <n v="455.33657662274311"/>
    <n v="367.93552834241342"/>
    <x v="1"/>
  </r>
  <r>
    <s v="SALE1394"/>
    <d v="2025-08-20T00:00:00"/>
    <s v="CUST1288"/>
    <s v="PROD3"/>
    <s v="STORE9"/>
    <n v="2.5026229370799902"/>
    <n v="470.91720894487099"/>
    <n v="0.15564294421837599"/>
    <s v="COD"/>
    <n v="998.00691103722295"/>
    <n v="202405.51857308685"/>
    <n v="210"/>
    <x v="69"/>
    <n v="0.15768170850114377"/>
    <n v="2.5101873308791989"/>
    <n v="455.31069517370304"/>
    <n v="367.89559646584809"/>
    <x v="7"/>
  </r>
  <r>
    <s v="SALE1395"/>
    <d v="2024-09-20T00:00:00"/>
    <s v="CUST1053"/>
    <s v="PROD37"/>
    <s v="STORE12"/>
    <n v="2.5026480262799802"/>
    <n v="470.86544604679102"/>
    <n v="0.15564970628896599"/>
    <s v="COD"/>
    <n v="997.89891457777105"/>
    <n v="202405.51857308685"/>
    <n v="210"/>
    <x v="224"/>
    <n v="0.15768508953643856"/>
    <n v="2.5101998754791977"/>
    <n v="455.28481372466308"/>
    <n v="367.85566458928275"/>
    <x v="8"/>
  </r>
  <r>
    <s v="SALE1396"/>
    <d v="2025-06-05T00:00:00"/>
    <s v="CUST1253"/>
    <s v="PROD40"/>
    <s v="STORE17"/>
    <n v="2.5026731154799799"/>
    <n v="470.81368314871099"/>
    <n v="0.15565646835955599"/>
    <s v="PayPal"/>
    <n v="997.79091811831995"/>
    <n v="202405.51857308685"/>
    <n v="210"/>
    <x v="249"/>
    <n v="0.15768847057173341"/>
    <n v="2.5102124200791964"/>
    <n v="455.25893227562284"/>
    <n v="367.81573271271759"/>
    <x v="2"/>
  </r>
  <r>
    <s v="SALE1397"/>
    <d v="2025-06-03T00:00:00"/>
    <s v="CUST1159"/>
    <s v="PROD69"/>
    <s v="STORE14"/>
    <n v="2.5026982046799802"/>
    <n v="470.76192025063"/>
    <n v="0.15566323043014499"/>
    <s v="PayPal"/>
    <n v="997.68292165886805"/>
    <n v="202405.51857308685"/>
    <n v="210"/>
    <x v="323"/>
    <n v="0.1576918516070282"/>
    <n v="2.5102249646791952"/>
    <n v="455.23305082658277"/>
    <n v="367.77580083615203"/>
    <x v="2"/>
  </r>
  <r>
    <s v="SALE1398"/>
    <d v="2025-01-13T00:00:00"/>
    <s v="CUST1098"/>
    <s v="PROD62"/>
    <s v="STORE5"/>
    <n v="2.5027232938799799"/>
    <n v="470.71015735255003"/>
    <n v="0.15566999250073499"/>
    <s v="Credit Card"/>
    <n v="997.57492519941604"/>
    <n v="202405.51857308685"/>
    <n v="210"/>
    <x v="161"/>
    <n v="0.15769523264232299"/>
    <n v="2.5102375092791935"/>
    <n v="455.20716937754264"/>
    <n v="367.7358689595867"/>
    <x v="4"/>
  </r>
  <r>
    <s v="SALE1399"/>
    <d v="2025-03-20T00:00:00"/>
    <s v="CUST1007"/>
    <s v="PROD85"/>
    <s v="STORE0"/>
    <n v="2.5027483830799699"/>
    <n v="470.65839445447"/>
    <n v="0.15567675457132499"/>
    <s v="Credit Card"/>
    <n v="997.46692873996403"/>
    <n v="201407.94364788744"/>
    <n v="209"/>
    <x v="324"/>
    <n v="0.15769861367761784"/>
    <n v="2.5102500538791919"/>
    <n v="455.18128792850274"/>
    <n v="367.69593708302136"/>
    <x v="9"/>
  </r>
  <r>
    <s v="SALE1400"/>
    <d v="2024-07-07T00:00:00"/>
    <s v="CUST1035"/>
    <s v="PROD79"/>
    <s v="STORE5"/>
    <n v="2.5027734722799702"/>
    <n v="470.60663155639003"/>
    <n v="0.15568351664191399"/>
    <s v="Credit Card"/>
    <n v="997.35893228051305"/>
    <n v="200410.47671914747"/>
    <n v="208"/>
    <x v="0"/>
    <n v="0.1577019947129126"/>
    <n v="2.5102625984791911"/>
    <n v="455.1554064794625"/>
    <n v="367.65600520645626"/>
    <x v="0"/>
  </r>
  <r>
    <s v="SALE1401"/>
    <d v="2025-09-29T00:00:00"/>
    <s v="CUST1334"/>
    <s v="PROD11"/>
    <s v="STORE15"/>
    <n v="2.5027985614799699"/>
    <n v="470.55486865831"/>
    <n v="0.15569027871250399"/>
    <s v="Credit Card"/>
    <n v="997.25093582106103"/>
    <n v="199413.11778686696"/>
    <n v="207"/>
    <x v="308"/>
    <n v="0.15770537574820739"/>
    <n v="2.5102751430791894"/>
    <n v="455.12952503042237"/>
    <n v="367.61607332989087"/>
    <x v="8"/>
  </r>
  <r>
    <s v="SALE1402"/>
    <d v="2024-11-30T00:00:00"/>
    <s v="CUST1159"/>
    <s v="PROD40"/>
    <s v="STORE4"/>
    <n v="2.5028236506799701"/>
    <n v="470.50310576023003"/>
    <n v="0.15569704078309299"/>
    <s v="COD"/>
    <n v="997.14293936160902"/>
    <n v="198415.86685104592"/>
    <n v="206"/>
    <x v="71"/>
    <n v="0.15770875678350219"/>
    <n v="2.5102876876791882"/>
    <n v="455.1036435813823"/>
    <n v="367.57614145332553"/>
    <x v="3"/>
  </r>
  <r>
    <s v="SALE1403"/>
    <d v="2024-06-17T00:00:00"/>
    <s v="CUST1488"/>
    <s v="PROD78"/>
    <s v="STORE12"/>
    <n v="2.5028487398799601"/>
    <n v="470.45134286215"/>
    <n v="0.15570380285368299"/>
    <s v="PayPal"/>
    <n v="997.03494290215701"/>
    <n v="198415.86685104592"/>
    <n v="206"/>
    <x v="325"/>
    <n v="0.15771213781879703"/>
    <n v="2.510300232279187"/>
    <n v="455.07776213234229"/>
    <n v="367.53620957676014"/>
    <x v="2"/>
  </r>
  <r>
    <s v="SALE1404"/>
    <d v="2025-02-21T00:00:00"/>
    <s v="CUST1345"/>
    <s v="PROD22"/>
    <s v="STORE9"/>
    <n v="2.5028738290799599"/>
    <n v="470.39957996406901"/>
    <n v="0.15571056492427299"/>
    <s v="PayPal"/>
    <n v="996.92694644270603"/>
    <n v="198415.86685104592"/>
    <n v="206"/>
    <x v="326"/>
    <n v="0.15771551885409182"/>
    <n v="2.5103127768791857"/>
    <n v="455.05188068330227"/>
    <n v="367.49627770019481"/>
    <x v="6"/>
  </r>
  <r>
    <s v="SALE1405"/>
    <d v="2024-09-16T00:00:00"/>
    <s v="CUST1164"/>
    <s v="PROD29"/>
    <s v="STORE4"/>
    <n v="2.5028989182799601"/>
    <n v="470.34781706598898"/>
    <n v="0.15571732699486199"/>
    <s v="PayPal"/>
    <n v="996.81894998325402"/>
    <n v="198415.86685104592"/>
    <n v="206"/>
    <x v="327"/>
    <n v="0.15771889988938662"/>
    <n v="2.5103253214791845"/>
    <n v="455.02599923426214"/>
    <n v="367.45634582362948"/>
    <x v="8"/>
  </r>
  <r>
    <s v="SALE1406"/>
    <d v="2025-10-09T00:00:00"/>
    <s v="CUST1253"/>
    <s v="PROD57"/>
    <s v="STORE13"/>
    <n v="2.5029240074799599"/>
    <n v="470.29605416790901"/>
    <n v="0.15572408906545199"/>
    <s v="Credit Card"/>
    <n v="996.710953523802"/>
    <n v="198415.86685104592"/>
    <n v="206"/>
    <x v="328"/>
    <n v="0.15772228092468146"/>
    <n v="2.5103378660791829"/>
    <n v="455.00011778522202"/>
    <n v="367.41641394706414"/>
    <x v="11"/>
  </r>
  <r>
    <s v="SALE1407"/>
    <d v="2024-09-18T00:00:00"/>
    <s v="CUST1269"/>
    <s v="PROD56"/>
    <s v="STORE3"/>
    <n v="2.5029490966799499"/>
    <n v="470.24429126982898"/>
    <n v="0.15573085113604099"/>
    <s v="Credit Card"/>
    <n v="996.60295706434999"/>
    <n v="197419.15589752211"/>
    <n v="205"/>
    <x v="329"/>
    <n v="0.15772566195997628"/>
    <n v="2.5103504106791816"/>
    <n v="454.97423633618195"/>
    <n v="367.37648207049875"/>
    <x v="8"/>
  </r>
  <r>
    <s v="SALE1408"/>
    <d v="2025-05-29T00:00:00"/>
    <s v="CUST1071"/>
    <s v="PROD83"/>
    <s v="STORE14"/>
    <n v="2.5029741858799501"/>
    <n v="470.19252837174901"/>
    <n v="0.15573761320663099"/>
    <s v="COD"/>
    <n v="996.49496060489901"/>
    <n v="196422.55294045777"/>
    <n v="204"/>
    <x v="330"/>
    <n v="0.15772904299527105"/>
    <n v="2.5103629552791804"/>
    <n v="454.94835488714193"/>
    <n v="367.33655019393365"/>
    <x v="5"/>
  </r>
  <r>
    <s v="SALE1409"/>
    <d v="2025-06-03T00:00:00"/>
    <s v="CUST1477"/>
    <s v="PROD76"/>
    <s v="STORE16"/>
    <n v="2.5029992750799499"/>
    <n v="470.14076547366898"/>
    <n v="0.15574437527722099"/>
    <s v="COD"/>
    <n v="996.386964145447"/>
    <n v="196422.55294045777"/>
    <n v="204"/>
    <x v="323"/>
    <n v="0.15773242403056587"/>
    <n v="2.5103754998791792"/>
    <n v="454.92247343810192"/>
    <n v="367.29661831736826"/>
    <x v="2"/>
  </r>
  <r>
    <s v="SALE1410"/>
    <d v="2024-08-04T00:00:00"/>
    <s v="CUST1422"/>
    <s v="PROD49"/>
    <s v="STORE2"/>
    <n v="2.5030243642799501"/>
    <n v="470.08900257558798"/>
    <n v="0.15575113734780999"/>
    <s v="PayPal"/>
    <n v="996.27896768599499"/>
    <n v="196422.55294045777"/>
    <n v="204"/>
    <x v="151"/>
    <n v="0.15773580506586066"/>
    <n v="2.5103880444791775"/>
    <n v="454.89659198906173"/>
    <n v="367.2566864408027"/>
    <x v="7"/>
  </r>
  <r>
    <s v="SALE1411"/>
    <d v="2024-06-17T00:00:00"/>
    <s v="CUST1404"/>
    <s v="PROD23"/>
    <s v="STORE16"/>
    <n v="2.5030494534799401"/>
    <n v="470.03723967750801"/>
    <n v="0.15575789941839999"/>
    <s v="PayPal"/>
    <n v="996.170971226544"/>
    <n v="196422.55294045777"/>
    <n v="204"/>
    <x v="325"/>
    <n v="0.15773918610115545"/>
    <n v="2.5104005890791767"/>
    <n v="454.87071054002166"/>
    <n v="367.21675456423759"/>
    <x v="2"/>
  </r>
  <r>
    <s v="SALE1412"/>
    <d v="2024-01-20T00:00:00"/>
    <s v="CUST1127"/>
    <s v="PROD55"/>
    <s v="STORE0"/>
    <n v="2.5030745426799399"/>
    <n v="469.98547677942798"/>
    <n v="0.15576466148898899"/>
    <s v="Credit Card"/>
    <n v="996.06297476709199"/>
    <n v="196422.55294045777"/>
    <n v="204"/>
    <x v="331"/>
    <n v="0.1577425671364503"/>
    <n v="2.5104131336791755"/>
    <n v="454.84482909098159"/>
    <n v="367.17682268767226"/>
    <x v="4"/>
  </r>
  <r>
    <s v="SALE1413"/>
    <d v="2025-09-06T00:00:00"/>
    <s v="CUST1084"/>
    <s v="PROD68"/>
    <s v="STORE8"/>
    <n v="2.5030996318799401"/>
    <n v="469.93371388134801"/>
    <n v="0.15577142355957899"/>
    <s v="Credit Card"/>
    <n v="995.95497830763998"/>
    <n v="195426.48996569065"/>
    <n v="203"/>
    <x v="332"/>
    <n v="0.15774594817174509"/>
    <n v="2.5104256782791738"/>
    <n v="454.81894764194163"/>
    <n v="367.13689081110687"/>
    <x v="8"/>
  </r>
  <r>
    <s v="SALE1414"/>
    <d v="2024-03-29T00:00:00"/>
    <s v="CUST1273"/>
    <s v="PROD31"/>
    <s v="STORE10"/>
    <n v="2.5031247210799399"/>
    <n v="469.88195098326798"/>
    <n v="0.15577818563016901"/>
    <s v="COD"/>
    <n v="995.84698184818797"/>
    <n v="194430.53498738303"/>
    <n v="202"/>
    <x v="264"/>
    <n v="0.15774932920703991"/>
    <n v="2.5104382228791722"/>
    <n v="454.79306619290145"/>
    <n v="367.09695893454153"/>
    <x v="9"/>
  </r>
  <r>
    <s v="SALE1415"/>
    <d v="2024-08-23T00:00:00"/>
    <s v="CUST1215"/>
    <s v="PROD32"/>
    <s v="STORE9"/>
    <n v="2.5031498102799299"/>
    <n v="469.83018808518801"/>
    <n v="0.15578494770075799"/>
    <s v="COD"/>
    <n v="995.73898538873698"/>
    <n v="194430.53498738303"/>
    <n v="202"/>
    <x v="333"/>
    <n v="0.15775271024233473"/>
    <n v="2.5104507674791718"/>
    <n v="454.76718474386138"/>
    <n v="367.05702705797643"/>
    <x v="7"/>
  </r>
  <r>
    <s v="SALE1416"/>
    <d v="2025-05-19T00:00:00"/>
    <s v="CUST1229"/>
    <s v="PROD52"/>
    <s v="STORE9"/>
    <n v="2.5031748994799301"/>
    <n v="469.77842518710702"/>
    <n v="0.15579170977134801"/>
    <s v="Credit Card"/>
    <n v="995.63098892928497"/>
    <n v="194430.53498738303"/>
    <n v="202"/>
    <x v="254"/>
    <n v="0.15775609127762949"/>
    <n v="2.5104633120791702"/>
    <n v="454.74130329482125"/>
    <n v="367.01709518141081"/>
    <x v="5"/>
  </r>
  <r>
    <s v="SALE1417"/>
    <d v="2024-04-07T00:00:00"/>
    <s v="CUST1205"/>
    <s v="PROD84"/>
    <s v="STORE4"/>
    <n v="2.5031999886799299"/>
    <n v="469.72666228902699"/>
    <n v="0.15579847184193801"/>
    <s v="PayPal"/>
    <n v="995.52299246983296"/>
    <n v="193434.90399845372"/>
    <n v="201"/>
    <x v="257"/>
    <n v="0.15775947231292434"/>
    <n v="2.5104758566791689"/>
    <n v="454.71542184578118"/>
    <n v="366.97716330484548"/>
    <x v="10"/>
  </r>
  <r>
    <s v="SALE1418"/>
    <d v="2024-01-24T00:00:00"/>
    <s v="CUST1467"/>
    <s v="PROD72"/>
    <s v="STORE17"/>
    <n v="2.5032250778799199"/>
    <n v="469.67489939094702"/>
    <n v="0.15580523391252701"/>
    <s v="Credit Card"/>
    <n v="995.41499601038095"/>
    <n v="193434.90399845372"/>
    <n v="201"/>
    <x v="334"/>
    <n v="0.15776285334821913"/>
    <n v="2.5104884012791677"/>
    <n v="454.68954039674128"/>
    <n v="366.93723142828009"/>
    <x v="4"/>
  </r>
  <r>
    <s v="SALE1419"/>
    <d v="2024-01-20T00:00:00"/>
    <s v="CUST1027"/>
    <s v="PROD77"/>
    <s v="STORE9"/>
    <n v="2.5032501670799201"/>
    <n v="469.62313649286699"/>
    <n v="0.15581199598311701"/>
    <s v="PayPal"/>
    <n v="995.30699955092996"/>
    <n v="192439.48900244336"/>
    <n v="200"/>
    <x v="331"/>
    <n v="0.15776623438351395"/>
    <n v="2.5105009458791665"/>
    <n v="454.66365894770104"/>
    <n v="366.89729955171498"/>
    <x v="4"/>
  </r>
  <r>
    <s v="SALE1420"/>
    <d v="2023-12-10T00:00:00"/>
    <s v="CUST1129"/>
    <s v="PROD91"/>
    <s v="STORE11"/>
    <n v="2.5032752562799199"/>
    <n v="469.57137359478702"/>
    <n v="0.15581875805370601"/>
    <s v="Credit Card"/>
    <n v="995.19900309147795"/>
    <n v="192439.48900244336"/>
    <n v="200"/>
    <x v="66"/>
    <n v="0.15776961541880871"/>
    <n v="2.5105134904791648"/>
    <n v="454.63777749866091"/>
    <n v="366.85736767514965"/>
    <x v="1"/>
  </r>
  <r>
    <s v="SALE1421"/>
    <d v="2023-12-19T00:00:00"/>
    <s v="CUST1265"/>
    <s v="PROD87"/>
    <s v="STORE1"/>
    <n v="2.5033003454799201"/>
    <n v="469.51961069670699"/>
    <n v="0.15582552012429601"/>
    <s v="PayPal"/>
    <n v="995.09100663202605"/>
    <n v="191444.28999935189"/>
    <n v="199"/>
    <x v="335"/>
    <n v="0.15777299645410353"/>
    <n v="2.5105260350791636"/>
    <n v="454.6118960496209"/>
    <n v="366.81743579858431"/>
    <x v="1"/>
  </r>
  <r>
    <s v="SALE1422"/>
    <d v="2023-11-22T00:00:00"/>
    <s v="CUST1163"/>
    <s v="PROD97"/>
    <s v="STORE5"/>
    <n v="2.5033254346799101"/>
    <n v="469.46784779862702"/>
    <n v="0.15583228219488601"/>
    <s v="Credit Card"/>
    <n v="994.98301017257404"/>
    <n v="191444.28999935189"/>
    <n v="199"/>
    <x v="336"/>
    <n v="0.15777637748939835"/>
    <n v="2.5105385796791624"/>
    <n v="454.58601460058088"/>
    <n v="366.77750392201898"/>
    <x v="3"/>
  </r>
  <r>
    <s v="SALE1423"/>
    <d v="2025-10-08T00:00:00"/>
    <s v="CUST1300"/>
    <s v="PROD36"/>
    <s v="STORE14"/>
    <n v="2.5033505238799099"/>
    <n v="469.41608490054602"/>
    <n v="0.15583904426547501"/>
    <s v="PayPal"/>
    <n v="994.87501371312305"/>
    <n v="190449.30698917931"/>
    <n v="198"/>
    <x v="337"/>
    <n v="0.15777975852469314"/>
    <n v="2.5105511242791612"/>
    <n v="454.5601331515407"/>
    <n v="366.73757204545359"/>
    <x v="11"/>
  </r>
  <r>
    <s v="SALE1424"/>
    <d v="2025-02-23T00:00:00"/>
    <s v="CUST1405"/>
    <s v="PROD46"/>
    <s v="STORE9"/>
    <n v="2.5033756130799101"/>
    <n v="469.364322002466"/>
    <n v="0.15584580633606501"/>
    <s v="Credit Card"/>
    <n v="994.76701725367104"/>
    <n v="190449.30698917931"/>
    <n v="198"/>
    <x v="294"/>
    <n v="0.15778313955998796"/>
    <n v="2.5105636688791595"/>
    <n v="454.53425170250063"/>
    <n v="366.69764016888826"/>
    <x v="6"/>
  </r>
  <r>
    <s v="SALE1425"/>
    <d v="2025-02-25T00:00:00"/>
    <s v="CUST1006"/>
    <s v="PROD88"/>
    <s v="STORE16"/>
    <n v="2.5034007022799099"/>
    <n v="469.31255910438603"/>
    <n v="0.15585256840665401"/>
    <s v="COD"/>
    <n v="994.65902079421903"/>
    <n v="189454.53997192567"/>
    <n v="197"/>
    <x v="219"/>
    <n v="0.15778652059528278"/>
    <n v="2.5105762134791587"/>
    <n v="454.50837025346055"/>
    <n v="366.65770829232292"/>
    <x v="6"/>
  </r>
  <r>
    <s v="SALE1426"/>
    <d v="2024-09-30T00:00:00"/>
    <s v="CUST1366"/>
    <s v="PROD73"/>
    <s v="STORE6"/>
    <n v="2.5034257914798999"/>
    <n v="469.260796206306"/>
    <n v="0.15585933047724401"/>
    <s v="PayPal"/>
    <n v="994.55102433476702"/>
    <n v="189454.53997192567"/>
    <n v="197"/>
    <x v="338"/>
    <n v="0.15778990163057757"/>
    <n v="2.510588758079157"/>
    <n v="454.48248880442054"/>
    <n v="366.61777641575753"/>
    <x v="8"/>
  </r>
  <r>
    <s v="SALE1427"/>
    <d v="2023-12-19T00:00:00"/>
    <s v="CUST1206"/>
    <s v="PROD17"/>
    <s v="STORE14"/>
    <n v="2.5034508806799001"/>
    <n v="469.20903330822603"/>
    <n v="0.15586609254783401"/>
    <s v="COD"/>
    <n v="994.44302787531603"/>
    <n v="189454.53997192567"/>
    <n v="197"/>
    <x v="335"/>
    <n v="0.15779328266587236"/>
    <n v="2.5106013026791554"/>
    <n v="454.45660735538047"/>
    <n v="366.57784453919248"/>
    <x v="1"/>
  </r>
  <r>
    <s v="SALE1428"/>
    <d v="2024-11-18T00:00:00"/>
    <s v="CUST1477"/>
    <s v="PROD98"/>
    <s v="STORE8"/>
    <n v="2.5034759698798998"/>
    <n v="469.157270410146"/>
    <n v="0.15587285461842301"/>
    <s v="PayPal"/>
    <n v="994.33503141586402"/>
    <n v="189454.53997192567"/>
    <n v="197"/>
    <x v="339"/>
    <n v="0.15779666370116718"/>
    <n v="2.5106138472791542"/>
    <n v="454.43072590634034"/>
    <n v="366.53791266262709"/>
    <x v="3"/>
  </r>
  <r>
    <s v="SALE1429"/>
    <d v="2025-09-12T00:00:00"/>
    <s v="CUST1075"/>
    <s v="PROD28"/>
    <s v="STORE18"/>
    <n v="2.5035010590799001"/>
    <n v="469.105507512065"/>
    <n v="0.15587961668901301"/>
    <s v="Credit Card"/>
    <n v="994.22703495641201"/>
    <n v="189454.53997192567"/>
    <n v="197"/>
    <x v="340"/>
    <n v="0.15780004473646198"/>
    <n v="2.5106263918791529"/>
    <n v="454.40484445730021"/>
    <n v="366.49798078606148"/>
    <x v="8"/>
  </r>
  <r>
    <s v="SALE1430"/>
    <d v="2025-01-31T00:00:00"/>
    <s v="CUST1399"/>
    <s v="PROD37"/>
    <s v="STORE13"/>
    <n v="2.5035261482798901"/>
    <n v="469.05374461398497"/>
    <n v="0.15588637875960201"/>
    <s v="PayPal"/>
    <n v="994.11903849696102"/>
    <n v="188460.31293696925"/>
    <n v="196"/>
    <x v="298"/>
    <n v="0.15780342577175677"/>
    <n v="2.5106389364791517"/>
    <n v="454.3789630082602"/>
    <n v="366.45804890949637"/>
    <x v="4"/>
  </r>
  <r>
    <s v="SALE1431"/>
    <d v="2024-10-26T00:00:00"/>
    <s v="CUST1197"/>
    <s v="PROD37"/>
    <s v="STORE0"/>
    <n v="2.5035512374798898"/>
    <n v="469.001981715905"/>
    <n v="0.15589314083019201"/>
    <s v="Credit Card"/>
    <n v="994.01104203750901"/>
    <n v="188460.31293696925"/>
    <n v="196"/>
    <x v="341"/>
    <n v="0.15780680680705161"/>
    <n v="2.51065148107915"/>
    <n v="454.35308155922019"/>
    <n v="366.41811703293104"/>
    <x v="11"/>
  </r>
  <r>
    <s v="SALE1432"/>
    <d v="2025-07-26T00:00:00"/>
    <s v="CUST1384"/>
    <s v="PROD74"/>
    <s v="STORE10"/>
    <n v="2.5035763266798901"/>
    <n v="468.95021881782498"/>
    <n v="0.15589990290078201"/>
    <s v="COD"/>
    <n v="993.903045578057"/>
    <n v="187466.30189493173"/>
    <n v="195"/>
    <x v="342"/>
    <n v="0.15781018784234638"/>
    <n v="2.5106640256791488"/>
    <n v="454.32720011018006"/>
    <n v="366.37818515636565"/>
    <x v="0"/>
  </r>
  <r>
    <s v="SALE1433"/>
    <d v="2025-08-06T00:00:00"/>
    <s v="CUST1200"/>
    <s v="PROD58"/>
    <s v="STORE16"/>
    <n v="2.5036014158798898"/>
    <n v="468.898455919745"/>
    <n v="0.15590666497137101"/>
    <s v="COD"/>
    <n v="993.79504911860499"/>
    <n v="187466.30189493173"/>
    <n v="195"/>
    <x v="13"/>
    <n v="0.15781356887764117"/>
    <n v="2.5106765702791476"/>
    <n v="454.30131866113993"/>
    <n v="366.33825327980031"/>
    <x v="7"/>
  </r>
  <r>
    <s v="SALE1434"/>
    <d v="2025-05-20T00:00:00"/>
    <s v="CUST1166"/>
    <s v="PROD81"/>
    <s v="STORE10"/>
    <n v="2.5036265050798798"/>
    <n v="468.84669302166498"/>
    <n v="0.15591342704196101"/>
    <s v="PayPal"/>
    <n v="993.68705265915401"/>
    <n v="187466.30189493173"/>
    <n v="195"/>
    <x v="343"/>
    <n v="0.15781694991293599"/>
    <n v="2.5106891148791459"/>
    <n v="454.27543721209986"/>
    <n v="366.29832140323521"/>
    <x v="5"/>
  </r>
  <r>
    <s v="SALE1435"/>
    <d v="2024-03-13T00:00:00"/>
    <s v="CUST1118"/>
    <s v="PROD91"/>
    <s v="STORE5"/>
    <n v="2.50365159427988"/>
    <n v="468.79493012358398"/>
    <n v="0.15592018911255001"/>
    <s v="COD"/>
    <n v="993.57905619970199"/>
    <n v="187466.30189493173"/>
    <n v="195"/>
    <x v="344"/>
    <n v="0.15782033094823084"/>
    <n v="2.5107016594791443"/>
    <n v="454.24955576305979"/>
    <n v="366.25838952666959"/>
    <x v="9"/>
  </r>
  <r>
    <s v="SALE1436"/>
    <d v="2025-02-12T00:00:00"/>
    <s v="CUST1469"/>
    <s v="PROD46"/>
    <s v="STORE17"/>
    <n v="2.5036766834798798"/>
    <n v="468.74316722550401"/>
    <n v="0.15592695118314001"/>
    <s v="Credit Card"/>
    <n v="993.47105974024998"/>
    <n v="187466.30189493173"/>
    <n v="195"/>
    <x v="345"/>
    <n v="0.15782371198352563"/>
    <n v="2.510714204079143"/>
    <n v="454.22367431401977"/>
    <n v="366.21845765010426"/>
    <x v="6"/>
  </r>
  <r>
    <s v="SALE1437"/>
    <d v="2025-09-24T00:00:00"/>
    <s v="CUST1307"/>
    <s v="PROD30"/>
    <s v="STORE2"/>
    <n v="2.50370177267988"/>
    <n v="468.69140432742398"/>
    <n v="0.15593371325373001"/>
    <s v="PayPal"/>
    <n v="993.36306328079797"/>
    <n v="186472.83083519147"/>
    <n v="194"/>
    <x v="268"/>
    <n v="0.15782709301882042"/>
    <n v="2.5107267486791418"/>
    <n v="454.19779286497959"/>
    <n v="366.17852577353892"/>
    <x v="8"/>
  </r>
  <r>
    <s v="SALE1438"/>
    <d v="2024-10-09T00:00:00"/>
    <s v="CUST1449"/>
    <s v="PROD15"/>
    <s v="STORE9"/>
    <n v="2.50372686187987"/>
    <n v="468.63964142934401"/>
    <n v="0.15594047532431901"/>
    <s v="PayPal"/>
    <n v="993.25506682134699"/>
    <n v="186472.83083519147"/>
    <n v="194"/>
    <x v="346"/>
    <n v="0.15783047405411521"/>
    <n v="2.510739293279141"/>
    <n v="454.17191141593958"/>
    <n v="366.13859389697382"/>
    <x v="11"/>
  </r>
  <r>
    <s v="SALE1439"/>
    <d v="2023-11-03T00:00:00"/>
    <s v="CUST1266"/>
    <s v="PROD93"/>
    <s v="STORE14"/>
    <n v="2.5037519510798698"/>
    <n v="468.58787853126398"/>
    <n v="0.15594723739490901"/>
    <s v="COD"/>
    <n v="993.14707036189498"/>
    <n v="186472.83083519147"/>
    <n v="194"/>
    <x v="305"/>
    <n v="0.15783385508941"/>
    <n v="2.5107518378791394"/>
    <n v="454.14602996689945"/>
    <n v="366.09866202040843"/>
    <x v="3"/>
  </r>
  <r>
    <s v="SALE1440"/>
    <d v="2025-03-29T00:00:00"/>
    <s v="CUST1183"/>
    <s v="PROD28"/>
    <s v="STORE1"/>
    <n v="2.50377704027987"/>
    <n v="468.53611563318401"/>
    <n v="0.15595399946549901"/>
    <s v="Credit Card"/>
    <n v="993.03907390244296"/>
    <n v="186472.83083519147"/>
    <n v="194"/>
    <x v="142"/>
    <n v="0.15783723612470482"/>
    <n v="2.5107643824791377"/>
    <n v="454.12014851785938"/>
    <n v="366.05873014384309"/>
    <x v="9"/>
  </r>
  <r>
    <s v="SALE1441"/>
    <d v="2025-07-13T00:00:00"/>
    <s v="CUST1419"/>
    <s v="PROD29"/>
    <s v="STORE8"/>
    <n v="2.50380212947986"/>
    <n v="468.48435273510302"/>
    <n v="0.15596076153608801"/>
    <s v="Credit Card"/>
    <n v="992.93107744299095"/>
    <n v="185479.79176128906"/>
    <n v="193"/>
    <x v="103"/>
    <n v="0.15784061715999959"/>
    <n v="2.5107769270791365"/>
    <n v="454.09426706881925"/>
    <n v="366.01879826727748"/>
    <x v="0"/>
  </r>
  <r>
    <s v="SALE1442"/>
    <d v="2024-01-17T00:00:00"/>
    <s v="CUST1044"/>
    <s v="PROD21"/>
    <s v="STORE10"/>
    <n v="2.5038272186798598"/>
    <n v="468.43258983702299"/>
    <n v="0.15596752360667801"/>
    <s v="Credit Card"/>
    <n v="992.82308098353997"/>
    <n v="184486.86068384605"/>
    <n v="192"/>
    <x v="238"/>
    <n v="0.15784399819529446"/>
    <n v="2.5107894716791357"/>
    <n v="454.06838561977918"/>
    <n v="365.97886639071237"/>
    <x v="4"/>
  </r>
  <r>
    <s v="SALE1443"/>
    <d v="2024-12-13T00:00:00"/>
    <s v="CUST1479"/>
    <s v="PROD66"/>
    <s v="STORE17"/>
    <n v="2.50385230787986"/>
    <n v="468.38082693894302"/>
    <n v="0.15597428567726701"/>
    <s v="PayPal"/>
    <n v="992.71508452408796"/>
    <n v="183494.03760286252"/>
    <n v="191"/>
    <x v="236"/>
    <n v="0.15784737923058922"/>
    <n v="2.5108020162791345"/>
    <n v="454.04250417073916"/>
    <n v="365.93893451414704"/>
    <x v="1"/>
  </r>
  <r>
    <s v="SALE1444"/>
    <d v="2025-09-19T00:00:00"/>
    <s v="CUST1047"/>
    <s v="PROD4"/>
    <s v="STORE2"/>
    <n v="2.5038773970798598"/>
    <n v="468.32906404086299"/>
    <n v="0.15598104774785701"/>
    <s v="Credit Card"/>
    <n v="992.60708806463595"/>
    <n v="183494.03760286252"/>
    <n v="191"/>
    <x v="347"/>
    <n v="0.15785076026588407"/>
    <n v="2.5108145608791332"/>
    <n v="454.01662272169904"/>
    <n v="365.89900263758165"/>
    <x v="8"/>
  </r>
  <r>
    <s v="SALE1445"/>
    <d v="2024-02-11T00:00:00"/>
    <s v="CUST1343"/>
    <s v="PROD38"/>
    <s v="STORE19"/>
    <n v="2.5039024862798498"/>
    <n v="468.27730114278302"/>
    <n v="0.15598780981844701"/>
    <s v="COD"/>
    <n v="992.49909160518496"/>
    <n v="182501.43051479789"/>
    <n v="190"/>
    <x v="348"/>
    <n v="0.15785414130117884"/>
    <n v="2.5108271054791316"/>
    <n v="453.99074127265897"/>
    <n v="365.8590707610166"/>
    <x v="6"/>
  </r>
  <r>
    <s v="SALE1446"/>
    <d v="2025-06-03T00:00:00"/>
    <s v="CUST1348"/>
    <s v="PROD39"/>
    <s v="STORE7"/>
    <n v="2.50392757547985"/>
    <n v="468.22553824470299"/>
    <n v="0.15599457188903601"/>
    <s v="Credit Card"/>
    <n v="992.39109514573295"/>
    <n v="182501.43051479789"/>
    <n v="190"/>
    <x v="323"/>
    <n v="0.15785752233647365"/>
    <n v="2.5108396500791303"/>
    <n v="453.96485982361884"/>
    <n v="365.81913888445121"/>
    <x v="2"/>
  </r>
  <r>
    <s v="SALE1447"/>
    <d v="2025-03-10T00:00:00"/>
    <s v="CUST1405"/>
    <s v="PROD73"/>
    <s v="STORE13"/>
    <n v="2.5039526646798498"/>
    <n v="468.17377534662302"/>
    <n v="0.15600133395962601"/>
    <s v="Credit Card"/>
    <n v="992.28309868628105"/>
    <n v="181509.03941965214"/>
    <n v="189"/>
    <x v="349"/>
    <n v="0.15786090337176845"/>
    <n v="2.5108521946791291"/>
    <n v="453.93897837457877"/>
    <n v="365.77920700788587"/>
    <x v="9"/>
  </r>
  <r>
    <s v="SALE1448"/>
    <d v="2024-12-18T00:00:00"/>
    <s v="CUST1275"/>
    <s v="PROD36"/>
    <s v="STORE6"/>
    <n v="2.50397775387985"/>
    <n v="468.12201244854202"/>
    <n v="0.15600809603021501"/>
    <s v="Credit Card"/>
    <n v="992.17510222682904"/>
    <n v="180516.75632096585"/>
    <n v="188"/>
    <x v="350"/>
    <n v="0.15786428440706324"/>
    <n v="2.5108647392791279"/>
    <n v="453.91309692553864"/>
    <n v="365.73927513132026"/>
    <x v="1"/>
  </r>
  <r>
    <s v="SALE1449"/>
    <d v="2024-03-20T00:00:00"/>
    <s v="CUST1418"/>
    <s v="PROD89"/>
    <s v="STORE18"/>
    <n v="2.50400284307984"/>
    <n v="468.07024955046199"/>
    <n v="0.15601485810080501"/>
    <s v="Credit Card"/>
    <n v="992.06710576737805"/>
    <n v="179524.58121873904"/>
    <n v="187"/>
    <x v="160"/>
    <n v="0.15786766544235806"/>
    <n v="2.5108772838791262"/>
    <n v="453.88721547649862"/>
    <n v="365.69934325475515"/>
    <x v="9"/>
  </r>
  <r>
    <s v="SALE1450"/>
    <d v="2024-06-19T00:00:00"/>
    <s v="CUST1223"/>
    <s v="PROD72"/>
    <s v="STORE2"/>
    <n v="2.5040279322798402"/>
    <n v="468.01848665238202"/>
    <n v="0.15602162017139501"/>
    <s v="Credit Card"/>
    <n v="991.95910930792604"/>
    <n v="178532.51411297166"/>
    <n v="186"/>
    <x v="55"/>
    <n v="0.15787104647765288"/>
    <n v="2.510889828479125"/>
    <n v="453.86133402745855"/>
    <n v="365.65941137818982"/>
    <x v="2"/>
  </r>
  <r>
    <s v="SALE1451"/>
    <d v="2024-12-06T00:00:00"/>
    <s v="CUST1156"/>
    <s v="PROD49"/>
    <s v="STORE7"/>
    <n v="2.50405302147984"/>
    <n v="467.966723754302"/>
    <n v="0.15602838224198401"/>
    <s v="COD"/>
    <n v="991.85111284847403"/>
    <n v="177540.5550036637"/>
    <n v="185"/>
    <x v="351"/>
    <n v="0.15787442751294767"/>
    <n v="2.5109023730791238"/>
    <n v="453.83545257841854"/>
    <n v="365.61947950162448"/>
    <x v="1"/>
  </r>
  <r>
    <s v="SALE1452"/>
    <d v="2025-07-25T00:00:00"/>
    <s v="CUST1451"/>
    <s v="PROD72"/>
    <s v="STORE0"/>
    <n v="2.5040781106798402"/>
    <n v="467.91496085622202"/>
    <n v="0.15603514431257401"/>
    <s v="PayPal"/>
    <n v="991.74311638902202"/>
    <n v="177540.5550036637"/>
    <n v="185"/>
    <x v="198"/>
    <n v="0.15787780854824243"/>
    <n v="2.510914917679123"/>
    <n v="453.80957112937847"/>
    <n v="365.57954762505909"/>
    <x v="0"/>
  </r>
  <r>
    <s v="SALE1453"/>
    <d v="2024-07-28T00:00:00"/>
    <s v="CUST1240"/>
    <s v="PROD18"/>
    <s v="STORE0"/>
    <n v="2.5041031998798302"/>
    <n v="467.863197958142"/>
    <n v="0.15604190638316301"/>
    <s v="COD"/>
    <n v="991.63511992957103"/>
    <n v="177540.5550036637"/>
    <n v="185"/>
    <x v="286"/>
    <n v="0.15788118958353725"/>
    <n v="2.5109274622791218"/>
    <n v="453.78368968033834"/>
    <n v="365.53961574849399"/>
    <x v="0"/>
  </r>
  <r>
    <s v="SALE1454"/>
    <d v="2024-10-03T00:00:00"/>
    <s v="CUST1324"/>
    <s v="PROD8"/>
    <s v="STORE5"/>
    <n v="2.50412828907983"/>
    <n v="467.811435060061"/>
    <n v="0.15604866845375301"/>
    <s v="PayPal"/>
    <n v="991.52712347011902"/>
    <n v="177540.5550036637"/>
    <n v="185"/>
    <x v="352"/>
    <n v="0.15788457061883207"/>
    <n v="2.5109400068791206"/>
    <n v="453.75780823129833"/>
    <n v="365.49968387192837"/>
    <x v="11"/>
  </r>
  <r>
    <s v="SALE1455"/>
    <d v="2023-11-08T00:00:00"/>
    <s v="CUST1232"/>
    <s v="PROD95"/>
    <s v="STORE0"/>
    <n v="2.5041533782798302"/>
    <n v="467.75967216198097"/>
    <n v="0.15605543052434301"/>
    <s v="COD"/>
    <n v="991.41912701066701"/>
    <n v="177540.5550036637"/>
    <n v="185"/>
    <x v="353"/>
    <n v="0.15788795165412689"/>
    <n v="2.5109525514791193"/>
    <n v="453.73192678225814"/>
    <n v="365.45975199536304"/>
    <x v="3"/>
  </r>
  <r>
    <s v="SALE1456"/>
    <d v="2025-04-07T00:00:00"/>
    <s v="CUST1191"/>
    <s v="PROD68"/>
    <s v="STORE16"/>
    <n v="2.50417846747983"/>
    <n v="467.707909263901"/>
    <n v="0.15606219259493201"/>
    <s v="PayPal"/>
    <n v="991.311130551215"/>
    <n v="177540.5550036637"/>
    <n v="185"/>
    <x v="190"/>
    <n v="0.15789133268942171"/>
    <n v="2.5109650960791181"/>
    <n v="453.70604533321813"/>
    <n v="365.4198201187977"/>
    <x v="10"/>
  </r>
  <r>
    <s v="SALE1457"/>
    <d v="2023-12-20T00:00:00"/>
    <s v="CUST1146"/>
    <s v="PROD25"/>
    <s v="STORE12"/>
    <n v="2.50420355667982"/>
    <n v="467.65614636582097"/>
    <n v="0.15606895466552201"/>
    <s v="COD"/>
    <n v="991.20313409176401"/>
    <n v="177540.5550036637"/>
    <n v="185"/>
    <x v="354"/>
    <n v="0.15789471372471653"/>
    <n v="2.5109776406791169"/>
    <n v="453.68016388417806"/>
    <n v="365.3798882422326"/>
    <x v="1"/>
  </r>
  <r>
    <s v="SALE1458"/>
    <d v="2025-09-11T00:00:00"/>
    <s v="CUST1011"/>
    <s v="PROD31"/>
    <s v="STORE17"/>
    <n v="2.5042286458798202"/>
    <n v="467.604383467741"/>
    <n v="0.15607571673611201"/>
    <s v="PayPal"/>
    <n v="991.095137632312"/>
    <n v="177540.5550036637"/>
    <n v="185"/>
    <x v="355"/>
    <n v="0.15789809476001132"/>
    <n v="2.5109901852791152"/>
    <n v="453.65428243513804"/>
    <n v="365.33995636566726"/>
    <x v="8"/>
  </r>
  <r>
    <s v="SALE1459"/>
    <d v="2024-12-01T00:00:00"/>
    <s v="CUST1445"/>
    <s v="PROD2"/>
    <s v="STORE4"/>
    <n v="2.50425373507982"/>
    <n v="467.55262056966097"/>
    <n v="0.15608247880670101"/>
    <s v="COD"/>
    <n v="990.98714117285999"/>
    <n v="177540.5550036637"/>
    <n v="185"/>
    <x v="356"/>
    <n v="0.15790147579530611"/>
    <n v="2.5110027298791149"/>
    <n v="453.62840098609792"/>
    <n v="365.30002448910187"/>
    <x v="1"/>
  </r>
  <r>
    <s v="SALE1460"/>
    <d v="2024-11-21T00:00:00"/>
    <s v="CUST1163"/>
    <s v="PROD10"/>
    <s v="STORE5"/>
    <n v="2.50427882427981"/>
    <n v="467.50085767157998"/>
    <n v="0.15608924087729101"/>
    <s v="PayPal"/>
    <n v="990.879144713409"/>
    <n v="177540.5550036637"/>
    <n v="185"/>
    <x v="136"/>
    <n v="0.1579048568306009"/>
    <n v="2.5110152744791128"/>
    <n v="453.60251953705784"/>
    <n v="365.26009261253654"/>
    <x v="3"/>
  </r>
  <r>
    <s v="SALE1461"/>
    <d v="2025-08-30T00:00:00"/>
    <s v="CUST1488"/>
    <s v="PROD44"/>
    <s v="STORE2"/>
    <n v="2.5043039134798102"/>
    <n v="467.44909477350001"/>
    <n v="0.15609600294788001"/>
    <s v="COD"/>
    <n v="990.77114825395699"/>
    <n v="177540.5550036637"/>
    <n v="185"/>
    <x v="357"/>
    <n v="0.15790823786589572"/>
    <n v="2.5110278190791115"/>
    <n v="453.57663808801783"/>
    <n v="365.22016073597115"/>
    <x v="7"/>
  </r>
  <r>
    <s v="SALE1462"/>
    <d v="2025-08-20T00:00:00"/>
    <s v="CUST1007"/>
    <s v="PROD54"/>
    <s v="STORE1"/>
    <n v="2.50432900267981"/>
    <n v="467.39733187541998"/>
    <n v="0.15610276501847001"/>
    <s v="COD"/>
    <n v="990.66315179450498"/>
    <n v="177540.5550036637"/>
    <n v="185"/>
    <x v="69"/>
    <n v="0.15791161890119051"/>
    <n v="2.5110403636791099"/>
    <n v="453.55075663897765"/>
    <n v="365.18022885940582"/>
    <x v="7"/>
  </r>
  <r>
    <s v="SALE1463"/>
    <d v="2025-10-13T00:00:00"/>
    <s v="CUST1167"/>
    <s v="PROD47"/>
    <s v="STORE2"/>
    <n v="2.5043540918798102"/>
    <n v="467.34556897734001"/>
    <n v="0.15610952708906001"/>
    <s v="Credit Card"/>
    <n v="990.55515533505297"/>
    <n v="177540.5550036637"/>
    <n v="185"/>
    <x v="186"/>
    <n v="0.15791499993648533"/>
    <n v="2.5110529082791091"/>
    <n v="453.52487518993757"/>
    <n v="365.14029698284048"/>
    <x v="11"/>
  </r>
  <r>
    <s v="SALE1464"/>
    <d v="2024-01-15T00:00:00"/>
    <s v="CUST1163"/>
    <s v="PROD95"/>
    <s v="STORE1"/>
    <n v="2.5043791810798002"/>
    <n v="467.29380607925998"/>
    <n v="0.15611628915964901"/>
    <s v="Credit Card"/>
    <n v="990.44715887560199"/>
    <n v="176549.99984832868"/>
    <n v="184"/>
    <x v="358"/>
    <n v="0.15791838097178013"/>
    <n v="2.5110654528791074"/>
    <n v="453.4989937408975"/>
    <n v="365.10036510627538"/>
    <x v="4"/>
  </r>
  <r>
    <s v="SALE1465"/>
    <d v="2025-04-25T00:00:00"/>
    <s v="CUST1042"/>
    <s v="PROD89"/>
    <s v="STORE2"/>
    <n v="2.5044042702797999"/>
    <n v="467.24204318118001"/>
    <n v="0.15612305123023901"/>
    <s v="COD"/>
    <n v="990.33916241614997"/>
    <n v="175559.55268945306"/>
    <n v="183"/>
    <x v="359"/>
    <n v="0.15792176200707497"/>
    <n v="2.5110779974791058"/>
    <n v="453.47311229185743"/>
    <n v="365.06043322970999"/>
    <x v="10"/>
  </r>
  <r>
    <s v="SALE1466"/>
    <d v="2024-02-24T00:00:00"/>
    <s v="CUST1212"/>
    <s v="PROD13"/>
    <s v="STORE2"/>
    <n v="2.5044293594798002"/>
    <n v="467.19028028309998"/>
    <n v="0.15612981330082801"/>
    <s v="Credit Card"/>
    <n v="990.23116595669796"/>
    <n v="175559.55268945306"/>
    <n v="183"/>
    <x v="360"/>
    <n v="0.15792514304236976"/>
    <n v="2.5110905420791045"/>
    <n v="453.44723084281731"/>
    <n v="365.02050135314465"/>
    <x v="6"/>
  </r>
  <r>
    <s v="SALE1467"/>
    <d v="2024-12-30T00:00:00"/>
    <s v="CUST1368"/>
    <s v="PROD5"/>
    <s v="STORE9"/>
    <n v="2.5044544486797999"/>
    <n v="467.13851738501899"/>
    <n v="0.15613657537141801"/>
    <s v="PayPal"/>
    <n v="990.12316949724595"/>
    <n v="174569.32152349636"/>
    <n v="182"/>
    <x v="361"/>
    <n v="0.15792852407766458"/>
    <n v="2.5111030866791033"/>
    <n v="453.42134939377723"/>
    <n v="364.98056947657903"/>
    <x v="1"/>
  </r>
  <r>
    <s v="SALE1468"/>
    <d v="2025-04-15T00:00:00"/>
    <s v="CUST1311"/>
    <s v="PROD78"/>
    <s v="STORE12"/>
    <n v="2.5044795378797899"/>
    <n v="467.08675448693901"/>
    <n v="0.15614333744200801"/>
    <s v="Credit Card"/>
    <n v="990.01517303779497"/>
    <n v="174569.32152349636"/>
    <n v="182"/>
    <x v="362"/>
    <n v="0.15793190511295938"/>
    <n v="2.5111156312791016"/>
    <n v="453.39546794473716"/>
    <n v="364.94063760001393"/>
    <x v="10"/>
  </r>
  <r>
    <s v="SALE1469"/>
    <d v="2024-10-15T00:00:00"/>
    <s v="CUST1168"/>
    <s v="PROD28"/>
    <s v="STORE10"/>
    <n v="2.5045046270797902"/>
    <n v="467.03499158885899"/>
    <n v="0.15615009951259701"/>
    <s v="COD"/>
    <n v="989.90717657834296"/>
    <n v="173579.30635045856"/>
    <n v="181"/>
    <x v="93"/>
    <n v="0.15793528614825417"/>
    <n v="2.5111281758791004"/>
    <n v="453.36958649569715"/>
    <n v="364.9007057234486"/>
    <x v="11"/>
  </r>
  <r>
    <s v="SALE1470"/>
    <d v="2025-01-19T00:00:00"/>
    <s v="CUST1352"/>
    <s v="PROD43"/>
    <s v="STORE4"/>
    <n v="2.5045297162797899"/>
    <n v="466.98322869077901"/>
    <n v="0.15615686158318701"/>
    <s v="Credit Card"/>
    <n v="989.79918011889094"/>
    <n v="173579.30635045856"/>
    <n v="181"/>
    <x v="197"/>
    <n v="0.15793866718354899"/>
    <n v="2.5111407204790992"/>
    <n v="453.34370504665713"/>
    <n v="364.86077384688326"/>
    <x v="4"/>
  </r>
  <r>
    <s v="SALE1471"/>
    <d v="2024-07-22T00:00:00"/>
    <s v="CUST1298"/>
    <s v="PROD2"/>
    <s v="STORE19"/>
    <n v="2.5045548054797901"/>
    <n v="466.93146579269899"/>
    <n v="0.15616362365377601"/>
    <s v="Credit Card"/>
    <n v="989.69118365943905"/>
    <n v="172589.50717033964"/>
    <n v="180"/>
    <x v="123"/>
    <n v="0.15794204821884381"/>
    <n v="2.511153265079098"/>
    <n v="453.31782359761701"/>
    <n v="364.82084197031793"/>
    <x v="0"/>
  </r>
  <r>
    <s v="SALE1472"/>
    <d v="2025-03-19T00:00:00"/>
    <s v="CUST1365"/>
    <s v="PROD45"/>
    <s v="STORE16"/>
    <n v="2.5045798946797801"/>
    <n v="466.87970289461902"/>
    <n v="0.15617038572436601"/>
    <s v="COD"/>
    <n v="989.58318719998795"/>
    <n v="171599.81598668022"/>
    <n v="179"/>
    <x v="226"/>
    <n v="0.15794542925413865"/>
    <n v="2.5111658096790963"/>
    <n v="453.29194214857688"/>
    <n v="364.78091009375277"/>
    <x v="9"/>
  </r>
  <r>
    <s v="SALE1473"/>
    <d v="2024-01-21T00:00:00"/>
    <s v="CUST1129"/>
    <s v="PROD0"/>
    <s v="STORE7"/>
    <n v="2.5046049838797799"/>
    <n v="466.82793999653802"/>
    <n v="0.15617714779495601"/>
    <s v="PayPal"/>
    <n v="989.47519074053605"/>
    <n v="171599.81598668022"/>
    <n v="179"/>
    <x v="86"/>
    <n v="0.15794881028943342"/>
    <n v="2.5111783542790951"/>
    <n v="453.26606069953675"/>
    <n v="364.74097821718721"/>
    <x v="4"/>
  </r>
  <r>
    <s v="SALE1474"/>
    <d v="2023-12-26T00:00:00"/>
    <s v="CUST1160"/>
    <s v="PROD47"/>
    <s v="STORE3"/>
    <n v="2.5046300730797801"/>
    <n v="466.77617709845799"/>
    <n v="0.15618390986554501"/>
    <s v="Credit Card"/>
    <n v="989.36719428108404"/>
    <n v="171599.81598668022"/>
    <n v="179"/>
    <x v="363"/>
    <n v="0.15795219132472824"/>
    <n v="2.5111908988790939"/>
    <n v="453.24017925049674"/>
    <n v="364.70104634062182"/>
    <x v="1"/>
  </r>
  <r>
    <s v="SALE1475"/>
    <d v="2024-03-21T00:00:00"/>
    <s v="CUST1175"/>
    <s v="PROD62"/>
    <s v="STORE14"/>
    <n v="2.5046551622797799"/>
    <n v="466.72441420037802"/>
    <n v="0.15619067193613501"/>
    <s v="Credit Card"/>
    <n v="989.25919782163305"/>
    <n v="170610.44879239911"/>
    <n v="178"/>
    <x v="364"/>
    <n v="0.15795557236002303"/>
    <n v="2.5112034434790926"/>
    <n v="453.21429780145667"/>
    <n v="364.66111446405677"/>
    <x v="9"/>
  </r>
  <r>
    <s v="SALE1476"/>
    <d v="2024-12-07T00:00:00"/>
    <s v="CUST1084"/>
    <s v="PROD93"/>
    <s v="STORE12"/>
    <n v="2.5046802514797699"/>
    <n v="466.67265130229799"/>
    <n v="0.15619743400672401"/>
    <s v="Credit Card"/>
    <n v="989.15120136218104"/>
    <n v="169621.1895945775"/>
    <n v="177"/>
    <x v="56"/>
    <n v="0.15795895339531782"/>
    <n v="2.5112159880790914"/>
    <n v="453.18841635241654"/>
    <n v="364.62118258749138"/>
    <x v="1"/>
  </r>
  <r>
    <s v="SALE1477"/>
    <d v="2024-11-02T00:00:00"/>
    <s v="CUST1362"/>
    <s v="PROD95"/>
    <s v="STORE7"/>
    <n v="2.5047053406797701"/>
    <n v="466.62088840421802"/>
    <n v="0.15620419607731401"/>
    <s v="PayPal"/>
    <n v="989.04320490272903"/>
    <n v="168632.03839321533"/>
    <n v="176"/>
    <x v="118"/>
    <n v="0.15796233443061261"/>
    <n v="2.5112285326790902"/>
    <n v="453.16253490337647"/>
    <n v="364.58125071092604"/>
    <x v="3"/>
  </r>
  <r>
    <s v="SALE1478"/>
    <d v="2024-07-22T00:00:00"/>
    <s v="CUST1233"/>
    <s v="PROD88"/>
    <s v="STORE0"/>
    <n v="2.5047304298797699"/>
    <n v="466.56912550613799"/>
    <n v="0.15621095814790401"/>
    <s v="COD"/>
    <n v="988.93520844327702"/>
    <n v="168632.03839321533"/>
    <n v="176"/>
    <x v="123"/>
    <n v="0.1579657154659074"/>
    <n v="2.511241077279089"/>
    <n v="453.1366534543364"/>
    <n v="364.54131883436065"/>
    <x v="0"/>
  </r>
  <r>
    <s v="SALE1479"/>
    <d v="2023-10-30T00:00:00"/>
    <s v="CUST1253"/>
    <s v="PROD78"/>
    <s v="STORE6"/>
    <n v="2.5047555190797701"/>
    <n v="466.517362608057"/>
    <n v="0.15621772021849301"/>
    <s v="PayPal"/>
    <n v="988.82721198382603"/>
    <n v="168632.03839321533"/>
    <n v="176"/>
    <x v="365"/>
    <n v="0.15796909650120225"/>
    <n v="2.5112536218790877"/>
    <n v="453.11077200529644"/>
    <n v="364.50138695779532"/>
    <x v="11"/>
  </r>
  <r>
    <s v="SALE1480"/>
    <d v="2024-05-21T00:00:00"/>
    <s v="CUST1373"/>
    <s v="PROD73"/>
    <s v="STORE0"/>
    <n v="2.5047806082797601"/>
    <n v="466.46559970997703"/>
    <n v="0.15622448228908301"/>
    <s v="COD"/>
    <n v="988.71921552437402"/>
    <n v="168632.03839321533"/>
    <n v="176"/>
    <x v="138"/>
    <n v="0.15797247753649704"/>
    <n v="2.5112661664790861"/>
    <n v="453.08489055625625"/>
    <n v="364.46145508122999"/>
    <x v="5"/>
  </r>
  <r>
    <s v="SALE1481"/>
    <d v="2025-04-19T00:00:00"/>
    <s v="CUST1261"/>
    <s v="PROD42"/>
    <s v="STORE2"/>
    <n v="2.5048056974797599"/>
    <n v="466.413836811897"/>
    <n v="0.156231244359673"/>
    <s v="PayPal"/>
    <n v="988.61121906492201"/>
    <n v="168632.03839321533"/>
    <n v="176"/>
    <x v="366"/>
    <n v="0.15797585857179186"/>
    <n v="2.5112787110790848"/>
    <n v="453.05900910721613"/>
    <n v="364.4215232046646"/>
    <x v="10"/>
  </r>
  <r>
    <s v="SALE1482"/>
    <d v="2024-12-13T00:00:00"/>
    <s v="CUST1286"/>
    <s v="PROD82"/>
    <s v="STORE0"/>
    <n v="2.5048307866797601"/>
    <n v="466.36207391381703"/>
    <n v="0.15623800643026201"/>
    <s v="PayPal"/>
    <n v="988.50322260547"/>
    <n v="168632.03839321533"/>
    <n v="176"/>
    <x v="236"/>
    <n v="0.15797923960708665"/>
    <n v="2.5112912556790836"/>
    <n v="453.033127658176"/>
    <n v="364.38159132809926"/>
    <x v="1"/>
  </r>
  <r>
    <s v="SALE1483"/>
    <d v="2025-04-27T00:00:00"/>
    <s v="CUST1100"/>
    <s v="PROD24"/>
    <s v="STORE16"/>
    <n v="2.5048558758797501"/>
    <n v="466.310311015737"/>
    <n v="0.156244768500852"/>
    <s v="COD"/>
    <n v="988.39522614601901"/>
    <n v="168632.03839321533"/>
    <n v="176"/>
    <x v="367"/>
    <n v="0.15798262064238144"/>
    <n v="2.5113038002790824"/>
    <n v="453.00724620913599"/>
    <n v="364.34165945153416"/>
    <x v="10"/>
  </r>
  <r>
    <s v="SALE1484"/>
    <d v="2024-10-04T00:00:00"/>
    <s v="CUST1164"/>
    <s v="PROD74"/>
    <s v="STORE10"/>
    <n v="2.5048809650797499"/>
    <n v="466.25854811765703"/>
    <n v="0.15625153057144101"/>
    <s v="Credit Card"/>
    <n v="988.287229686567"/>
    <n v="168632.03839321533"/>
    <n v="176"/>
    <x v="368"/>
    <n v="0.15798600167767626"/>
    <n v="2.5113163448790812"/>
    <n v="452.98136476009597"/>
    <n v="364.30172757496882"/>
    <x v="11"/>
  </r>
  <r>
    <s v="SALE1485"/>
    <d v="2025-07-18T00:00:00"/>
    <s v="CUST1228"/>
    <s v="PROD4"/>
    <s v="STORE8"/>
    <n v="2.5049060542797501"/>
    <n v="466.20678521957598"/>
    <n v="0.156258292642031"/>
    <s v="PayPal"/>
    <n v="988.17923322711499"/>
    <n v="167643.75116352877"/>
    <n v="175"/>
    <x v="241"/>
    <n v="0.15798938271297108"/>
    <n v="2.51132888947908"/>
    <n v="452.95548331105579"/>
    <n v="364.26179569840315"/>
    <x v="0"/>
  </r>
  <r>
    <s v="SALE1486"/>
    <d v="2024-03-11T00:00:00"/>
    <s v="CUST1453"/>
    <s v="PROD78"/>
    <s v="STORE6"/>
    <n v="2.5049311434797499"/>
    <n v="466.15502232149601"/>
    <n v="0.156265054712621"/>
    <s v="PayPal"/>
    <n v="988.07123676766298"/>
    <n v="167643.75116352877"/>
    <n v="175"/>
    <x v="369"/>
    <n v="0.15799276374826587"/>
    <n v="2.5113414340790792"/>
    <n v="452.92960186201577"/>
    <n v="364.22186382183781"/>
    <x v="9"/>
  </r>
  <r>
    <s v="SALE1487"/>
    <d v="2024-06-14T00:00:00"/>
    <s v="CUST1092"/>
    <s v="PROD10"/>
    <s v="STORE11"/>
    <n v="2.5049562326797399"/>
    <n v="466.10325942341598"/>
    <n v="0.15627181678321"/>
    <s v="PayPal"/>
    <n v="987.96324030821199"/>
    <n v="167643.75116352877"/>
    <n v="175"/>
    <x v="370"/>
    <n v="0.15799614478356072"/>
    <n v="2.5113539786790779"/>
    <n v="452.9037204129757"/>
    <n v="364.18193194527271"/>
    <x v="2"/>
  </r>
  <r>
    <s v="SALE1488"/>
    <d v="2024-02-16T00:00:00"/>
    <s v="CUST1344"/>
    <s v="PROD49"/>
    <s v="STORE17"/>
    <n v="2.5049813218797401"/>
    <n v="466.05149652533601"/>
    <n v="0.1562785788538"/>
    <s v="Credit Card"/>
    <n v="987.85524384875998"/>
    <n v="167643.75116352877"/>
    <n v="175"/>
    <x v="214"/>
    <n v="0.15799952581885554"/>
    <n v="2.5113665232790763"/>
    <n v="452.87783896393552"/>
    <n v="364.14200006870738"/>
    <x v="6"/>
  </r>
  <r>
    <s v="SALE1489"/>
    <d v="2024-09-17T00:00:00"/>
    <s v="CUST1077"/>
    <s v="PROD8"/>
    <s v="STORE19"/>
    <n v="2.5050064110797399"/>
    <n v="465.99973362725598"/>
    <n v="0.156285340924389"/>
    <s v="COD"/>
    <n v="987.74724738930797"/>
    <n v="166655.89591968001"/>
    <n v="174"/>
    <x v="25"/>
    <n v="0.15800290685415028"/>
    <n v="2.5113790678790751"/>
    <n v="452.8519575148955"/>
    <n v="364.10206819214204"/>
    <x v="8"/>
  </r>
  <r>
    <s v="SALE1490"/>
    <d v="2025-08-26T00:00:00"/>
    <s v="CUST1178"/>
    <s v="PROD42"/>
    <s v="STORE8"/>
    <n v="2.5050315002797401"/>
    <n v="465.94797072917601"/>
    <n v="0.156292102994979"/>
    <s v="Credit Card"/>
    <n v="987.63925092985596"/>
    <n v="166655.89591968001"/>
    <n v="174"/>
    <x v="371"/>
    <n v="0.15800628788944507"/>
    <n v="2.5113916124790743"/>
    <n v="452.82607606585543"/>
    <n v="364.06213631557671"/>
    <x v="7"/>
  </r>
  <r>
    <s v="SALE1491"/>
    <d v="2024-06-04T00:00:00"/>
    <s v="CUST1171"/>
    <s v="PROD86"/>
    <s v="STORE13"/>
    <n v="2.5050565894797301"/>
    <n v="465.89620783109598"/>
    <n v="0.156298865065569"/>
    <s v="Credit Card"/>
    <n v="987.53125447040497"/>
    <n v="165668.25666875014"/>
    <n v="173"/>
    <x v="21"/>
    <n v="0.15800966892473989"/>
    <n v="2.5114041570790726"/>
    <n v="452.8001946168153"/>
    <n v="364.0222044390116"/>
    <x v="2"/>
  </r>
  <r>
    <s v="SALE1492"/>
    <d v="2024-10-13T00:00:00"/>
    <s v="CUST1325"/>
    <s v="PROD38"/>
    <s v="STORE7"/>
    <n v="2.5050816786797299"/>
    <n v="465.84444493301498"/>
    <n v="0.156305627136158"/>
    <s v="COD"/>
    <n v="987.42325801095296"/>
    <n v="164680.72541427976"/>
    <n v="172"/>
    <x v="372"/>
    <n v="0.15801304996003471"/>
    <n v="2.5114167016790714"/>
    <n v="452.77431316777523"/>
    <n v="363.98227256244593"/>
    <x v="11"/>
  </r>
  <r>
    <s v="SALE1493"/>
    <d v="2025-02-09T00:00:00"/>
    <s v="CUST1201"/>
    <s v="PROD87"/>
    <s v="STORE9"/>
    <n v="2.5051067678797301"/>
    <n v="465.79268203493501"/>
    <n v="0.156312389206748"/>
    <s v="COD"/>
    <n v="987.31526155150095"/>
    <n v="164680.72541427976"/>
    <n v="172"/>
    <x v="373"/>
    <n v="0.1580164309953295"/>
    <n v="2.5114292462790702"/>
    <n v="452.74843171873516"/>
    <n v="363.94234068588059"/>
    <x v="6"/>
  </r>
  <r>
    <s v="SALE1494"/>
    <d v="2023-12-21T00:00:00"/>
    <s v="CUST1032"/>
    <s v="PROD16"/>
    <s v="STORE0"/>
    <n v="2.5051318570797299"/>
    <n v="465.74091913685498"/>
    <n v="0.156319151277337"/>
    <s v="PayPal"/>
    <n v="987.20726509204997"/>
    <n v="164680.72541427976"/>
    <n v="172"/>
    <x v="374"/>
    <n v="0.15801981203062432"/>
    <n v="2.5114417908790685"/>
    <n v="452.72255026969509"/>
    <n v="363.90240880931549"/>
    <x v="1"/>
  </r>
  <r>
    <s v="SALE1495"/>
    <d v="2025-07-17T00:00:00"/>
    <s v="CUST1314"/>
    <s v="PROD64"/>
    <s v="STORE5"/>
    <n v="2.5051569462797199"/>
    <n v="465.68915623877501"/>
    <n v="0.156325913347927"/>
    <s v="COD"/>
    <n v="987.09926863259795"/>
    <n v="164680.72541427976"/>
    <n v="172"/>
    <x v="375"/>
    <n v="0.15802319306591908"/>
    <n v="2.5114543354790673"/>
    <n v="452.69666882065502"/>
    <n v="363.86247693275016"/>
    <x v="0"/>
  </r>
  <r>
    <s v="SALE1496"/>
    <d v="2025-05-16T00:00:00"/>
    <s v="CUST1255"/>
    <s v="PROD72"/>
    <s v="STORE2"/>
    <n v="2.5051820354797201"/>
    <n v="465.63739334069498"/>
    <n v="0.156332675418517"/>
    <s v="COD"/>
    <n v="986.99127217314594"/>
    <n v="164680.72541427976"/>
    <n v="172"/>
    <x v="376"/>
    <n v="0.1580265741012139"/>
    <n v="2.511466880079066"/>
    <n v="452.67078737161484"/>
    <n v="363.82254505618482"/>
    <x v="5"/>
  </r>
  <r>
    <s v="SALE1497"/>
    <d v="2025-08-12T00:00:00"/>
    <s v="CUST1388"/>
    <s v="PROD82"/>
    <s v="STORE8"/>
    <n v="2.5052071246797198"/>
    <n v="465.58563044261501"/>
    <n v="0.156339437489106"/>
    <s v="PayPal"/>
    <n v="986.88327571369405"/>
    <n v="164680.72541427976"/>
    <n v="172"/>
    <x v="377"/>
    <n v="0.15802995513650869"/>
    <n v="2.5114794246790648"/>
    <n v="452.64490592257476"/>
    <n v="363.78261317961949"/>
    <x v="7"/>
  </r>
  <r>
    <s v="SALE1498"/>
    <d v="2025-08-21T00:00:00"/>
    <s v="CUST1053"/>
    <s v="PROD75"/>
    <s v="STORE4"/>
    <n v="2.5052322138797201"/>
    <n v="465.53386754453402"/>
    <n v="0.156346199559696"/>
    <s v="Credit Card"/>
    <n v="986.77527925424295"/>
    <n v="164680.72541427976"/>
    <n v="172"/>
    <x v="271"/>
    <n v="0.15803333617180351"/>
    <n v="2.5114919692790627"/>
    <n v="452.61902447353475"/>
    <n v="363.7426813030541"/>
    <x v="7"/>
  </r>
  <r>
    <s v="SALE1499"/>
    <d v="2023-11-21T00:00:00"/>
    <s v="CUST1235"/>
    <s v="PROD91"/>
    <s v="STORE7"/>
    <n v="2.5052573030797101"/>
    <n v="465.48210464645399"/>
    <n v="0.156352961630286"/>
    <s v="Credit Card"/>
    <n v="986.66728279479105"/>
    <n v="163693.95013502549"/>
    <n v="171"/>
    <x v="378"/>
    <n v="0.15803671720709833"/>
    <n v="2.5115045138790615"/>
    <n v="452.59314302449462"/>
    <n v="363.70274942648877"/>
    <x v="3"/>
  </r>
  <r>
    <s v="SALE1500"/>
    <d v="2025-02-07T00:00:00"/>
    <s v="CUST1492"/>
    <s v="PROD42"/>
    <s v="STORE0"/>
    <n v="2.5052823922797098"/>
    <n v="465.43034174837402"/>
    <n v="0.156359723700875"/>
    <s v="COD"/>
    <n v="986.55928633533904"/>
    <n v="162707.28285223071"/>
    <n v="170"/>
    <x v="379"/>
    <n v="0.15804009824239312"/>
    <n v="2.5115170584790603"/>
    <n v="452.56726157545455"/>
    <n v="363.66281754992337"/>
    <x v="6"/>
  </r>
  <r>
    <s v="SALE1501"/>
    <d v="2023-12-27T00:00:00"/>
    <s v="CUST1204"/>
    <s v="PROD44"/>
    <s v="STORE16"/>
    <n v="2.5053074814797101"/>
    <n v="465.37857885029399"/>
    <n v="0.156366485771465"/>
    <s v="Credit Card"/>
    <n v="986.45128987588703"/>
    <n v="162707.28285223071"/>
    <n v="170"/>
    <x v="380"/>
    <n v="0.15804347927768794"/>
    <n v="2.511529603079059"/>
    <n v="452.54138012641454"/>
    <n v="363.62288567335804"/>
    <x v="1"/>
  </r>
  <r>
    <s v="SALE1502"/>
    <d v="2025-02-23T00:00:00"/>
    <s v="CUST1333"/>
    <s v="PROD35"/>
    <s v="STORE6"/>
    <n v="2.5053325706797098"/>
    <n v="465.32681595221402"/>
    <n v="0.156373247842054"/>
    <s v="COD"/>
    <n v="986.34329341643604"/>
    <n v="161720.83156235481"/>
    <n v="169"/>
    <x v="294"/>
    <n v="0.15804686031298279"/>
    <n v="2.5115421476790569"/>
    <n v="452.51549867737441"/>
    <n v="363.58295379679294"/>
    <x v="6"/>
  </r>
  <r>
    <s v="SALE1503"/>
    <d v="2025-07-04T00:00:00"/>
    <s v="CUST1166"/>
    <s v="PROD59"/>
    <s v="STORE18"/>
    <n v="2.5053576598796998"/>
    <n v="465.27505305413399"/>
    <n v="0.156380009912644"/>
    <s v="COD"/>
    <n v="986.23529695698403"/>
    <n v="161720.83156235481"/>
    <n v="169"/>
    <x v="253"/>
    <n v="0.15805024134827758"/>
    <n v="2.5115546922790557"/>
    <n v="452.4896172283344"/>
    <n v="363.5430219202276"/>
    <x v="0"/>
  </r>
  <r>
    <s v="SALE1504"/>
    <d v="2023-11-25T00:00:00"/>
    <s v="CUST1103"/>
    <s v="PROD26"/>
    <s v="STORE1"/>
    <n v="2.5053827490797"/>
    <n v="465.223290156053"/>
    <n v="0.156386771983234"/>
    <s v="PayPal"/>
    <n v="986.12730049753202"/>
    <n v="161720.83156235481"/>
    <n v="169"/>
    <x v="65"/>
    <n v="0.15805362238357232"/>
    <n v="2.5115672368790549"/>
    <n v="452.46373577929427"/>
    <n v="363.50309004366198"/>
    <x v="3"/>
  </r>
  <r>
    <s v="SALE1505"/>
    <d v="2025-02-07T00:00:00"/>
    <s v="CUST1378"/>
    <s v="PROD10"/>
    <s v="STORE6"/>
    <n v="2.5054078382796998"/>
    <n v="465.17152725797303"/>
    <n v="0.156393534053823"/>
    <s v="Credit Card"/>
    <n v="986.01930403808001"/>
    <n v="161720.83156235481"/>
    <n v="169"/>
    <x v="379"/>
    <n v="0.15805700341886714"/>
    <n v="2.5115797814790537"/>
    <n v="452.4378543302542"/>
    <n v="363.46315816709665"/>
    <x v="6"/>
  </r>
  <r>
    <s v="SALE1506"/>
    <d v="2023-12-21T00:00:00"/>
    <s v="CUST1046"/>
    <s v="PROD23"/>
    <s v="STORE15"/>
    <n v="2.5054329274796898"/>
    <n v="465.119764359893"/>
    <n v="0.156400296124413"/>
    <s v="PayPal"/>
    <n v="985.91130757862902"/>
    <n v="160734.81225831676"/>
    <n v="168"/>
    <x v="374"/>
    <n v="0.15806038445416196"/>
    <n v="2.5115923260790516"/>
    <n v="452.41197288121418"/>
    <n v="363.42322629053155"/>
    <x v="1"/>
  </r>
  <r>
    <s v="SALE1507"/>
    <d v="2024-01-04T00:00:00"/>
    <s v="CUST1123"/>
    <s v="PROD12"/>
    <s v="STORE15"/>
    <n v="2.50545801667969"/>
    <n v="465.06800146181303"/>
    <n v="0.156407058195002"/>
    <s v="Credit Card"/>
    <n v="985.80331111917701"/>
    <n v="160734.81225831676"/>
    <n v="168"/>
    <x v="381"/>
    <n v="0.15806376548945675"/>
    <n v="2.5116048706790504"/>
    <n v="452.38609143217406"/>
    <n v="363.38329441396615"/>
    <x v="4"/>
  </r>
  <r>
    <s v="SALE1508"/>
    <d v="2023-11-30T00:00:00"/>
    <s v="CUST1157"/>
    <s v="PROD55"/>
    <s v="STORE7"/>
    <n v="2.5054831058796898"/>
    <n v="465.016238563733"/>
    <n v="0.156413820265592"/>
    <s v="PayPal"/>
    <n v="985.695314659725"/>
    <n v="159749.00894719758"/>
    <n v="167"/>
    <x v="382"/>
    <n v="0.15806714652475159"/>
    <n v="2.5116174152790496"/>
    <n v="452.36020998313404"/>
    <n v="363.34336253740082"/>
    <x v="3"/>
  </r>
  <r>
    <s v="SALE1509"/>
    <d v="2025-07-13T00:00:00"/>
    <s v="CUST1349"/>
    <s v="PROD21"/>
    <s v="STORE16"/>
    <n v="2.50550819507969"/>
    <n v="464.96447566565303"/>
    <n v="0.156420582336182"/>
    <s v="Credit Card"/>
    <n v="985.58731820027401"/>
    <n v="159749.00894719758"/>
    <n v="167"/>
    <x v="103"/>
    <n v="0.15807052756004641"/>
    <n v="2.5116299598790484"/>
    <n v="452.33432853409391"/>
    <n v="363.30343066083572"/>
    <x v="0"/>
  </r>
  <r>
    <s v="SALE1510"/>
    <d v="2023-10-23T00:00:00"/>
    <s v="CUST1187"/>
    <s v="PROD43"/>
    <s v="STORE2"/>
    <n v="2.50553328427968"/>
    <n v="464.912712767573"/>
    <n v="0.156427344406771"/>
    <s v="PayPal"/>
    <n v="985.479321740822"/>
    <n v="158763.42162899731"/>
    <n v="166"/>
    <x v="383"/>
    <n v="0.15807390859534121"/>
    <n v="2.5116425044790471"/>
    <n v="452.30844708505384"/>
    <n v="363.26349878427038"/>
    <x v="11"/>
  </r>
  <r>
    <s v="SALE1511"/>
    <d v="2025-10-10T00:00:00"/>
    <s v="CUST1027"/>
    <s v="PROD92"/>
    <s v="STORE11"/>
    <n v="2.5055583734796798"/>
    <n v="464.860949869492"/>
    <n v="0.156434106477361"/>
    <s v="PayPal"/>
    <n v="985.37132528136999"/>
    <n v="158763.42162899731"/>
    <n v="166"/>
    <x v="280"/>
    <n v="0.158077289630636"/>
    <n v="2.5116550490790455"/>
    <n v="452.28256563601366"/>
    <n v="363.22356690770476"/>
    <x v="11"/>
  </r>
  <r>
    <s v="SALE1512"/>
    <d v="2025-06-14T00:00:00"/>
    <s v="CUST1057"/>
    <s v="PROD38"/>
    <s v="STORE14"/>
    <n v="2.50558346267968"/>
    <n v="464.80918697141198"/>
    <n v="0.15644086854795"/>
    <s v="PayPal"/>
    <n v="985.26332882191798"/>
    <n v="158763.42162899731"/>
    <n v="166"/>
    <x v="384"/>
    <n v="0.15808067066593076"/>
    <n v="2.5116675936790442"/>
    <n v="452.2566841869737"/>
    <n v="363.18363503113937"/>
    <x v="2"/>
  </r>
  <r>
    <s v="SALE1513"/>
    <d v="2025-04-05T00:00:00"/>
    <s v="CUST1270"/>
    <s v="PROD19"/>
    <s v="STORE15"/>
    <n v="2.5056085518796798"/>
    <n v="464.757424073332"/>
    <n v="0.15644763061854"/>
    <s v="COD"/>
    <n v="985.15533236246699"/>
    <n v="158763.42162899731"/>
    <n v="166"/>
    <x v="385"/>
    <n v="0.15808405170122558"/>
    <n v="2.5116801382790435"/>
    <n v="452.23080273793369"/>
    <n v="363.14370315457427"/>
    <x v="10"/>
  </r>
  <r>
    <s v="SALE1514"/>
    <d v="2025-01-20T00:00:00"/>
    <s v="CUST1278"/>
    <s v="PROD88"/>
    <s v="STORE2"/>
    <n v="2.5056336410796698"/>
    <n v="464.70566117525198"/>
    <n v="0.15645439268913"/>
    <s v="COD"/>
    <n v="985.04733590301498"/>
    <n v="158763.42162899731"/>
    <n v="166"/>
    <x v="43"/>
    <n v="0.15808743273652037"/>
    <n v="2.5116926828790418"/>
    <n v="452.20492128889356"/>
    <n v="363.10377127800894"/>
    <x v="4"/>
  </r>
  <r>
    <s v="SALE1515"/>
    <d v="2023-11-23T00:00:00"/>
    <s v="CUST1087"/>
    <s v="PROD86"/>
    <s v="STORE17"/>
    <n v="2.50565873027967"/>
    <n v="464.653898277172"/>
    <n v="0.156461154759719"/>
    <s v="Credit Card"/>
    <n v="984.93933944356297"/>
    <n v="158763.42162899731"/>
    <n v="166"/>
    <x v="205"/>
    <n v="0.15809081377181522"/>
    <n v="2.5117052274790401"/>
    <n v="452.17903983985349"/>
    <n v="363.0638394014436"/>
    <x v="3"/>
  </r>
  <r>
    <s v="SALE1516"/>
    <d v="2024-04-07T00:00:00"/>
    <s v="CUST1062"/>
    <s v="PROD84"/>
    <s v="STORE16"/>
    <n v="2.5056838194796698"/>
    <n v="464.60213537909198"/>
    <n v="0.156467916830309"/>
    <s v="Credit Card"/>
    <n v="984.83134298411096"/>
    <n v="157778.48228955374"/>
    <n v="165"/>
    <x v="257"/>
    <n v="0.15809419480711004"/>
    <n v="2.5117177720790389"/>
    <n v="452.15315839081342"/>
    <n v="363.02390752487821"/>
    <x v="10"/>
  </r>
  <r>
    <s v="SALE1517"/>
    <d v="2025-07-02T00:00:00"/>
    <s v="CUST1105"/>
    <s v="PROD13"/>
    <s v="STORE13"/>
    <n v="2.50570890867967"/>
    <n v="464.55037248101098"/>
    <n v="0.156474678900899"/>
    <s v="COD"/>
    <n v="984.72334652465997"/>
    <n v="156793.65094656963"/>
    <n v="164"/>
    <x v="263"/>
    <n v="0.15809757584240486"/>
    <n v="2.5117303166790381"/>
    <n v="452.12727694177335"/>
    <n v="362.98397564831288"/>
    <x v="0"/>
  </r>
  <r>
    <s v="SALE1518"/>
    <d v="2023-11-26T00:00:00"/>
    <s v="CUST1389"/>
    <s v="PROD91"/>
    <s v="STORE16"/>
    <n v="2.50573399787966"/>
    <n v="464.49860958293101"/>
    <n v="0.156481440971488"/>
    <s v="COD"/>
    <n v="984.61535006520796"/>
    <n v="156793.65094656963"/>
    <n v="164"/>
    <x v="386"/>
    <n v="0.15810095687769962"/>
    <n v="2.5117428612790369"/>
    <n v="452.10139549273316"/>
    <n v="362.94404377174754"/>
    <x v="3"/>
  </r>
  <r>
    <s v="SALE1519"/>
    <d v="2024-02-04T00:00:00"/>
    <s v="CUST1188"/>
    <s v="PROD30"/>
    <s v="STORE8"/>
    <n v="2.5057590870796602"/>
    <n v="464.44684668485098"/>
    <n v="0.156488203042078"/>
    <s v="Credit Card"/>
    <n v="984.50735360575595"/>
    <n v="156793.65094656963"/>
    <n v="164"/>
    <x v="387"/>
    <n v="0.15810433791299447"/>
    <n v="2.5117554058790352"/>
    <n v="452.07551404369315"/>
    <n v="362.90411189518215"/>
    <x v="6"/>
  </r>
  <r>
    <s v="SALE1520"/>
    <d v="2024-06-16T00:00:00"/>
    <s v="CUST1182"/>
    <s v="PROD11"/>
    <s v="STORE17"/>
    <n v="2.50578417627966"/>
    <n v="464.39508378677101"/>
    <n v="0.156494965112667"/>
    <s v="PayPal"/>
    <n v="984.39935714630406"/>
    <n v="155809.14359296387"/>
    <n v="163"/>
    <x v="170"/>
    <n v="0.15810771894828929"/>
    <n v="2.511767950479034"/>
    <n v="452.04963259465308"/>
    <n v="362.86418001861682"/>
    <x v="2"/>
  </r>
  <r>
    <s v="SALE1521"/>
    <d v="2025-02-27T00:00:00"/>
    <s v="CUST1026"/>
    <s v="PROD1"/>
    <s v="STORE2"/>
    <n v="2.5058092654796602"/>
    <n v="464.34332088869098"/>
    <n v="0.156501727183257"/>
    <s v="PayPal"/>
    <n v="984.29136068685295"/>
    <n v="155809.14359296387"/>
    <n v="163"/>
    <x v="388"/>
    <n v="0.15811109998358402"/>
    <n v="2.5117804950790332"/>
    <n v="452.02375114561295"/>
    <n v="362.82424814205172"/>
    <x v="6"/>
  </r>
  <r>
    <s v="SALE1522"/>
    <d v="2023-10-24T00:00:00"/>
    <s v="CUST1011"/>
    <s v="PROD3"/>
    <s v="STORE3"/>
    <n v="2.5058343546796502"/>
    <n v="464.29155799061101"/>
    <n v="0.156508489253847"/>
    <s v="Credit Card"/>
    <n v="984.18336422740094"/>
    <n v="155809.14359296387"/>
    <n v="163"/>
    <x v="389"/>
    <n v="0.15811448101887884"/>
    <n v="2.5117930396790316"/>
    <n v="451.99786969657299"/>
    <n v="362.78431626548638"/>
    <x v="11"/>
  </r>
  <r>
    <s v="SALE1523"/>
    <d v="2024-08-03T00:00:00"/>
    <s v="CUST1452"/>
    <s v="PROD59"/>
    <s v="STORE7"/>
    <n v="2.50585944387965"/>
    <n v="464.23979509253002"/>
    <n v="0.156515251324436"/>
    <s v="Credit Card"/>
    <n v="984.07536776794905"/>
    <n v="154824.96022873648"/>
    <n v="162"/>
    <x v="390"/>
    <n v="0.15811786205417369"/>
    <n v="2.5118055842790308"/>
    <n v="451.97198824753281"/>
    <n v="362.74438438892082"/>
    <x v="7"/>
  </r>
  <r>
    <s v="SALE1524"/>
    <d v="2025-07-05T00:00:00"/>
    <s v="CUST1149"/>
    <s v="PROD90"/>
    <s v="STORE12"/>
    <n v="2.5058845330796502"/>
    <n v="464.18803219444999"/>
    <n v="0.156522013395026"/>
    <s v="COD"/>
    <n v="983.96737130849795"/>
    <n v="153840.88486096854"/>
    <n v="161"/>
    <x v="20"/>
    <n v="0.15812124308946848"/>
    <n v="2.5118181288790291"/>
    <n v="451.94610679849268"/>
    <n v="362.70445251235566"/>
    <x v="0"/>
  </r>
  <r>
    <s v="SALE1525"/>
    <d v="2025-05-27T00:00:00"/>
    <s v="CUST1470"/>
    <s v="PROD46"/>
    <s v="STORE13"/>
    <n v="2.50590962227965"/>
    <n v="464.13626929637002"/>
    <n v="0.156528775465615"/>
    <s v="PayPal"/>
    <n v="983.85937484904605"/>
    <n v="153840.88486096854"/>
    <n v="161"/>
    <x v="391"/>
    <n v="0.15812462412476327"/>
    <n v="2.5118306734790283"/>
    <n v="451.92022534945261"/>
    <n v="362.66452063579032"/>
    <x v="5"/>
  </r>
  <r>
    <s v="SALE1526"/>
    <d v="2024-11-06T00:00:00"/>
    <s v="CUST1452"/>
    <s v="PROD63"/>
    <s v="STORE2"/>
    <n v="2.50593471147964"/>
    <n v="464.08450639828999"/>
    <n v="0.156535537536205"/>
    <s v="PayPal"/>
    <n v="983.75137838959404"/>
    <n v="153840.88486096854"/>
    <n v="161"/>
    <x v="392"/>
    <n v="0.15812800516005809"/>
    <n v="2.5118432180790267"/>
    <n v="451.89434390041259"/>
    <n v="362.62458875922499"/>
    <x v="3"/>
  </r>
  <r>
    <s v="SALE1527"/>
    <d v="2024-06-03T00:00:00"/>
    <s v="CUST1328"/>
    <s v="PROD20"/>
    <s v="STORE6"/>
    <n v="2.5059598006796402"/>
    <n v="464.03274350021002"/>
    <n v="0.156542299606795"/>
    <s v="PayPal"/>
    <n v="983.64338193014203"/>
    <n v="153840.88486096854"/>
    <n v="161"/>
    <x v="2"/>
    <n v="0.15813138619535286"/>
    <n v="2.5118557626790259"/>
    <n v="451.86846245137247"/>
    <n v="362.5846568826596"/>
    <x v="2"/>
  </r>
  <r>
    <s v="SALE1528"/>
    <d v="2024-04-02T00:00:00"/>
    <s v="CUST1105"/>
    <s v="PROD56"/>
    <s v="STORE9"/>
    <n v="2.50598488987964"/>
    <n v="463.98098060212999"/>
    <n v="0.156549061677384"/>
    <s v="COD"/>
    <n v="983.53538547069104"/>
    <n v="153840.88486096854"/>
    <n v="161"/>
    <x v="393"/>
    <n v="0.15813476723064765"/>
    <n v="2.5118683072790242"/>
    <n v="451.84258100233245"/>
    <n v="362.5447250060945"/>
    <x v="10"/>
  </r>
  <r>
    <s v="SALE1529"/>
    <d v="2024-02-26T00:00:00"/>
    <s v="CUST1461"/>
    <s v="PROD65"/>
    <s v="STORE3"/>
    <n v="2.50600997907963"/>
    <n v="463.92921770404899"/>
    <n v="0.156555823747974"/>
    <s v="Credit Card"/>
    <n v="983.42738901123903"/>
    <n v="153840.88486096854"/>
    <n v="161"/>
    <x v="196"/>
    <n v="0.1581381482659425"/>
    <n v="2.511880851879023"/>
    <n v="451.81669955329232"/>
    <n v="362.50479312952893"/>
    <x v="6"/>
  </r>
  <r>
    <s v="SALE1530"/>
    <d v="2025-01-31T00:00:00"/>
    <s v="CUST1284"/>
    <s v="PROD18"/>
    <s v="STORE11"/>
    <n v="2.5060350682796302"/>
    <n v="463.87745480596902"/>
    <n v="0.156562585818563"/>
    <s v="PayPal"/>
    <n v="983.31939255178702"/>
    <n v="152857.45747195728"/>
    <n v="160"/>
    <x v="298"/>
    <n v="0.15814152930123726"/>
    <n v="2.5118933964790213"/>
    <n v="451.79081810425225"/>
    <n v="362.46486125296354"/>
    <x v="4"/>
  </r>
  <r>
    <s v="SALE1531"/>
    <d v="2023-11-19T00:00:00"/>
    <s v="CUST1040"/>
    <s v="PROD17"/>
    <s v="STORE1"/>
    <n v="2.50606015747963"/>
    <n v="463.825691907889"/>
    <n v="0.156569347889153"/>
    <s v="Credit Card"/>
    <n v="983.21139609233501"/>
    <n v="152857.45747195728"/>
    <n v="160"/>
    <x v="394"/>
    <n v="0.15814491033653214"/>
    <n v="2.5119059410790201"/>
    <n v="451.76493665521218"/>
    <n v="362.42492937639821"/>
    <x v="3"/>
  </r>
  <r>
    <s v="SALE1532"/>
    <d v="2025-03-10T00:00:00"/>
    <s v="CUST1382"/>
    <s v="PROD76"/>
    <s v="STORE19"/>
    <n v="2.5060852466796302"/>
    <n v="463.77392900980902"/>
    <n v="0.156576109959743"/>
    <s v="PayPal"/>
    <n v="983.10339963288402"/>
    <n v="151874.24607586497"/>
    <n v="159"/>
    <x v="349"/>
    <n v="0.15814829137182693"/>
    <n v="2.5119184856790189"/>
    <n v="451.73905520617211"/>
    <n v="362.3849974998331"/>
    <x v="9"/>
  </r>
  <r>
    <s v="SALE1533"/>
    <d v="2023-12-23T00:00:00"/>
    <s v="CUST1343"/>
    <s v="PROD55"/>
    <s v="STORE7"/>
    <n v="2.5061103358796202"/>
    <n v="463.722166111729"/>
    <n v="0.156582872030332"/>
    <s v="COD"/>
    <n v="982.99540317343201"/>
    <n v="151874.24607586497"/>
    <n v="159"/>
    <x v="395"/>
    <n v="0.15815167240712169"/>
    <n v="2.5119310302790172"/>
    <n v="451.71317375713204"/>
    <n v="362.34506562326771"/>
    <x v="1"/>
  </r>
  <r>
    <s v="SALE1534"/>
    <d v="2024-03-02T00:00:00"/>
    <s v="CUST1237"/>
    <s v="PROD50"/>
    <s v="STORE19"/>
    <n v="2.5061354250796199"/>
    <n v="463.67040321364902"/>
    <n v="0.156589634100922"/>
    <s v="COD"/>
    <n v="982.88740671398"/>
    <n v="151874.24607586497"/>
    <n v="159"/>
    <x v="396"/>
    <n v="0.15815505344241651"/>
    <n v="2.511943574879016"/>
    <n v="451.68729230809191"/>
    <n v="362.30513374670238"/>
    <x v="9"/>
  </r>
  <r>
    <s v="SALE1535"/>
    <d v="2024-10-27T00:00:00"/>
    <s v="CUST1287"/>
    <s v="PROD71"/>
    <s v="STORE13"/>
    <n v="2.5061605142796202"/>
    <n v="463.618640315569"/>
    <n v="0.156596396171511"/>
    <s v="PayPal"/>
    <n v="982.77941025452799"/>
    <n v="151874.24607586497"/>
    <n v="159"/>
    <x v="397"/>
    <n v="0.1581584344777113"/>
    <n v="2.5119561194790143"/>
    <n v="451.66141085905184"/>
    <n v="362.26520187013705"/>
    <x v="11"/>
  </r>
  <r>
    <s v="SALE1536"/>
    <d v="2024-03-09T00:00:00"/>
    <s v="CUST1007"/>
    <s v="PROD88"/>
    <s v="STORE2"/>
    <n v="2.5061856034796199"/>
    <n v="463.566877417488"/>
    <n v="0.156603158242101"/>
    <s v="PayPal"/>
    <n v="982.671413795077"/>
    <n v="151874.24607586497"/>
    <n v="159"/>
    <x v="398"/>
    <n v="0.15816181551300609"/>
    <n v="2.5119686640790135"/>
    <n v="451.63552941001183"/>
    <n v="362.22526999357166"/>
    <x v="9"/>
  </r>
  <r>
    <s v="SALE1537"/>
    <d v="2024-12-23T00:00:00"/>
    <s v="CUST1223"/>
    <s v="PROD81"/>
    <s v="STORE12"/>
    <n v="2.5062106926796099"/>
    <n v="463.51511451940797"/>
    <n v="0.156609920312691"/>
    <s v="PayPal"/>
    <n v="982.56341733562499"/>
    <n v="151874.24607586497"/>
    <n v="159"/>
    <x v="42"/>
    <n v="0.15816519654830091"/>
    <n v="2.5119812086790114"/>
    <n v="451.6096479609717"/>
    <n v="362.18533811700632"/>
    <x v="1"/>
  </r>
  <r>
    <s v="SALE1538"/>
    <d v="2025-02-21T00:00:00"/>
    <s v="CUST1136"/>
    <s v="PROD39"/>
    <s v="STORE7"/>
    <n v="2.5062357818796102"/>
    <n v="463.463351621328"/>
    <n v="0.15661668238328"/>
    <s v="COD"/>
    <n v="982.45542087617298"/>
    <n v="151874.24607586497"/>
    <n v="159"/>
    <x v="326"/>
    <n v="0.1581685775835957"/>
    <n v="2.5119937532790106"/>
    <n v="451.58376651193169"/>
    <n v="362.14540624044093"/>
    <x v="6"/>
  </r>
  <r>
    <s v="SALE1539"/>
    <d v="2023-12-13T00:00:00"/>
    <s v="CUST1242"/>
    <s v="PROD81"/>
    <s v="STORE4"/>
    <n v="2.5062608710796099"/>
    <n v="463.41158872324797"/>
    <n v="0.15662344445387"/>
    <s v="PayPal"/>
    <n v="982.34742441672199"/>
    <n v="151874.24607586497"/>
    <n v="159"/>
    <x v="399"/>
    <n v="0.15817195861889058"/>
    <n v="2.5120062978790094"/>
    <n v="451.55788506289156"/>
    <n v="362.10547436387589"/>
    <x v="1"/>
  </r>
  <r>
    <s v="SALE1540"/>
    <d v="2023-11-20T00:00:00"/>
    <s v="CUST1017"/>
    <s v="PROD88"/>
    <s v="STORE5"/>
    <n v="2.5062859602796101"/>
    <n v="463.359825825168"/>
    <n v="0.156630206524459"/>
    <s v="PayPal"/>
    <n v="982.23942795726998"/>
    <n v="151874.24607586497"/>
    <n v="159"/>
    <x v="400"/>
    <n v="0.15817533965418534"/>
    <n v="2.5120188424790082"/>
    <n v="451.53200361385143"/>
    <n v="362.06554248731049"/>
    <x v="3"/>
  </r>
  <r>
    <s v="SALE1541"/>
    <d v="2024-09-04T00:00:00"/>
    <s v="CUST1011"/>
    <s v="PROD44"/>
    <s v="STORE19"/>
    <n v="2.5063110494796002"/>
    <n v="463.30806292708797"/>
    <n v="0.156636968595049"/>
    <s v="COD"/>
    <n v="982.13143149781797"/>
    <n v="151874.24607586497"/>
    <n v="159"/>
    <x v="401"/>
    <n v="0.15817872068948016"/>
    <n v="2.5120313870790065"/>
    <n v="451.50612216481142"/>
    <n v="362.02561061074516"/>
    <x v="8"/>
  </r>
  <r>
    <s v="SALE1542"/>
    <d v="2025-06-02T00:00:00"/>
    <s v="CUST1142"/>
    <s v="PROD99"/>
    <s v="STORE10"/>
    <n v="2.5063361386795999"/>
    <n v="463.25630002900698"/>
    <n v="0.156643730665639"/>
    <s v="Credit Card"/>
    <n v="982.02343503836596"/>
    <n v="151874.24607586497"/>
    <n v="159"/>
    <x v="402"/>
    <n v="0.15818210172477495"/>
    <n v="2.5120439316790053"/>
    <n v="451.48024071577134"/>
    <n v="361.98567873417954"/>
    <x v="2"/>
  </r>
  <r>
    <s v="SALE1543"/>
    <d v="2024-02-28T00:00:00"/>
    <s v="CUST1377"/>
    <s v="PROD78"/>
    <s v="STORE4"/>
    <n v="2.5063612278796001"/>
    <n v="463.20453713092701"/>
    <n v="0.156650492736228"/>
    <s v="COD"/>
    <n v="981.91543857891497"/>
    <n v="150892.2226408266"/>
    <n v="158"/>
    <x v="87"/>
    <n v="0.15818548276006975"/>
    <n v="2.5120564762790041"/>
    <n v="451.45435926673127"/>
    <n v="361.94574685761444"/>
    <x v="6"/>
  </r>
  <r>
    <s v="SALE1544"/>
    <d v="2024-12-07T00:00:00"/>
    <s v="CUST1229"/>
    <s v="PROD77"/>
    <s v="STORE1"/>
    <n v="2.5063863170795999"/>
    <n v="463.15277423284698"/>
    <n v="0.156657254806818"/>
    <s v="PayPal"/>
    <n v="981.80744211946296"/>
    <n v="150892.2226408266"/>
    <n v="158"/>
    <x v="56"/>
    <n v="0.15818886379536451"/>
    <n v="2.5120690208790029"/>
    <n v="451.42847781769115"/>
    <n v="361.9058149810491"/>
    <x v="1"/>
  </r>
  <r>
    <s v="SALE1545"/>
    <d v="2025-05-21T00:00:00"/>
    <s v="CUST1264"/>
    <s v="PROD98"/>
    <s v="STORE3"/>
    <n v="2.5064114062795899"/>
    <n v="463.10101133476701"/>
    <n v="0.156664016877407"/>
    <s v="COD"/>
    <n v="981.69944566001095"/>
    <n v="150892.2226408266"/>
    <n v="158"/>
    <x v="104"/>
    <n v="0.15819224483065938"/>
    <n v="2.5120815654790012"/>
    <n v="451.40259636865107"/>
    <n v="361.86588310448371"/>
    <x v="5"/>
  </r>
  <r>
    <s v="SALE1546"/>
    <d v="2024-03-03T00:00:00"/>
    <s v="CUST1147"/>
    <s v="PROD52"/>
    <s v="STORE7"/>
    <n v="2.5064364954795901"/>
    <n v="463.04924843668698"/>
    <n v="0.156670778947997"/>
    <s v="COD"/>
    <n v="981.59144920055905"/>
    <n v="150892.2226408266"/>
    <n v="158"/>
    <x v="166"/>
    <n v="0.15819562586595415"/>
    <n v="2.512094110079"/>
    <n v="451.376714919611"/>
    <n v="361.82595122791838"/>
    <x v="9"/>
  </r>
  <r>
    <s v="SALE1547"/>
    <d v="2024-03-06T00:00:00"/>
    <s v="CUST1214"/>
    <s v="PROD71"/>
    <s v="STORE18"/>
    <n v="2.5064615846795899"/>
    <n v="462.99748553860701"/>
    <n v="0.156677541018587"/>
    <s v="PayPal"/>
    <n v="981.48345274110795"/>
    <n v="150892.2226408266"/>
    <n v="158"/>
    <x v="403"/>
    <n v="0.158199006901249"/>
    <n v="2.5121066546789992"/>
    <n v="451.35083347057093"/>
    <n v="361.78601935135327"/>
    <x v="9"/>
  </r>
  <r>
    <s v="SALE1548"/>
    <d v="2023-11-27T00:00:00"/>
    <s v="CUST1325"/>
    <s v="PROD96"/>
    <s v="STORE5"/>
    <n v="2.5064866738795799"/>
    <n v="462.94572264052601"/>
    <n v="0.156684303089176"/>
    <s v="Credit Card"/>
    <n v="981.37545628165606"/>
    <n v="150892.2226408266"/>
    <n v="158"/>
    <x v="57"/>
    <n v="0.15820238793654376"/>
    <n v="2.5121191992789975"/>
    <n v="451.32495202153075"/>
    <n v="361.74608747478771"/>
    <x v="3"/>
  </r>
  <r>
    <s v="SALE1549"/>
    <d v="2025-02-14T00:00:00"/>
    <s v="CUST1138"/>
    <s v="PROD19"/>
    <s v="STORE18"/>
    <n v="2.5065117630795801"/>
    <n v="462.89395974244599"/>
    <n v="0.156691065159766"/>
    <s v="COD"/>
    <n v="981.26745982220405"/>
    <n v="149910.84718454492"/>
    <n v="157"/>
    <x v="404"/>
    <n v="0.15820576897183855"/>
    <n v="2.5121317438789958"/>
    <n v="451.29907057249062"/>
    <n v="361.70615559822232"/>
    <x v="6"/>
  </r>
  <r>
    <s v="SALE1550"/>
    <d v="2024-01-27T00:00:00"/>
    <s v="CUST1058"/>
    <s v="PROD32"/>
    <s v="STORE12"/>
    <n v="2.5065368522795799"/>
    <n v="462.84219684436601"/>
    <n v="0.156697827230356"/>
    <s v="Credit Card"/>
    <n v="981.15946336275204"/>
    <n v="149910.84718454492"/>
    <n v="157"/>
    <x v="405"/>
    <n v="0.1582091500071334"/>
    <n v="2.5121442884789955"/>
    <n v="451.27318912345055"/>
    <n v="361.66622372165699"/>
    <x v="4"/>
  </r>
  <r>
    <s v="SALE1551"/>
    <d v="2025-10-13T00:00:00"/>
    <s v="CUST1388"/>
    <s v="PROD92"/>
    <s v="STORE17"/>
    <n v="2.5065619414795801"/>
    <n v="462.79043394628599"/>
    <n v="0.156704589300945"/>
    <s v="Credit Card"/>
    <n v="981.05146690330105"/>
    <n v="148929.68772118218"/>
    <n v="156"/>
    <x v="186"/>
    <n v="0.15821253104242816"/>
    <n v="2.5121568330789938"/>
    <n v="451.24730767441065"/>
    <n v="361.62629184509188"/>
    <x v="11"/>
  </r>
  <r>
    <s v="SALE1552"/>
    <d v="2025-04-22T00:00:00"/>
    <s v="CUST1054"/>
    <s v="PROD28"/>
    <s v="STORE13"/>
    <n v="2.5065870306795701"/>
    <n v="462.73867104820602"/>
    <n v="0.156711351371535"/>
    <s v="COD"/>
    <n v="980.94347044384904"/>
    <n v="147948.63625427886"/>
    <n v="155"/>
    <x v="406"/>
    <n v="0.15821591207772295"/>
    <n v="2.5121693776789922"/>
    <n v="451.22142622537041"/>
    <n v="361.58635996852655"/>
    <x v="10"/>
  </r>
  <r>
    <s v="SALE1553"/>
    <d v="2025-04-18T00:00:00"/>
    <s v="CUST1199"/>
    <s v="PROD99"/>
    <s v="STORE2"/>
    <n v="2.5066121198795699"/>
    <n v="462.68690815012599"/>
    <n v="0.156718113442124"/>
    <s v="COD"/>
    <n v="980.83547398439703"/>
    <n v="147948.63625427886"/>
    <n v="155"/>
    <x v="407"/>
    <n v="0.15821929311301783"/>
    <n v="2.512181922278991"/>
    <n v="451.19554477633034"/>
    <n v="361.54642809196116"/>
    <x v="10"/>
  </r>
  <r>
    <s v="SALE1554"/>
    <d v="2025-08-22T00:00:00"/>
    <s v="CUST1173"/>
    <s v="PROD20"/>
    <s v="STORE7"/>
    <n v="2.5066372090795701"/>
    <n v="462.63514525204602"/>
    <n v="0.156724875512714"/>
    <s v="COD"/>
    <n v="980.72747752494502"/>
    <n v="147948.63625427886"/>
    <n v="155"/>
    <x v="99"/>
    <n v="0.15822267414831259"/>
    <n v="2.5121944668789902"/>
    <n v="451.16966332729032"/>
    <n v="361.50649621539583"/>
    <x v="7"/>
  </r>
  <r>
    <s v="SALE1555"/>
    <d v="2025-07-04T00:00:00"/>
    <s v="CUST1202"/>
    <s v="PROD78"/>
    <s v="STORE8"/>
    <n v="2.5066622982795699"/>
    <n v="462.58338235396502"/>
    <n v="0.156731637583304"/>
    <s v="COD"/>
    <n v="980.61948106549403"/>
    <n v="147948.63625427886"/>
    <n v="155"/>
    <x v="253"/>
    <n v="0.15822605518360741"/>
    <n v="2.5122070114789889"/>
    <n v="451.14378187825025"/>
    <n v="361.46656433883049"/>
    <x v="0"/>
  </r>
  <r>
    <s v="SALE1556"/>
    <d v="2024-03-31T00:00:00"/>
    <s v="CUST1278"/>
    <s v="PROD64"/>
    <s v="STORE2"/>
    <n v="2.5066873874795599"/>
    <n v="462.53161945588499"/>
    <n v="0.156738399653893"/>
    <s v="PayPal"/>
    <n v="980.51148460604202"/>
    <n v="147948.63625427886"/>
    <n v="155"/>
    <x v="408"/>
    <n v="0.1582294362189022"/>
    <n v="2.5122195560789873"/>
    <n v="451.11790042921018"/>
    <n v="361.4266324622651"/>
    <x v="9"/>
  </r>
  <r>
    <s v="SALE1557"/>
    <d v="2023-11-06T00:00:00"/>
    <s v="CUST1246"/>
    <s v="PROD39"/>
    <s v="STORE8"/>
    <n v="2.5067124766795601"/>
    <n v="462.47985655780502"/>
    <n v="0.156745161724483"/>
    <s v="COD"/>
    <n v="980.40348814659001"/>
    <n v="147948.63625427886"/>
    <n v="155"/>
    <x v="409"/>
    <n v="0.15823281725419699"/>
    <n v="2.5122321006789861"/>
    <n v="451.09201898017005"/>
    <n v="361.38670058569977"/>
    <x v="3"/>
  </r>
  <r>
    <s v="SALE1558"/>
    <d v="2025-05-29T00:00:00"/>
    <s v="CUST1339"/>
    <s v="PROD9"/>
    <s v="STORE2"/>
    <n v="2.5067375658795599"/>
    <n v="462.42809365972499"/>
    <n v="0.15675192379507299"/>
    <s v="PayPal"/>
    <n v="980.29549168713902"/>
    <n v="147948.63625427886"/>
    <n v="155"/>
    <x v="330"/>
    <n v="0.15823619828949181"/>
    <n v="2.5122446452789848"/>
    <n v="451.06613753112998"/>
    <n v="361.34676870913466"/>
    <x v="5"/>
  </r>
  <r>
    <s v="SALE1559"/>
    <d v="2024-04-19T00:00:00"/>
    <s v="CUST1255"/>
    <s v="PROD92"/>
    <s v="STORE6"/>
    <n v="2.5067626550795601"/>
    <n v="462.37633076164502"/>
    <n v="0.156758685865662"/>
    <s v="Credit Card"/>
    <n v="980.18749522768701"/>
    <n v="147948.63625427886"/>
    <n v="155"/>
    <x v="410"/>
    <n v="0.15823957932478663"/>
    <n v="2.5122571898789836"/>
    <n v="451.04025608208991"/>
    <n v="361.30683683256933"/>
    <x v="10"/>
  </r>
  <r>
    <s v="SALE1560"/>
    <d v="2025-02-28T00:00:00"/>
    <s v="CUST1104"/>
    <s v="PROD56"/>
    <s v="STORE1"/>
    <n v="2.5067877442795501"/>
    <n v="462.32456786356499"/>
    <n v="0.15676544793625199"/>
    <s v="Credit Card"/>
    <n v="980.079498768235"/>
    <n v="146968.44875905119"/>
    <n v="154"/>
    <x v="59"/>
    <n v="0.15824296036008148"/>
    <n v="2.5122697344789819"/>
    <n v="451.0143746330499"/>
    <n v="361.26690495600394"/>
    <x v="6"/>
  </r>
  <r>
    <s v="SALE1561"/>
    <d v="2025-03-02T00:00:00"/>
    <s v="CUST1378"/>
    <s v="PROD6"/>
    <s v="STORE10"/>
    <n v="2.5068128334795499"/>
    <n v="462.272804965484"/>
    <n v="0.156772210006841"/>
    <s v="Credit Card"/>
    <n v="979.97150230878299"/>
    <n v="145988.36926028295"/>
    <n v="153"/>
    <x v="132"/>
    <n v="0.15824634139537624"/>
    <n v="2.5122822790789807"/>
    <n v="450.98849318400971"/>
    <n v="361.22697307943838"/>
    <x v="9"/>
  </r>
  <r>
    <s v="SALE1562"/>
    <d v="2024-03-28T00:00:00"/>
    <s v="CUST1293"/>
    <s v="PROD81"/>
    <s v="STORE7"/>
    <n v="2.5068379226795501"/>
    <n v="462.22104206740403"/>
    <n v="0.15677897207743099"/>
    <s v="PayPal"/>
    <n v="979.863505849332"/>
    <n v="145008.39775797416"/>
    <n v="152"/>
    <x v="411"/>
    <n v="0.15824972243067106"/>
    <n v="2.512294823678979"/>
    <n v="450.9626117349697"/>
    <n v="361.18704120287327"/>
    <x v="9"/>
  </r>
  <r>
    <s v="SALE1563"/>
    <d v="2024-12-09T00:00:00"/>
    <s v="CUST1463"/>
    <s v="PROD14"/>
    <s v="STORE14"/>
    <n v="2.5068630118795499"/>
    <n v="462.169279169324"/>
    <n v="0.15678573414802"/>
    <s v="COD"/>
    <n v="979.75550938987999"/>
    <n v="145008.39775797416"/>
    <n v="152"/>
    <x v="36"/>
    <n v="0.15825310346596588"/>
    <n v="2.5123073682789778"/>
    <n v="450.93673028592963"/>
    <n v="361.14710932630788"/>
    <x v="1"/>
  </r>
  <r>
    <s v="SALE1564"/>
    <d v="2023-10-23T00:00:00"/>
    <s v="CUST1216"/>
    <s v="PROD72"/>
    <s v="STORE0"/>
    <n v="2.5068881010795399"/>
    <n v="462.11751627124403"/>
    <n v="0.15679249621860999"/>
    <s v="PayPal"/>
    <n v="979.64751293042798"/>
    <n v="145008.39775797416"/>
    <n v="152"/>
    <x v="383"/>
    <n v="0.15825648450126065"/>
    <n v="2.5123199128789762"/>
    <n v="450.91084883688956"/>
    <n v="361.10717744974255"/>
    <x v="11"/>
  </r>
  <r>
    <s v="SALE1565"/>
    <d v="2024-09-20T00:00:00"/>
    <s v="CUST1029"/>
    <s v="PROD27"/>
    <s v="STORE8"/>
    <n v="2.5069131902795401"/>
    <n v="462.065753373164"/>
    <n v="0.15679925828919999"/>
    <s v="PayPal"/>
    <n v="979.53951647097597"/>
    <n v="145008.39775797416"/>
    <n v="152"/>
    <x v="224"/>
    <n v="0.15825986553655547"/>
    <n v="2.5123324574789749"/>
    <n v="450.88496738784954"/>
    <n v="361.06724557317716"/>
    <x v="8"/>
  </r>
  <r>
    <s v="SALE1566"/>
    <d v="2024-10-18T00:00:00"/>
    <s v="CUST1430"/>
    <s v="PROD87"/>
    <s v="STORE13"/>
    <n v="2.5069382794795398"/>
    <n v="462.01399047508397"/>
    <n v="0.15680602035978899"/>
    <s v="COD"/>
    <n v="979.43152001152498"/>
    <n v="145008.39775797416"/>
    <n v="152"/>
    <x v="246"/>
    <n v="0.15826324657185026"/>
    <n v="2.5123450020789733"/>
    <n v="450.85908593880947"/>
    <n v="361.02731369661205"/>
    <x v="11"/>
  </r>
  <r>
    <s v="SALE1567"/>
    <d v="2025-01-05T00:00:00"/>
    <s v="CUST1317"/>
    <s v="PROD10"/>
    <s v="STORE14"/>
    <n v="2.5069633686795401"/>
    <n v="461.96222757700298"/>
    <n v="0.15681278243037899"/>
    <s v="PayPal"/>
    <n v="979.32352355207297"/>
    <n v="145008.39775797416"/>
    <n v="152"/>
    <x v="125"/>
    <n v="0.15826662760714508"/>
    <n v="2.512357546678972"/>
    <n v="450.8332044897694"/>
    <n v="360.98738182004649"/>
    <x v="4"/>
  </r>
  <r>
    <s v="SALE1568"/>
    <d v="2025-09-21T00:00:00"/>
    <s v="CUST1470"/>
    <s v="PROD15"/>
    <s v="STORE1"/>
    <n v="2.5069884578795301"/>
    <n v="461.91046467892301"/>
    <n v="0.15681954450096899"/>
    <s v="PayPal"/>
    <n v="979.21552709262096"/>
    <n v="145008.39775797416"/>
    <n v="152"/>
    <x v="275"/>
    <n v="0.1582700086424399"/>
    <n v="2.5123700912789704"/>
    <n v="450.80732304072927"/>
    <n v="360.9474499434811"/>
    <x v="8"/>
  </r>
  <r>
    <s v="SALE1569"/>
    <d v="2024-07-17T00:00:00"/>
    <s v="CUST1213"/>
    <s v="PROD32"/>
    <s v="STORE17"/>
    <n v="2.5070135470795298"/>
    <n v="461.85870178084298"/>
    <n v="0.15682630657155799"/>
    <s v="Credit Card"/>
    <n v="979.10753063316895"/>
    <n v="145008.39775797416"/>
    <n v="152"/>
    <x v="412"/>
    <n v="0.15827338967773472"/>
    <n v="2.5123826358789692"/>
    <n v="450.7814415916892"/>
    <n v="360.90751806691571"/>
    <x v="0"/>
  </r>
  <r>
    <s v="SALE1570"/>
    <d v="2024-12-26T00:00:00"/>
    <s v="CUST1272"/>
    <s v="PROD34"/>
    <s v="STORE5"/>
    <n v="2.5070386362795301"/>
    <n v="461.80693888276301"/>
    <n v="0.15683306864214799"/>
    <s v="Credit Card"/>
    <n v="978.99953417371796"/>
    <n v="144029.290227341"/>
    <n v="151"/>
    <x v="413"/>
    <n v="0.15827677071302948"/>
    <n v="2.5123951804789675"/>
    <n v="450.75556014264913"/>
    <n v="360.86758619035066"/>
    <x v="1"/>
  </r>
  <r>
    <s v="SALE1571"/>
    <d v="2024-11-02T00:00:00"/>
    <s v="CUST1481"/>
    <s v="PROD88"/>
    <s v="STORE15"/>
    <n v="2.5070637254795201"/>
    <n v="461.75517598468298"/>
    <n v="0.15683983071273699"/>
    <s v="Credit Card"/>
    <n v="978.89153771426595"/>
    <n v="143050.29069316731"/>
    <n v="150"/>
    <x v="118"/>
    <n v="0.1582801517483243"/>
    <n v="2.5124077250789663"/>
    <n v="450.729678693609"/>
    <n v="360.82765431378527"/>
    <x v="3"/>
  </r>
  <r>
    <s v="SALE1572"/>
    <d v="2025-04-25T00:00:00"/>
    <s v="CUST1425"/>
    <s v="PROD75"/>
    <s v="STORE10"/>
    <n v="2.5070888146795198"/>
    <n v="461.70341308660301"/>
    <n v="0.15684659278332699"/>
    <s v="Credit Card"/>
    <n v="978.78354125481405"/>
    <n v="142071.39915545302"/>
    <n v="149"/>
    <x v="359"/>
    <n v="0.15828353278361909"/>
    <n v="2.5124202696789655"/>
    <n v="450.70379724456899"/>
    <n v="360.78772243722"/>
    <x v="10"/>
  </r>
  <r>
    <s v="SALE1573"/>
    <d v="2024-02-16T00:00:00"/>
    <s v="CUST1491"/>
    <s v="PROD9"/>
    <s v="STORE2"/>
    <n v="2.50711390387952"/>
    <n v="461.65165018852201"/>
    <n v="0.15685335485391699"/>
    <s v="PayPal"/>
    <n v="978.67554479536295"/>
    <n v="141092.61561419821"/>
    <n v="148"/>
    <x v="214"/>
    <n v="0.15828691381891388"/>
    <n v="2.5124328142789643"/>
    <n v="450.67791579552892"/>
    <n v="360.74779056065461"/>
    <x v="6"/>
  </r>
  <r>
    <s v="SALE1574"/>
    <d v="2024-08-20T00:00:00"/>
    <s v="CUST1228"/>
    <s v="PROD12"/>
    <s v="STORE18"/>
    <n v="2.5071389930795198"/>
    <n v="461.59988729044198"/>
    <n v="0.15686011692450599"/>
    <s v="PayPal"/>
    <n v="978.56754833591106"/>
    <n v="141092.61561419821"/>
    <n v="148"/>
    <x v="414"/>
    <n v="0.1582902948542087"/>
    <n v="2.5124453588789621"/>
    <n v="450.65203434648885"/>
    <n v="360.70785868408927"/>
    <x v="7"/>
  </r>
  <r>
    <s v="SALE1575"/>
    <d v="2024-07-24T00:00:00"/>
    <s v="CUST1144"/>
    <s v="PROD9"/>
    <s v="STORE10"/>
    <n v="2.5071640822795098"/>
    <n v="461.54812439236201"/>
    <n v="0.15686687899509599"/>
    <s v="COD"/>
    <n v="978.45955187645905"/>
    <n v="141092.61561419821"/>
    <n v="148"/>
    <x v="184"/>
    <n v="0.15829367588950349"/>
    <n v="2.5124579034789609"/>
    <n v="450.62615289744878"/>
    <n v="360.66792680752394"/>
    <x v="0"/>
  </r>
  <r>
    <s v="SALE1576"/>
    <d v="2024-08-30T00:00:00"/>
    <s v="CUST1029"/>
    <s v="PROD94"/>
    <s v="STORE11"/>
    <n v="2.50718917147951"/>
    <n v="461.49636149428198"/>
    <n v="0.15687364106568499"/>
    <s v="COD"/>
    <n v="978.35155541700703"/>
    <n v="141092.61561419821"/>
    <n v="148"/>
    <x v="415"/>
    <n v="0.15829705692479831"/>
    <n v="2.5124704480789601"/>
    <n v="450.60027144840865"/>
    <n v="360.62799493095855"/>
    <x v="7"/>
  </r>
  <r>
    <s v="SALE1577"/>
    <d v="2025-09-25T00:00:00"/>
    <s v="CUST1075"/>
    <s v="PROD30"/>
    <s v="STORE16"/>
    <n v="2.5072142606795098"/>
    <n v="461.44459859620201"/>
    <n v="0.15688040313627499"/>
    <s v="Credit Card"/>
    <n v="978.24355895755605"/>
    <n v="141092.61561419821"/>
    <n v="148"/>
    <x v="108"/>
    <n v="0.15830043796009313"/>
    <n v="2.5124829926789589"/>
    <n v="450.57438999936852"/>
    <n v="360.58806305439344"/>
    <x v="8"/>
  </r>
  <r>
    <s v="SALE1578"/>
    <d v="2025-04-18T00:00:00"/>
    <s v="CUST1471"/>
    <s v="PROD97"/>
    <s v="STORE13"/>
    <n v="2.50723934987951"/>
    <n v="461.39283569812198"/>
    <n v="0.15688716520686499"/>
    <s v="COD"/>
    <n v="978.13556249810404"/>
    <n v="140114.3720552407"/>
    <n v="147"/>
    <x v="407"/>
    <n v="0.1583038189953879"/>
    <n v="2.5124955372789572"/>
    <n v="450.54850855032851"/>
    <n v="360.54813117782811"/>
    <x v="10"/>
  </r>
  <r>
    <s v="SALE1579"/>
    <d v="2025-08-13T00:00:00"/>
    <s v="CUST1117"/>
    <s v="PROD97"/>
    <s v="STORE7"/>
    <n v="2.5072644390795"/>
    <n v="461.34107280004201"/>
    <n v="0.15689392727745399"/>
    <s v="Credit Card"/>
    <n v="978.02756603865203"/>
    <n v="140114.3720552407"/>
    <n v="147"/>
    <x v="416"/>
    <n v="0.15830720003068272"/>
    <n v="2.5125080818789565"/>
    <n v="450.52262710128844"/>
    <n v="360.50819930126272"/>
    <x v="7"/>
  </r>
  <r>
    <s v="SALE1580"/>
    <d v="2025-09-23T00:00:00"/>
    <s v="CUST1353"/>
    <s v="PROD48"/>
    <s v="STORE2"/>
    <n v="2.5072895282794998"/>
    <n v="461.28930990196102"/>
    <n v="0.15690068934804399"/>
    <s v="Credit Card"/>
    <n v="977.91956957920002"/>
    <n v="139136.34448920202"/>
    <n v="146"/>
    <x v="28"/>
    <n v="0.15831058106597748"/>
    <n v="2.5125206264789552"/>
    <n v="450.49674565224831"/>
    <n v="360.46826742469716"/>
    <x v="8"/>
  </r>
  <r>
    <s v="SALE1581"/>
    <d v="2024-05-09T00:00:00"/>
    <s v="CUST1036"/>
    <s v="PROD90"/>
    <s v="STORE5"/>
    <n v="2.5073146174795"/>
    <n v="461.23754700388099"/>
    <n v="0.15690745141863399"/>
    <s v="Credit Card"/>
    <n v="977.81157311974903"/>
    <n v="138158.4249196228"/>
    <n v="145"/>
    <x v="417"/>
    <n v="0.1583139621012723"/>
    <n v="2.512533171078954"/>
    <n v="450.47086420320824"/>
    <n v="360.42833554813205"/>
    <x v="5"/>
  </r>
  <r>
    <s v="SALE1582"/>
    <d v="2024-11-12T00:00:00"/>
    <s v="CUST1072"/>
    <s v="PROD27"/>
    <s v="STORE14"/>
    <n v="2.5073397066794998"/>
    <n v="461.18578410580102"/>
    <n v="0.15691421348922299"/>
    <s v="COD"/>
    <n v="977.70357666029702"/>
    <n v="137180.61334650306"/>
    <n v="144"/>
    <x v="418"/>
    <n v="0.15831734313656712"/>
    <n v="2.5125457156789528"/>
    <n v="450.44498275416817"/>
    <n v="360.38840367156672"/>
    <x v="3"/>
  </r>
  <r>
    <s v="SALE1583"/>
    <d v="2024-12-18T00:00:00"/>
    <s v="CUST1059"/>
    <s v="PROD94"/>
    <s v="STORE4"/>
    <n v="2.5073647958794898"/>
    <n v="461.13402120772099"/>
    <n v="0.15692097555981299"/>
    <s v="COD"/>
    <n v="977.59558020084501"/>
    <n v="137180.61334650306"/>
    <n v="144"/>
    <x v="350"/>
    <n v="0.15832072417186194"/>
    <n v="2.5125582602789516"/>
    <n v="450.41910130512809"/>
    <n v="360.34847179500133"/>
    <x v="1"/>
  </r>
  <r>
    <s v="SALE1584"/>
    <d v="2024-08-13T00:00:00"/>
    <s v="CUST1135"/>
    <s v="PROD12"/>
    <s v="STORE6"/>
    <n v="2.50738988507949"/>
    <n v="461.08225830964102"/>
    <n v="0.15692773763040199"/>
    <s v="PayPal"/>
    <n v="977.487583741393"/>
    <n v="137180.61334650306"/>
    <n v="144"/>
    <x v="18"/>
    <n v="0.15832410520715673"/>
    <n v="2.5125708048789503"/>
    <n v="450.39321985608802"/>
    <n v="360.30853991843594"/>
    <x v="7"/>
  </r>
  <r>
    <s v="SALE1585"/>
    <d v="2024-09-10T00:00:00"/>
    <s v="CUST1396"/>
    <s v="PROD62"/>
    <s v="STORE4"/>
    <n v="2.5074149742794898"/>
    <n v="461.03049541156099"/>
    <n v="0.15693449970099199"/>
    <s v="PayPal"/>
    <n v="977.37958728194201"/>
    <n v="137180.61334650306"/>
    <n v="144"/>
    <x v="81"/>
    <n v="0.15832748624245152"/>
    <n v="2.5125833494789487"/>
    <n v="450.36733840704795"/>
    <n v="360.26860804187083"/>
    <x v="8"/>
  </r>
  <r>
    <s v="SALE1586"/>
    <d v="2024-09-12T00:00:00"/>
    <s v="CUST1176"/>
    <s v="PROD91"/>
    <s v="STORE16"/>
    <n v="2.50744006347949"/>
    <n v="460.97873251348"/>
    <n v="0.15694126177158199"/>
    <s v="COD"/>
    <n v="977.27159082249"/>
    <n v="137180.61334650306"/>
    <n v="144"/>
    <x v="419"/>
    <n v="0.15833086727774631"/>
    <n v="2.5125958940789475"/>
    <n v="450.34145695800783"/>
    <n v="360.22867616530527"/>
    <x v="8"/>
  </r>
  <r>
    <s v="SALE1587"/>
    <d v="2024-05-21T00:00:00"/>
    <s v="CUST1462"/>
    <s v="PROD74"/>
    <s v="STORE12"/>
    <n v="2.50746515267948"/>
    <n v="460.92696961540003"/>
    <n v="0.15694802384217099"/>
    <s v="Credit Card"/>
    <n v="977.16359436303799"/>
    <n v="137180.61334650306"/>
    <n v="144"/>
    <x v="138"/>
    <n v="0.1583342483130411"/>
    <n v="2.5126084386789471"/>
    <n v="450.31557550896781"/>
    <n v="360.18874428873994"/>
    <x v="5"/>
  </r>
  <r>
    <s v="SALE1588"/>
    <d v="2025-05-15T00:00:00"/>
    <s v="CUST1362"/>
    <s v="PROD83"/>
    <s v="STORE0"/>
    <n v="2.5074902418794802"/>
    <n v="460.87520671732"/>
    <n v="0.15695478591276099"/>
    <s v="PayPal"/>
    <n v="977.055597903587"/>
    <n v="136203.44975214003"/>
    <n v="143"/>
    <x v="420"/>
    <n v="0.15833762934833592"/>
    <n v="2.512620983278945"/>
    <n v="450.28969405992768"/>
    <n v="360.14881241217483"/>
    <x v="5"/>
  </r>
  <r>
    <s v="SALE1589"/>
    <d v="2025-05-27T00:00:00"/>
    <s v="CUST1420"/>
    <s v="PROD8"/>
    <s v="STORE3"/>
    <n v="2.50751533107948"/>
    <n v="460.82344381924003"/>
    <n v="0.15696154798334999"/>
    <s v="COD"/>
    <n v="976.94760144413499"/>
    <n v="136203.44975214003"/>
    <n v="143"/>
    <x v="391"/>
    <n v="0.15834101038363074"/>
    <n v="2.5126335278789438"/>
    <n v="450.26381261088767"/>
    <n v="360.1088805356095"/>
    <x v="5"/>
  </r>
  <r>
    <s v="SALE1590"/>
    <d v="2024-01-20T00:00:00"/>
    <s v="CUST1080"/>
    <s v="PROD39"/>
    <s v="STORE13"/>
    <n v="2.5075404202794802"/>
    <n v="460.77168092116"/>
    <n v="0.15696831005393999"/>
    <s v="COD"/>
    <n v="976.83960498468298"/>
    <n v="136203.44975214003"/>
    <n v="143"/>
    <x v="331"/>
    <n v="0.15834439141892556"/>
    <n v="2.5126460724789426"/>
    <n v="450.23793116184754"/>
    <n v="360.06894865904411"/>
    <x v="4"/>
  </r>
  <r>
    <s v="SALE1591"/>
    <d v="2024-11-09T00:00:00"/>
    <s v="CUST1477"/>
    <s v="PROD25"/>
    <s v="STORE11"/>
    <n v="2.5075655094794702"/>
    <n v="460.71991802308003"/>
    <n v="0.15697507212452999"/>
    <s v="PayPal"/>
    <n v="976.73160852523097"/>
    <n v="136203.44975214003"/>
    <n v="143"/>
    <x v="421"/>
    <n v="0.15834777245422035"/>
    <n v="2.5126586170789413"/>
    <n v="450.21204971280747"/>
    <n v="360.02901678247872"/>
    <x v="3"/>
  </r>
  <r>
    <s v="SALE1592"/>
    <d v="2024-02-16T00:00:00"/>
    <s v="CUST1449"/>
    <s v="PROD83"/>
    <s v="STORE10"/>
    <n v="2.50759059867947"/>
    <n v="460.66815512499898"/>
    <n v="0.15698183419511899"/>
    <s v="PayPal"/>
    <n v="976.62361206577998"/>
    <n v="136203.44975214003"/>
    <n v="143"/>
    <x v="214"/>
    <n v="0.15835115348951517"/>
    <n v="2.5126711616789397"/>
    <n v="450.1861682637674"/>
    <n v="359.98908490591339"/>
    <x v="6"/>
  </r>
  <r>
    <s v="SALE1593"/>
    <d v="2024-12-16T00:00:00"/>
    <s v="CUST1066"/>
    <s v="PROD17"/>
    <s v="STORE4"/>
    <n v="2.5076156878794702"/>
    <n v="460.616392226919"/>
    <n v="0.15698859626570899"/>
    <s v="PayPal"/>
    <n v="976.51561560632797"/>
    <n v="136203.44975214003"/>
    <n v="143"/>
    <x v="422"/>
    <n v="0.15835453452480996"/>
    <n v="2.5126837062789389"/>
    <n v="450.16028681472727"/>
    <n v="359.94915302934805"/>
    <x v="1"/>
  </r>
  <r>
    <s v="SALE1594"/>
    <d v="2025-02-05T00:00:00"/>
    <s v="CUST1411"/>
    <s v="PROD18"/>
    <s v="STORE15"/>
    <n v="2.5076407770794602"/>
    <n v="460.56462932883898"/>
    <n v="0.15699535833629799"/>
    <s v="COD"/>
    <n v="976.40761914687596"/>
    <n v="136203.44975214003"/>
    <n v="143"/>
    <x v="227"/>
    <n v="0.15835791556010476"/>
    <n v="2.5126962508789372"/>
    <n v="450.13440536568726"/>
    <n v="359.90922115278266"/>
    <x v="6"/>
  </r>
  <r>
    <s v="SALE1595"/>
    <d v="2025-04-16T00:00:00"/>
    <s v="CUST1272"/>
    <s v="PROD73"/>
    <s v="STORE19"/>
    <n v="2.50766586627946"/>
    <n v="460.512866430759"/>
    <n v="0.15700212040688799"/>
    <s v="PayPal"/>
    <n v="976.29962268742395"/>
    <n v="136203.44975214003"/>
    <n v="143"/>
    <x v="171"/>
    <n v="0.15836129659539958"/>
    <n v="2.5127087954789356"/>
    <n v="450.10852391664719"/>
    <n v="359.86928927621733"/>
    <x v="10"/>
  </r>
  <r>
    <s v="SALE1596"/>
    <d v="2024-10-07T00:00:00"/>
    <s v="CUST1170"/>
    <s v="PROD23"/>
    <s v="STORE15"/>
    <n v="2.5076909554794602"/>
    <n v="460.46110353267898"/>
    <n v="0.15700888247747799"/>
    <s v="PayPal"/>
    <n v="976.19162622797296"/>
    <n v="136203.44975214003"/>
    <n v="143"/>
    <x v="423"/>
    <n v="0.15836467763069437"/>
    <n v="2.5127213400789352"/>
    <n v="450.082642467607"/>
    <n v="359.82935739965222"/>
    <x v="11"/>
  </r>
  <r>
    <s v="SALE1597"/>
    <d v="2024-02-16T00:00:00"/>
    <s v="CUST1390"/>
    <s v="PROD11"/>
    <s v="STORE0"/>
    <n v="2.50771604467946"/>
    <n v="460.409340634599"/>
    <n v="0.15701564454806699"/>
    <s v="Credit Card"/>
    <n v="976.08362976852095"/>
    <n v="136203.44975214003"/>
    <n v="143"/>
    <x v="214"/>
    <n v="0.15836805866598919"/>
    <n v="2.512733884678934"/>
    <n v="450.05676101856693"/>
    <n v="359.78942552308683"/>
    <x v="6"/>
  </r>
  <r>
    <s v="SALE1598"/>
    <d v="2024-03-22T00:00:00"/>
    <s v="CUST1336"/>
    <s v="PROD11"/>
    <s v="STORE15"/>
    <n v="2.50774113387945"/>
    <n v="460.35757773651898"/>
    <n v="0.15702240661865699"/>
    <s v="COD"/>
    <n v="975.97563330906905"/>
    <n v="135227.36612237152"/>
    <n v="142"/>
    <x v="297"/>
    <n v="0.15837143970128398"/>
    <n v="2.5127464292789328"/>
    <n v="450.03087956952686"/>
    <n v="359.7494936465215"/>
    <x v="9"/>
  </r>
  <r>
    <s v="SALE1599"/>
    <d v="2024-10-25T00:00:00"/>
    <s v="CUST1410"/>
    <s v="PROD96"/>
    <s v="STORE14"/>
    <n v="2.5077662230794502"/>
    <n v="460.30581483843798"/>
    <n v="0.15702916868924599"/>
    <s v="PayPal"/>
    <n v="975.86763684961704"/>
    <n v="135227.36612237152"/>
    <n v="142"/>
    <x v="424"/>
    <n v="0.1583748207365788"/>
    <n v="2.5127589738789311"/>
    <n v="450.00499812048673"/>
    <n v="359.70956176995594"/>
    <x v="11"/>
  </r>
  <r>
    <s v="SALE1600"/>
    <d v="2024-03-14T00:00:00"/>
    <s v="CUST1143"/>
    <s v="PROD37"/>
    <s v="STORE13"/>
    <n v="2.50779131227945"/>
    <n v="460.25405194035801"/>
    <n v="0.15703593075983599"/>
    <s v="Credit Card"/>
    <n v="975.75964039016606"/>
    <n v="135227.36612237152"/>
    <n v="142"/>
    <x v="425"/>
    <n v="0.15837820177187359"/>
    <n v="2.5127715184789299"/>
    <n v="449.9791166714466"/>
    <n v="359.66962989339083"/>
    <x v="9"/>
  </r>
  <r>
    <s v="SALE1601"/>
    <d v="2025-02-23T00:00:00"/>
    <s v="CUST1146"/>
    <s v="PROD90"/>
    <s v="STORE1"/>
    <n v="2.5078164014794502"/>
    <n v="460.20228904227798"/>
    <n v="0.15704269283042599"/>
    <s v="COD"/>
    <n v="975.65164393071404"/>
    <n v="134251.60648198138"/>
    <n v="141"/>
    <x v="294"/>
    <n v="0.15838158280716841"/>
    <n v="2.5127840630789287"/>
    <n v="449.95323522240659"/>
    <n v="359.6296980168255"/>
    <x v="6"/>
  </r>
  <r>
    <s v="SALE1602"/>
    <d v="2024-10-21T00:00:00"/>
    <s v="CUST1149"/>
    <s v="PROD76"/>
    <s v="STORE6"/>
    <n v="2.5078414906794402"/>
    <n v="460.15052614419801"/>
    <n v="0.15704945490101499"/>
    <s v="COD"/>
    <n v="975.54364747126203"/>
    <n v="134251.60648198138"/>
    <n v="141"/>
    <x v="426"/>
    <n v="0.1583849638424632"/>
    <n v="2.5127966076789274"/>
    <n v="449.92735377336652"/>
    <n v="359.58976614026011"/>
    <x v="11"/>
  </r>
  <r>
    <s v="SALE1603"/>
    <d v="2024-02-12T00:00:00"/>
    <s v="CUST1191"/>
    <s v="PROD55"/>
    <s v="STORE1"/>
    <n v="2.5078665798794399"/>
    <n v="460.09876324611798"/>
    <n v="0.15705621697160499"/>
    <s v="PayPal"/>
    <n v="975.43565101181002"/>
    <n v="134251.60648198138"/>
    <n v="141"/>
    <x v="427"/>
    <n v="0.15838834487775799"/>
    <n v="2.5128091522789262"/>
    <n v="449.90147232432651"/>
    <n v="359.54983426369478"/>
    <x v="6"/>
  </r>
  <r>
    <s v="SALE1604"/>
    <d v="2024-02-11T00:00:00"/>
    <s v="CUST1467"/>
    <s v="PROD54"/>
    <s v="STORE1"/>
    <n v="2.5078916690794402"/>
    <n v="460.04700034803801"/>
    <n v="0.15706297904219499"/>
    <s v="Credit Card"/>
    <n v="975.32765455235904"/>
    <n v="134251.60648198138"/>
    <n v="141"/>
    <x v="348"/>
    <n v="0.15839172591305281"/>
    <n v="2.5128216968789245"/>
    <n v="449.87559087528638"/>
    <n v="359.50990238712967"/>
    <x v="6"/>
  </r>
  <r>
    <s v="SALE1605"/>
    <d v="2025-05-01T00:00:00"/>
    <s v="CUST1461"/>
    <s v="PROD77"/>
    <s v="STORE13"/>
    <n v="2.5079167582794399"/>
    <n v="459.99523744995702"/>
    <n v="0.15706974111278399"/>
    <s v="PayPal"/>
    <n v="975.21965809290703"/>
    <n v="133276.27882742899"/>
    <n v="140"/>
    <x v="428"/>
    <n v="0.15839510694834766"/>
    <n v="2.5128342414789233"/>
    <n v="449.84970942624631"/>
    <n v="359.46997051056405"/>
    <x v="5"/>
  </r>
  <r>
    <s v="SALE1606"/>
    <d v="2024-10-27T00:00:00"/>
    <s v="CUST1169"/>
    <s v="PROD19"/>
    <s v="STORE1"/>
    <n v="2.5079418474794299"/>
    <n v="459.94347455187699"/>
    <n v="0.15707650318337399"/>
    <s v="COD"/>
    <n v="975.11166163345501"/>
    <n v="133276.27882742899"/>
    <n v="140"/>
    <x v="397"/>
    <n v="0.15839848798364245"/>
    <n v="2.5128467860789225"/>
    <n v="449.82382797720618"/>
    <n v="359.43003863399872"/>
    <x v="11"/>
  </r>
  <r>
    <s v="SALE1607"/>
    <d v="2023-11-29T00:00:00"/>
    <s v="CUST1381"/>
    <s v="PROD26"/>
    <s v="STORE7"/>
    <n v="2.5079669366794302"/>
    <n v="459.89171165379702"/>
    <n v="0.15708326525396299"/>
    <s v="COD"/>
    <n v="975.00366517400403"/>
    <n v="133276.27882742899"/>
    <n v="140"/>
    <x v="3"/>
    <n v="0.15840186901893724"/>
    <n v="2.5128593306789209"/>
    <n v="449.79794652816616"/>
    <n v="359.39010675743361"/>
    <x v="3"/>
  </r>
  <r>
    <s v="SALE1608"/>
    <d v="2025-05-24T00:00:00"/>
    <s v="CUST1402"/>
    <s v="PROD21"/>
    <s v="STORE0"/>
    <n v="2.5079920258794299"/>
    <n v="459.83994875571699"/>
    <n v="0.15709002732455299"/>
    <s v="COD"/>
    <n v="974.89566871455202"/>
    <n v="133276.27882742899"/>
    <n v="140"/>
    <x v="11"/>
    <n v="0.15840525005423203"/>
    <n v="2.5128718752789196"/>
    <n v="449.77206507912615"/>
    <n v="359.35017488086828"/>
    <x v="5"/>
  </r>
  <r>
    <s v="SALE1609"/>
    <d v="2024-02-25T00:00:00"/>
    <s v="CUST1209"/>
    <s v="PROD58"/>
    <s v="STORE3"/>
    <n v="2.5080171150794301"/>
    <n v="459.78818585763702"/>
    <n v="0.15709678939514299"/>
    <s v="PayPal"/>
    <n v="974.78767225510001"/>
    <n v="133276.27882742899"/>
    <n v="140"/>
    <x v="121"/>
    <n v="0.15840863108952685"/>
    <n v="2.5128844198789184"/>
    <n v="449.74618363008597"/>
    <n v="359.31024300430289"/>
    <x v="6"/>
  </r>
  <r>
    <s v="SALE1610"/>
    <d v="2025-03-05T00:00:00"/>
    <s v="CUST1149"/>
    <s v="PROD71"/>
    <s v="STORE1"/>
    <n v="2.5080422042794202"/>
    <n v="459.73642295955699"/>
    <n v="0.15710355146573199"/>
    <s v="PayPal"/>
    <n v="974.679675795648"/>
    <n v="133276.27882742899"/>
    <n v="140"/>
    <x v="237"/>
    <n v="0.15841201212482164"/>
    <n v="2.5128969644789176"/>
    <n v="449.72030218104589"/>
    <n v="359.27031112773756"/>
    <x v="9"/>
  </r>
  <r>
    <s v="SALE1611"/>
    <d v="2024-08-27T00:00:00"/>
    <s v="CUST1006"/>
    <s v="PROD39"/>
    <s v="STORE18"/>
    <n v="2.5080672934794199"/>
    <n v="459.684660061476"/>
    <n v="0.15711031353632199"/>
    <s v="PayPal"/>
    <n v="974.57167933619701"/>
    <n v="133276.27882742899"/>
    <n v="140"/>
    <x v="429"/>
    <n v="0.15841539316011646"/>
    <n v="2.5129095090789164"/>
    <n v="449.69442073200577"/>
    <n v="359.23037925117217"/>
    <x v="7"/>
  </r>
  <r>
    <s v="SALE1612"/>
    <d v="2024-02-10T00:00:00"/>
    <s v="CUST1440"/>
    <s v="PROD64"/>
    <s v="STORE3"/>
    <n v="2.5080923826794201"/>
    <n v="459.63289716339602"/>
    <n v="0.15711707560691099"/>
    <s v="COD"/>
    <n v="974.463682876745"/>
    <n v="133276.27882742899"/>
    <n v="140"/>
    <x v="430"/>
    <n v="0.15841877419541128"/>
    <n v="2.5129220536789152"/>
    <n v="449.66853928296581"/>
    <n v="359.19044737460683"/>
    <x v="6"/>
  </r>
  <r>
    <s v="SALE1613"/>
    <d v="2024-02-22T00:00:00"/>
    <s v="CUST1376"/>
    <s v="PROD85"/>
    <s v="STORE3"/>
    <n v="2.5081174718794199"/>
    <n v="459.581134265316"/>
    <n v="0.15712383767750099"/>
    <s v="Credit Card"/>
    <n v="974.35568641729299"/>
    <n v="133276.27882742899"/>
    <n v="140"/>
    <x v="431"/>
    <n v="0.1584221552307061"/>
    <n v="2.5129345982789135"/>
    <n v="449.64265783392574"/>
    <n v="359.1505154980415"/>
    <x v="6"/>
  </r>
  <r>
    <s v="SALE1614"/>
    <d v="2024-04-06T00:00:00"/>
    <s v="CUST1479"/>
    <s v="PROD22"/>
    <s v="STORE12"/>
    <n v="2.5081425610794099"/>
    <n v="459.52937136723602"/>
    <n v="0.15713059974809099"/>
    <s v="PayPal"/>
    <n v="974.24768995784098"/>
    <n v="132301.92314101171"/>
    <n v="139"/>
    <x v="432"/>
    <n v="0.15842553626600089"/>
    <n v="2.5129471428789123"/>
    <n v="449.61677638488567"/>
    <n v="359.11058362147611"/>
    <x v="10"/>
  </r>
  <r>
    <s v="SALE1615"/>
    <d v="2024-04-15T00:00:00"/>
    <s v="CUST1219"/>
    <s v="PROD36"/>
    <s v="STORE17"/>
    <n v="2.5081676502794101"/>
    <n v="459.477608469156"/>
    <n v="0.15713736181867999"/>
    <s v="COD"/>
    <n v="974.13969349838999"/>
    <n v="132301.92314101171"/>
    <n v="139"/>
    <x v="433"/>
    <n v="0.15842891730129569"/>
    <n v="2.5129596874789111"/>
    <n v="449.59089493584554"/>
    <n v="359.070651744911"/>
    <x v="10"/>
  </r>
  <r>
    <s v="SALE1616"/>
    <d v="2024-12-07T00:00:00"/>
    <s v="CUST1014"/>
    <s v="PROD13"/>
    <s v="STORE3"/>
    <n v="2.5081927394794099"/>
    <n v="459.42584557107602"/>
    <n v="0.15714412388926999"/>
    <s v="Credit Card"/>
    <n v="974.03169703893798"/>
    <n v="132301.92314101171"/>
    <n v="139"/>
    <x v="56"/>
    <n v="0.1584322983365905"/>
    <n v="2.5129722320789094"/>
    <n v="449.56501348680553"/>
    <n v="359.03071986834567"/>
    <x v="1"/>
  </r>
  <r>
    <s v="SALE1617"/>
    <d v="2024-12-03T00:00:00"/>
    <s v="CUST1055"/>
    <s v="PROD15"/>
    <s v="STORE6"/>
    <n v="2.5082178286793999"/>
    <n v="459.37408267299497"/>
    <n v="0.15715088595985899"/>
    <s v="COD"/>
    <n v="973.92370057948597"/>
    <n v="131327.89144397277"/>
    <n v="138"/>
    <x v="434"/>
    <n v="0.1584356793718853"/>
    <n v="2.5129847766789082"/>
    <n v="449.53913203776546"/>
    <n v="358.99078799178005"/>
    <x v="1"/>
  </r>
  <r>
    <s v="SALE1618"/>
    <d v="2023-12-31T00:00:00"/>
    <s v="CUST1047"/>
    <s v="PROD92"/>
    <s v="STORE4"/>
    <n v="2.5082429178794001"/>
    <n v="459.322319774915"/>
    <n v="0.15715764803044899"/>
    <s v="PayPal"/>
    <n v="973.81570412003396"/>
    <n v="131327.89144397277"/>
    <n v="138"/>
    <x v="49"/>
    <n v="0.15843906040718009"/>
    <n v="2.5129973212789065"/>
    <n v="449.51325058872533"/>
    <n v="358.95085611521472"/>
    <x v="1"/>
  </r>
  <r>
    <s v="SALE1619"/>
    <d v="2025-09-14T00:00:00"/>
    <s v="CUST1180"/>
    <s v="PROD90"/>
    <s v="STORE18"/>
    <n v="2.5082680070793999"/>
    <n v="459.27055687683497"/>
    <n v="0.15716441010103899"/>
    <s v="PayPal"/>
    <n v="973.70770766058297"/>
    <n v="131327.89144397277"/>
    <n v="138"/>
    <x v="62"/>
    <n v="0.15844244144247491"/>
    <n v="2.5130098658789057"/>
    <n v="449.4873691396852"/>
    <n v="358.91092423864961"/>
    <x v="8"/>
  </r>
  <r>
    <s v="SALE1620"/>
    <d v="2025-01-16T00:00:00"/>
    <s v="CUST1056"/>
    <s v="PROD46"/>
    <s v="STORE3"/>
    <n v="2.5082930962794001"/>
    <n v="459.218793978755"/>
    <n v="0.15717117217162799"/>
    <s v="COD"/>
    <n v="973.59971120113096"/>
    <n v="131327.89144397277"/>
    <n v="138"/>
    <x v="435"/>
    <n v="0.15844582247776973"/>
    <n v="2.5130224104789041"/>
    <n v="449.46148769064513"/>
    <n v="358.87099236208422"/>
    <x v="4"/>
  </r>
  <r>
    <s v="SALE1621"/>
    <d v="2025-02-01T00:00:00"/>
    <s v="CUST1354"/>
    <s v="PROD61"/>
    <s v="STORE6"/>
    <n v="2.5083181854793901"/>
    <n v="459.16703108067497"/>
    <n v="0.15717793424221799"/>
    <s v="Credit Card"/>
    <n v="973.49171474167895"/>
    <n v="131327.89144397277"/>
    <n v="138"/>
    <x v="50"/>
    <n v="0.15844920351306452"/>
    <n v="2.5130349550789024"/>
    <n v="449.43560624160511"/>
    <n v="358.83106048551889"/>
    <x v="6"/>
  </r>
  <r>
    <s v="SALE1622"/>
    <d v="2024-12-20T00:00:00"/>
    <s v="CUST1123"/>
    <s v="PROD22"/>
    <s v="STORE6"/>
    <n v="2.5083432746793899"/>
    <n v="459.115268182595"/>
    <n v="0.15718469631280799"/>
    <s v="Credit Card"/>
    <n v="973.38371828222796"/>
    <n v="130354.3997292311"/>
    <n v="137"/>
    <x v="175"/>
    <n v="0.15845258454835934"/>
    <n v="2.5130474996789016"/>
    <n v="449.40972479256504"/>
    <n v="358.79112860895378"/>
    <x v="1"/>
  </r>
  <r>
    <s v="SALE1623"/>
    <d v="2024-07-02T00:00:00"/>
    <s v="CUST1404"/>
    <s v="PROD16"/>
    <s v="STORE8"/>
    <n v="2.5083683638793901"/>
    <n v="459.06350528451497"/>
    <n v="0.15719145838339699"/>
    <s v="PayPal"/>
    <n v="973.27572182277595"/>
    <n v="129381.01601094885"/>
    <n v="136"/>
    <x v="235"/>
    <n v="0.15845596558365413"/>
    <n v="2.5130600442788995"/>
    <n v="449.38384334352497"/>
    <n v="358.75119673238845"/>
    <x v="0"/>
  </r>
  <r>
    <s v="SALE1624"/>
    <d v="2025-05-04T00:00:00"/>
    <s v="CUST1048"/>
    <s v="PROD95"/>
    <s v="STORE14"/>
    <n v="2.5083934530793899"/>
    <n v="459.01174238643398"/>
    <n v="0.15719822045398699"/>
    <s v="PayPal"/>
    <n v="973.16772536332405"/>
    <n v="129381.01601094885"/>
    <n v="136"/>
    <x v="8"/>
    <n v="0.15845934661894892"/>
    <n v="2.5130725888788987"/>
    <n v="449.35796189448479"/>
    <n v="358.71126485582283"/>
    <x v="5"/>
  </r>
  <r>
    <s v="SALE1625"/>
    <d v="2024-12-28T00:00:00"/>
    <s v="CUST1062"/>
    <s v="PROD37"/>
    <s v="STORE11"/>
    <n v="2.5084185422793799"/>
    <n v="458.95997948835401"/>
    <n v="0.15720498252457599"/>
    <s v="PayPal"/>
    <n v="973.05972890387204"/>
    <n v="129381.01601094885"/>
    <n v="136"/>
    <x v="243"/>
    <n v="0.15846272765424371"/>
    <n v="2.5130851334788971"/>
    <n v="449.33208044544477"/>
    <n v="358.6713329792575"/>
    <x v="1"/>
  </r>
  <r>
    <s v="SALE1626"/>
    <d v="2024-10-29T00:00:00"/>
    <s v="CUST1051"/>
    <s v="PROD21"/>
    <s v="STORE0"/>
    <n v="2.5084436314793801"/>
    <n v="458.90821659027398"/>
    <n v="0.15721174459516599"/>
    <s v="PayPal"/>
    <n v="972.95173244442105"/>
    <n v="129381.01601094885"/>
    <n v="136"/>
    <x v="139"/>
    <n v="0.15846610868953853"/>
    <n v="2.5130976780788958"/>
    <n v="449.30619899640465"/>
    <n v="358.63140110269239"/>
    <x v="11"/>
  </r>
  <r>
    <s v="SALE1627"/>
    <d v="2024-10-16T00:00:00"/>
    <s v="CUST1057"/>
    <s v="PROD63"/>
    <s v="STORE7"/>
    <n v="2.5084687206793799"/>
    <n v="458.85645369219401"/>
    <n v="0.15721850666575601"/>
    <s v="Credit Card"/>
    <n v="972.84373598496904"/>
    <n v="129381.01601094885"/>
    <n v="136"/>
    <x v="436"/>
    <n v="0.15846948972483335"/>
    <n v="2.5131102226788946"/>
    <n v="449.28031754736458"/>
    <n v="358.59146922612706"/>
    <x v="11"/>
  </r>
  <r>
    <s v="SALE1628"/>
    <d v="2025-04-01T00:00:00"/>
    <s v="CUST1094"/>
    <s v="PROD29"/>
    <s v="STORE4"/>
    <n v="2.5084938098793801"/>
    <n v="458.80469079411398"/>
    <n v="0.15722526873634499"/>
    <s v="PayPal"/>
    <n v="972.73573952551703"/>
    <n v="128408.17227496389"/>
    <n v="135"/>
    <x v="283"/>
    <n v="0.15847287076012814"/>
    <n v="2.5131227672788934"/>
    <n v="449.2544360983245"/>
    <n v="358.55153734956167"/>
    <x v="10"/>
  </r>
  <r>
    <s v="SALE1629"/>
    <d v="2024-03-18T00:00:00"/>
    <s v="CUST1221"/>
    <s v="PROD67"/>
    <s v="STORE4"/>
    <n v="2.5085188990793701"/>
    <n v="458.75292789603401"/>
    <n v="0.15723203080693501"/>
    <s v="COD"/>
    <n v="972.62774306606502"/>
    <n v="128408.17227496389"/>
    <n v="135"/>
    <x v="19"/>
    <n v="0.15847625179542296"/>
    <n v="2.5131353118788917"/>
    <n v="449.22855464928438"/>
    <n v="358.51160547299634"/>
    <x v="9"/>
  </r>
  <r>
    <s v="SALE1630"/>
    <d v="2025-02-13T00:00:00"/>
    <s v="CUST1013"/>
    <s v="PROD41"/>
    <s v="STORE9"/>
    <n v="2.5085439882793699"/>
    <n v="458.70116499795301"/>
    <n v="0.15723879287752399"/>
    <s v="Credit Card"/>
    <n v="972.51974660661404"/>
    <n v="128408.17227496389"/>
    <n v="135"/>
    <x v="437"/>
    <n v="0.15847963283071775"/>
    <n v="2.5131478564788905"/>
    <n v="449.20267320024431"/>
    <n v="358.471673596431"/>
    <x v="6"/>
  </r>
  <r>
    <s v="SALE1631"/>
    <d v="2024-08-06T00:00:00"/>
    <s v="CUST1486"/>
    <s v="PROD40"/>
    <s v="STORE17"/>
    <n v="2.5085690774793701"/>
    <n v="458.64940209987299"/>
    <n v="0.15724555494811401"/>
    <s v="COD"/>
    <n v="972.41175014716202"/>
    <n v="127435.65252835727"/>
    <n v="134"/>
    <x v="438"/>
    <n v="0.15848301386601257"/>
    <n v="2.5131604010788893"/>
    <n v="449.17679175120423"/>
    <n v="358.43174171986561"/>
    <x v="7"/>
  </r>
  <r>
    <s v="SALE1632"/>
    <d v="2024-09-03T00:00:00"/>
    <s v="CUST1234"/>
    <s v="PROD37"/>
    <s v="STORE16"/>
    <n v="2.5085941666793699"/>
    <n v="458.59763920179302"/>
    <n v="0.15725231701870401"/>
    <s v="Credit Card"/>
    <n v="972.30375368771001"/>
    <n v="127435.65252835727"/>
    <n v="134"/>
    <x v="44"/>
    <n v="0.15848639490130736"/>
    <n v="2.5131729456788885"/>
    <n v="449.15091030216416"/>
    <n v="358.39180984330028"/>
    <x v="8"/>
  </r>
  <r>
    <s v="SALE1633"/>
    <d v="2025-01-08T00:00:00"/>
    <s v="CUST1473"/>
    <s v="PROD57"/>
    <s v="STORE17"/>
    <n v="2.5086192558793599"/>
    <n v="458.54587630371299"/>
    <n v="0.15725907908929301"/>
    <s v="COD"/>
    <n v="972.195757228258"/>
    <n v="126463.34877466956"/>
    <n v="133"/>
    <x v="439"/>
    <n v="0.15848977593660216"/>
    <n v="2.5131854902788868"/>
    <n v="449.12502885312409"/>
    <n v="358.35187796673489"/>
    <x v="4"/>
  </r>
  <r>
    <s v="SALE1634"/>
    <d v="2025-07-21T00:00:00"/>
    <s v="CUST1057"/>
    <s v="PROD1"/>
    <s v="STORE6"/>
    <n v="2.5086443450793601"/>
    <n v="458.49411340563302"/>
    <n v="0.15726584115988301"/>
    <s v="PayPal"/>
    <n v="972.08776076880702"/>
    <n v="126463.34877466956"/>
    <n v="133"/>
    <x v="440"/>
    <n v="0.15849315697189698"/>
    <n v="2.5131980348788856"/>
    <n v="449.09914740408408"/>
    <n v="358.31194609016984"/>
    <x v="0"/>
  </r>
  <r>
    <s v="SALE1635"/>
    <d v="2023-11-25T00:00:00"/>
    <s v="CUST1128"/>
    <s v="PROD80"/>
    <s v="STORE2"/>
    <n v="2.5086694342793598"/>
    <n v="458.44235050755299"/>
    <n v="0.15727260323047201"/>
    <s v="Credit Card"/>
    <n v="971.97976430935501"/>
    <n v="126463.34877466956"/>
    <n v="133"/>
    <x v="65"/>
    <n v="0.15849653800719177"/>
    <n v="2.5132105794788844"/>
    <n v="449.07326595504389"/>
    <n v="358.27201421360445"/>
    <x v="3"/>
  </r>
  <r>
    <s v="SALE1636"/>
    <d v="2025-07-04T00:00:00"/>
    <s v="CUST1177"/>
    <s v="PROD59"/>
    <s v="STORE14"/>
    <n v="2.5086945234793601"/>
    <n v="458.39058760947199"/>
    <n v="0.15727936530106201"/>
    <s v="Credit Card"/>
    <n v="971.87176784990299"/>
    <n v="125491.3690103602"/>
    <n v="132"/>
    <x v="253"/>
    <n v="0.15849991904248659"/>
    <n v="2.5132231240788827"/>
    <n v="449.04738450600382"/>
    <n v="358.23208233703883"/>
    <x v="0"/>
  </r>
  <r>
    <s v="SALE1637"/>
    <d v="2023-10-21T00:00:00"/>
    <s v="CUST1417"/>
    <s v="PROD62"/>
    <s v="STORE13"/>
    <n v="2.5087196126793501"/>
    <n v="458.33882471139202"/>
    <n v="0.15728612737165201"/>
    <s v="Credit Card"/>
    <n v="971.76377139045201"/>
    <n v="124519.49724251028"/>
    <n v="131"/>
    <x v="320"/>
    <n v="0.15850330007778138"/>
    <n v="2.5132356686788815"/>
    <n v="449.02150305696381"/>
    <n v="358.19215046047373"/>
    <x v="11"/>
  </r>
  <r>
    <s v="SALE1638"/>
    <d v="2023-12-13T00:00:00"/>
    <s v="CUST1364"/>
    <s v="PROD70"/>
    <s v="STORE12"/>
    <n v="2.5087447018793498"/>
    <n v="458.28706181331199"/>
    <n v="0.15729288944224101"/>
    <s v="PayPal"/>
    <n v="971.655774931"/>
    <n v="123547.73347111982"/>
    <n v="130"/>
    <x v="399"/>
    <n v="0.1585066811130762"/>
    <n v="2.5132482132788803"/>
    <n v="448.99562160792368"/>
    <n v="358.15221858390839"/>
    <x v="1"/>
  </r>
  <r>
    <s v="SALE1639"/>
    <d v="2024-06-13T00:00:00"/>
    <s v="CUST1270"/>
    <s v="PROD25"/>
    <s v="STORE6"/>
    <n v="2.5087697910793501"/>
    <n v="458.23529891523202"/>
    <n v="0.15729965151283101"/>
    <s v="PayPal"/>
    <n v="971.54777847154799"/>
    <n v="123547.73347111982"/>
    <n v="130"/>
    <x v="441"/>
    <n v="0.15851006214837096"/>
    <n v="2.513260757878879"/>
    <n v="448.96974015888361"/>
    <n v="358.11228670734306"/>
    <x v="2"/>
  </r>
  <r>
    <s v="SALE1640"/>
    <d v="2024-01-01T00:00:00"/>
    <s v="CUST1043"/>
    <s v="PROD50"/>
    <s v="STORE5"/>
    <n v="2.5087948802793401"/>
    <n v="458.18353601715199"/>
    <n v="0.15730641358342001"/>
    <s v="Credit Card"/>
    <n v="971.43978201209598"/>
    <n v="123547.73347111982"/>
    <n v="130"/>
    <x v="442"/>
    <n v="0.15851344318366578"/>
    <n v="2.5132733024788778"/>
    <n v="448.94385870984348"/>
    <n v="358.07235483077767"/>
    <x v="4"/>
  </r>
  <r>
    <s v="SALE1641"/>
    <d v="2023-12-18T00:00:00"/>
    <s v="CUST1281"/>
    <s v="PROD55"/>
    <s v="STORE6"/>
    <n v="2.5088199694793398"/>
    <n v="458.13177311907202"/>
    <n v="0.15731317565401001"/>
    <s v="PayPal"/>
    <n v="971.33178555264499"/>
    <n v="122576.29368910774"/>
    <n v="129"/>
    <x v="443"/>
    <n v="0.1585168242189606"/>
    <n v="2.5132858470788766"/>
    <n v="448.91797726080347"/>
    <n v="358.03242295421262"/>
    <x v="1"/>
  </r>
  <r>
    <s v="SALE1642"/>
    <d v="2023-11-02T00:00:00"/>
    <s v="CUST1357"/>
    <s v="PROD17"/>
    <s v="STORE1"/>
    <n v="2.50884505867934"/>
    <n v="458.08001022099103"/>
    <n v="0.15731993772460001"/>
    <s v="COD"/>
    <n v="971.22378909319298"/>
    <n v="122576.29368910774"/>
    <n v="129"/>
    <x v="444"/>
    <n v="0.15852020525425542"/>
    <n v="2.5132983916788754"/>
    <n v="448.8920958117634"/>
    <n v="357.992491077647"/>
    <x v="3"/>
  </r>
  <r>
    <s v="SALE1643"/>
    <d v="2025-09-07T00:00:00"/>
    <s v="CUST1192"/>
    <s v="PROD46"/>
    <s v="STORE8"/>
    <n v="2.5088701478793398"/>
    <n v="458.028247322911"/>
    <n v="0.15732669979518901"/>
    <s v="Credit Card"/>
    <n v="971.11579263374097"/>
    <n v="122576.29368910774"/>
    <n v="129"/>
    <x v="96"/>
    <n v="0.15852358628955021"/>
    <n v="2.5133109362788741"/>
    <n v="448.86621436272333"/>
    <n v="357.95255920108161"/>
    <x v="8"/>
  </r>
  <r>
    <s v="SALE1644"/>
    <d v="2023-12-10T00:00:00"/>
    <s v="CUST1456"/>
    <s v="PROD88"/>
    <s v="STORE13"/>
    <n v="2.5088952370793298"/>
    <n v="457.97648442483103"/>
    <n v="0.15733346186577901"/>
    <s v="PayPal"/>
    <n v="971.00779617428896"/>
    <n v="121605.17789647401"/>
    <n v="128"/>
    <x v="66"/>
    <n v="0.158526967324845"/>
    <n v="2.5133234808788734"/>
    <n v="448.84033291368314"/>
    <n v="357.91262732451628"/>
    <x v="1"/>
  </r>
  <r>
    <s v="SALE1645"/>
    <d v="2025-10-12T00:00:00"/>
    <s v="CUST1265"/>
    <s v="PROD91"/>
    <s v="STORE9"/>
    <n v="2.50892032627933"/>
    <n v="457.924721526751"/>
    <n v="0.15734022393636901"/>
    <s v="Credit Card"/>
    <n v="970.89979971483797"/>
    <n v="121605.17789647401"/>
    <n v="128"/>
    <x v="72"/>
    <n v="0.15853034836013982"/>
    <n v="2.5133360254788721"/>
    <n v="448.81445146464313"/>
    <n v="357.87269544795117"/>
    <x v="11"/>
  </r>
  <r>
    <s v="SALE1646"/>
    <d v="2025-04-03T00:00:00"/>
    <s v="CUST1203"/>
    <s v="PROD87"/>
    <s v="STORE4"/>
    <n v="2.5089454154793298"/>
    <n v="457.87295862867097"/>
    <n v="0.15734698600695801"/>
    <s v="PayPal"/>
    <n v="970.79180325538596"/>
    <n v="120634.27809675918"/>
    <n v="127"/>
    <x v="178"/>
    <n v="0.15853372939543461"/>
    <n v="2.5133485700788709"/>
    <n v="448.788570015603"/>
    <n v="357.83276357138584"/>
    <x v="10"/>
  </r>
  <r>
    <s v="SALE1647"/>
    <d v="2024-01-09T00:00:00"/>
    <s v="CUST1464"/>
    <s v="PROD56"/>
    <s v="STORE7"/>
    <n v="2.50897050467933"/>
    <n v="457.821195730591"/>
    <n v="0.15735374807754801"/>
    <s v="Credit Card"/>
    <n v="970.68380679593395"/>
    <n v="120634.27809675918"/>
    <n v="127"/>
    <x v="217"/>
    <n v="0.15853711043072943"/>
    <n v="2.5133611146788692"/>
    <n v="448.76268856656293"/>
    <n v="357.79283169482045"/>
    <x v="4"/>
  </r>
  <r>
    <s v="SALE1648"/>
    <d v="2025-08-07T00:00:00"/>
    <s v="CUST1002"/>
    <s v="PROD54"/>
    <s v="STORE5"/>
    <n v="2.50899559387932"/>
    <n v="457.76943283251097"/>
    <n v="0.15736051014813701"/>
    <s v="COD"/>
    <n v="970.57581033648205"/>
    <n v="119663.59428996324"/>
    <n v="126"/>
    <x v="213"/>
    <n v="0.15854049146602425"/>
    <n v="2.513373659278868"/>
    <n v="448.73680711752286"/>
    <n v="357.75289981825512"/>
    <x v="7"/>
  </r>
  <r>
    <s v="SALE1649"/>
    <d v="2024-01-10T00:00:00"/>
    <s v="CUST1163"/>
    <s v="PROD63"/>
    <s v="STORE3"/>
    <n v="2.5090206830793198"/>
    <n v="457.71766993442998"/>
    <n v="0.15736727221872701"/>
    <s v="Credit Card"/>
    <n v="970.46781387703095"/>
    <n v="119663.59428996324"/>
    <n v="126"/>
    <x v="445"/>
    <n v="0.15854387250131904"/>
    <n v="2.5133862038788664"/>
    <n v="448.71092566848279"/>
    <n v="357.71296794168973"/>
    <x v="4"/>
  </r>
  <r>
    <s v="SALE1650"/>
    <d v="2025-07-19T00:00:00"/>
    <s v="CUST1124"/>
    <s v="PROD22"/>
    <s v="STORE2"/>
    <n v="2.50904577227932"/>
    <n v="457.66590703635001"/>
    <n v="0.15737403428931701"/>
    <s v="PayPal"/>
    <n v="970.35981741757905"/>
    <n v="118693.1264760862"/>
    <n v="125"/>
    <x v="446"/>
    <n v="0.15854725353661386"/>
    <n v="2.5133987484788651"/>
    <n v="448.68504421944272"/>
    <n v="357.67303606512439"/>
    <x v="0"/>
  </r>
  <r>
    <s v="SALE1651"/>
    <d v="2024-12-24T00:00:00"/>
    <s v="CUST1240"/>
    <s v="PROD26"/>
    <s v="STORE19"/>
    <n v="2.5090708614793198"/>
    <n v="457.61414413826998"/>
    <n v="0.15738079635990601"/>
    <s v="COD"/>
    <n v="970.25182095812704"/>
    <n v="118693.1264760862"/>
    <n v="125"/>
    <x v="447"/>
    <n v="0.15855063457190863"/>
    <n v="2.513411293078863"/>
    <n v="448.65916277040259"/>
    <n v="357.63310418855906"/>
    <x v="1"/>
  </r>
  <r>
    <s v="SALE1652"/>
    <d v="2024-08-16T00:00:00"/>
    <s v="CUST1001"/>
    <s v="PROD48"/>
    <s v="STORE2"/>
    <n v="2.5090959506793098"/>
    <n v="457.56238124019001"/>
    <n v="0.15738755843049601"/>
    <s v="PayPal"/>
    <n v="970.14382449867605"/>
    <n v="118693.1264760862"/>
    <n v="125"/>
    <x v="296"/>
    <n v="0.15855401560720345"/>
    <n v="2.5134238376788622"/>
    <n v="448.63328132136252"/>
    <n v="357.59317231199395"/>
    <x v="7"/>
  </r>
  <r>
    <s v="SALE1653"/>
    <d v="2024-07-24T00:00:00"/>
    <s v="CUST1288"/>
    <s v="PROD85"/>
    <s v="STORE5"/>
    <n v="2.50912103987931"/>
    <n v="457.51061834210998"/>
    <n v="0.15739432050108501"/>
    <s v="PayPal"/>
    <n v="970.03582803922404"/>
    <n v="118693.1264760862"/>
    <n v="125"/>
    <x v="184"/>
    <n v="0.15855739664249824"/>
    <n v="2.5134363822788606"/>
    <n v="448.60739987232245"/>
    <n v="357.55324043542862"/>
    <x v="0"/>
  </r>
  <r>
    <s v="SALE1654"/>
    <d v="2024-11-19T00:00:00"/>
    <s v="CUST1351"/>
    <s v="PROD26"/>
    <s v="STORE10"/>
    <n v="2.5091461290793098"/>
    <n v="457.45885544403001"/>
    <n v="0.15740108257167501"/>
    <s v="PayPal"/>
    <n v="969.92783157977203"/>
    <n v="118693.1264760862"/>
    <n v="125"/>
    <x v="250"/>
    <n v="0.15856077767779306"/>
    <n v="2.5134489268788593"/>
    <n v="448.58151842328238"/>
    <n v="357.51330855886323"/>
    <x v="3"/>
  </r>
  <r>
    <s v="SALE1655"/>
    <d v="2024-03-14T00:00:00"/>
    <s v="CUST1197"/>
    <s v="PROD8"/>
    <s v="STORE1"/>
    <n v="2.50917121827931"/>
    <n v="457.40709254594901"/>
    <n v="0.15740784464226501"/>
    <s v="Credit Card"/>
    <n v="969.81983512032002"/>
    <n v="118693.1264760862"/>
    <n v="125"/>
    <x v="425"/>
    <n v="0.15856415871308788"/>
    <n v="2.5134614714788577"/>
    <n v="448.55563697424236"/>
    <n v="357.47337668229767"/>
    <x v="9"/>
  </r>
  <r>
    <s v="SALE1656"/>
    <d v="2025-06-24T00:00:00"/>
    <s v="CUST1139"/>
    <s v="PROD15"/>
    <s v="STORE18"/>
    <n v="2.5091963074793"/>
    <n v="457.35532964786898"/>
    <n v="0.15741460671285401"/>
    <s v="Credit Card"/>
    <n v="969.71183866086903"/>
    <n v="117723.30664096585"/>
    <n v="124"/>
    <x v="448"/>
    <n v="0.15856753974838267"/>
    <n v="2.5134740160788565"/>
    <n v="448.52975552520223"/>
    <n v="357.43344480573256"/>
    <x v="2"/>
  </r>
  <r>
    <s v="SALE1657"/>
    <d v="2024-08-26T00:00:00"/>
    <s v="CUST1039"/>
    <s v="PROD37"/>
    <s v="STORE7"/>
    <n v="2.5092213966793002"/>
    <n v="457.30356674978901"/>
    <n v="0.15742136878344401"/>
    <s v="PayPal"/>
    <n v="969.60384220141702"/>
    <n v="116753.594802305"/>
    <n v="123"/>
    <x v="89"/>
    <n v="0.15857092078367749"/>
    <n v="2.5134865606788552"/>
    <n v="448.50387407616216"/>
    <n v="357.39351292916717"/>
    <x v="7"/>
  </r>
  <r>
    <s v="SALE1658"/>
    <d v="2025-10-09T00:00:00"/>
    <s v="CUST1059"/>
    <s v="PROD23"/>
    <s v="STORE19"/>
    <n v="2.5092464858793"/>
    <n v="457.25180385170898"/>
    <n v="0.15742813085403301"/>
    <s v="COD"/>
    <n v="969.49584574196501"/>
    <n v="116753.594802305"/>
    <n v="123"/>
    <x v="328"/>
    <n v="0.15857430181897228"/>
    <n v="2.5134991052788536"/>
    <n v="448.47799262712198"/>
    <n v="357.35358105260184"/>
    <x v="11"/>
  </r>
  <r>
    <s v="SALE1659"/>
    <d v="2024-04-19T00:00:00"/>
    <s v="CUST1285"/>
    <s v="PROD6"/>
    <s v="STORE2"/>
    <n v="2.50927157507929"/>
    <n v="457.20004095362901"/>
    <n v="0.15743489292462301"/>
    <s v="PayPal"/>
    <n v="969.387849282513"/>
    <n v="116753.594802305"/>
    <n v="123"/>
    <x v="410"/>
    <n v="0.1585776828542671"/>
    <n v="2.5135116498788528"/>
    <n v="448.45211117808185"/>
    <n v="357.31364917603651"/>
    <x v="10"/>
  </r>
  <r>
    <s v="SALE1660"/>
    <d v="2024-05-08T00:00:00"/>
    <s v="CUST1338"/>
    <s v="PROD81"/>
    <s v="STORE4"/>
    <n v="2.5092966642792902"/>
    <n v="457.14827805554899"/>
    <n v="0.15744165499521301"/>
    <s v="Credit Card"/>
    <n v="969.27985282306201"/>
    <n v="116753.594802305"/>
    <n v="123"/>
    <x v="109"/>
    <n v="0.15858106388956189"/>
    <n v="2.5135241944788516"/>
    <n v="448.42622972904195"/>
    <n v="357.2737172994714"/>
    <x v="5"/>
  </r>
  <r>
    <s v="SALE1661"/>
    <d v="2024-06-16T00:00:00"/>
    <s v="CUST1221"/>
    <s v="PROD90"/>
    <s v="STORE4"/>
    <n v="2.50932175347929"/>
    <n v="457.09651515746799"/>
    <n v="0.15744841706580201"/>
    <s v="Credit Card"/>
    <n v="969.17185636361"/>
    <n v="115784.31494948194"/>
    <n v="122"/>
    <x v="170"/>
    <n v="0.15858444492485671"/>
    <n v="2.5135367390788499"/>
    <n v="448.40034828000182"/>
    <n v="357.23378542290578"/>
    <x v="2"/>
  </r>
  <r>
    <s v="SALE1662"/>
    <d v="2024-05-17T00:00:00"/>
    <s v="CUST1196"/>
    <s v="PROD15"/>
    <s v="STORE16"/>
    <n v="2.5093468426792902"/>
    <n v="457.04475225938802"/>
    <n v="0.15745517913639201"/>
    <s v="PayPal"/>
    <n v="969.06385990415799"/>
    <n v="114815.14309311831"/>
    <n v="121"/>
    <x v="449"/>
    <n v="0.1585878259601515"/>
    <n v="2.5135492836788487"/>
    <n v="448.37446683096164"/>
    <n v="357.19385354634039"/>
    <x v="5"/>
  </r>
  <r>
    <s v="SALE1663"/>
    <d v="2024-04-04T00:00:00"/>
    <s v="CUST1482"/>
    <s v="PROD68"/>
    <s v="STORE2"/>
    <n v="2.5093719318792802"/>
    <n v="456.99298936130799"/>
    <n v="0.15746194120698201"/>
    <s v="PayPal"/>
    <n v="968.95586344470598"/>
    <n v="114815.14309311831"/>
    <n v="121"/>
    <x v="239"/>
    <n v="0.15859120699544635"/>
    <n v="2.5135618282788474"/>
    <n v="448.34858538192157"/>
    <n v="357.15392166977506"/>
    <x v="10"/>
  </r>
  <r>
    <s v="SALE1664"/>
    <d v="2025-05-26T00:00:00"/>
    <s v="CUST1151"/>
    <s v="PROD24"/>
    <s v="STORE18"/>
    <n v="2.50939702107928"/>
    <n v="456.94122646322802"/>
    <n v="0.15746870327757101"/>
    <s v="PayPal"/>
    <n v="968.847866985255"/>
    <n v="114815.14309311831"/>
    <n v="121"/>
    <x v="225"/>
    <n v="0.15859458803074114"/>
    <n v="2.5135743728788462"/>
    <n v="448.32270393288167"/>
    <n v="357.11398979320995"/>
    <x v="5"/>
  </r>
  <r>
    <s v="SALE1665"/>
    <d v="2024-02-24T00:00:00"/>
    <s v="CUST1017"/>
    <s v="PROD80"/>
    <s v="STORE17"/>
    <n v="2.5094221102792802"/>
    <n v="456.88946356514799"/>
    <n v="0.15747546534816101"/>
    <s v="PayPal"/>
    <n v="968.73987052580298"/>
    <n v="114815.14309311831"/>
    <n v="121"/>
    <x v="360"/>
    <n v="0.15859796906603593"/>
    <n v="2.5135869174788446"/>
    <n v="448.29682248384154"/>
    <n v="357.07405791664462"/>
    <x v="6"/>
  </r>
  <r>
    <s v="SALE1666"/>
    <d v="2023-12-07T00:00:00"/>
    <s v="CUST1159"/>
    <s v="PROD38"/>
    <s v="STORE7"/>
    <n v="2.50944719947928"/>
    <n v="456.83770066706802"/>
    <n v="0.15748222741875001"/>
    <s v="COD"/>
    <n v="968.63187406635097"/>
    <n v="114815.14309311831"/>
    <n v="121"/>
    <x v="157"/>
    <n v="0.15860135010133075"/>
    <n v="2.5135994620788433"/>
    <n v="448.27094103480147"/>
    <n v="357.03412604007929"/>
    <x v="1"/>
  </r>
  <r>
    <s v="SALE1667"/>
    <d v="2024-10-07T00:00:00"/>
    <s v="CUST1446"/>
    <s v="PROD31"/>
    <s v="STORE4"/>
    <n v="2.50947228867927"/>
    <n v="456.78593776898799"/>
    <n v="0.15748898948934001"/>
    <s v="PayPal"/>
    <n v="968.52387760689896"/>
    <n v="114815.14309311831"/>
    <n v="121"/>
    <x v="423"/>
    <n v="0.15860473113662554"/>
    <n v="2.5136120066788421"/>
    <n v="448.2450595857614"/>
    <n v="356.9941941635139"/>
    <x v="11"/>
  </r>
  <r>
    <s v="SALE1668"/>
    <d v="2023-11-22T00:00:00"/>
    <s v="CUST1403"/>
    <s v="PROD4"/>
    <s v="STORE7"/>
    <n v="2.5094973778792702"/>
    <n v="456.734174870907"/>
    <n v="0.15749575155993001"/>
    <s v="PayPal"/>
    <n v="968.41588114744798"/>
    <n v="114815.14309311831"/>
    <n v="121"/>
    <x v="336"/>
    <n v="0.15860811217192033"/>
    <n v="2.5136245512788409"/>
    <n v="448.21917813672121"/>
    <n v="356.95426228694851"/>
    <x v="3"/>
  </r>
  <r>
    <s v="SALE1669"/>
    <d v="2025-10-09T00:00:00"/>
    <s v="CUST1126"/>
    <s v="PROD31"/>
    <s v="STORE14"/>
    <n v="2.50952246707927"/>
    <n v="456.68241197282703"/>
    <n v="0.15750251363051901"/>
    <s v="COD"/>
    <n v="968.30788468799597"/>
    <n v="114815.14309311831"/>
    <n v="121"/>
    <x v="328"/>
    <n v="0.15861149320721513"/>
    <n v="2.5136370958788397"/>
    <n v="448.1932966876812"/>
    <n v="356.91433041038317"/>
    <x v="11"/>
  </r>
  <r>
    <s v="SALE1670"/>
    <d v="2024-09-24T00:00:00"/>
    <s v="CUST1366"/>
    <s v="PROD71"/>
    <s v="STORE17"/>
    <n v="2.5095475562792702"/>
    <n v="456.630649074747"/>
    <n v="0.15750927570110901"/>
    <s v="COD"/>
    <n v="968.19988822854395"/>
    <n v="114815.14309311831"/>
    <n v="121"/>
    <x v="204"/>
    <n v="0.15861487424250997"/>
    <n v="2.5136496404788389"/>
    <n v="448.16741523864118"/>
    <n v="356.87439853381784"/>
    <x v="8"/>
  </r>
  <r>
    <s v="SALE1671"/>
    <d v="2023-10-30T00:00:00"/>
    <s v="CUST1051"/>
    <s v="PROD43"/>
    <s v="STORE4"/>
    <n v="2.5095726454792602"/>
    <n v="456.57888617666703"/>
    <n v="0.15751603777169801"/>
    <s v="PayPal"/>
    <n v="968.09189176909297"/>
    <n v="114815.14309311831"/>
    <n v="121"/>
    <x v="365"/>
    <n v="0.15861825527780476"/>
    <n v="2.5136621850788377"/>
    <n v="448.14153378960106"/>
    <n v="356.83446665725273"/>
    <x v="11"/>
  </r>
  <r>
    <s v="SALE1672"/>
    <d v="2024-02-11T00:00:00"/>
    <s v="CUST1024"/>
    <s v="PROD3"/>
    <s v="STORE6"/>
    <n v="2.50959773467926"/>
    <n v="456.527123278587"/>
    <n v="0.15752279984228801"/>
    <s v="COD"/>
    <n v="967.98389530964096"/>
    <n v="114815.14309311831"/>
    <n v="121"/>
    <x v="348"/>
    <n v="0.15862163631309956"/>
    <n v="2.5136747296788364"/>
    <n v="448.11565234056098"/>
    <n v="356.7945347806874"/>
    <x v="6"/>
  </r>
  <r>
    <s v="SALE1673"/>
    <d v="2025-04-05T00:00:00"/>
    <s v="CUST1380"/>
    <s v="PROD98"/>
    <s v="STORE14"/>
    <n v="2.5096228238792602"/>
    <n v="456.47536038050703"/>
    <n v="0.15752956191287801"/>
    <s v="Credit Card"/>
    <n v="967.87589885018895"/>
    <n v="114815.14309311831"/>
    <n v="121"/>
    <x v="385"/>
    <n v="0.15862501734839438"/>
    <n v="2.5136872742788352"/>
    <n v="448.08977089152091"/>
    <n v="356.75460290412207"/>
    <x v="10"/>
  </r>
  <r>
    <s v="SALE1674"/>
    <d v="2025-05-18T00:00:00"/>
    <s v="CUST1274"/>
    <s v="PROD47"/>
    <s v="STORE7"/>
    <n v="2.5096479130792599"/>
    <n v="456.42359748242598"/>
    <n v="0.15753632398346701"/>
    <s v="Credit Card"/>
    <n v="967.76790239073705"/>
    <n v="113847.26719426813"/>
    <n v="120"/>
    <x v="156"/>
    <n v="0.15862839838368917"/>
    <n v="2.513699818878834"/>
    <n v="448.0638894424809"/>
    <n v="356.71467102755645"/>
    <x v="5"/>
  </r>
  <r>
    <s v="SALE1675"/>
    <d v="2025-04-08T00:00:00"/>
    <s v="CUST1277"/>
    <s v="PROD94"/>
    <s v="STORE15"/>
    <n v="2.5096730022792499"/>
    <n v="456.371834584346"/>
    <n v="0.15754308605405701"/>
    <s v="Credit Card"/>
    <n v="967.65990593128595"/>
    <n v="112879.49929187742"/>
    <n v="119"/>
    <x v="82"/>
    <n v="0.15863177941898396"/>
    <n v="2.5137123634788328"/>
    <n v="448.03800799344077"/>
    <n v="356.67473915099129"/>
    <x v="10"/>
  </r>
  <r>
    <s v="SALE1676"/>
    <d v="2024-11-29T00:00:00"/>
    <s v="CUST1077"/>
    <s v="PROD77"/>
    <s v="STORE12"/>
    <n v="2.5096980914792502"/>
    <n v="456.32007168626598"/>
    <n v="0.15754984812464601"/>
    <s v="COD"/>
    <n v="967.55190947183405"/>
    <n v="111911.83938594612"/>
    <n v="118"/>
    <x v="450"/>
    <n v="0.15863516045427875"/>
    <n v="2.5137249080788315"/>
    <n v="448.01212654440059"/>
    <n v="356.63480727442595"/>
    <x v="3"/>
  </r>
  <r>
    <s v="SALE1677"/>
    <d v="2024-12-30T00:00:00"/>
    <s v="CUST1497"/>
    <s v="PROD33"/>
    <s v="STORE9"/>
    <n v="2.5097231806792499"/>
    <n v="456.268308788186"/>
    <n v="0.15755661019523601"/>
    <s v="Credit Card"/>
    <n v="967.44391301238204"/>
    <n v="111911.83938594612"/>
    <n v="118"/>
    <x v="361"/>
    <n v="0.15863854148957357"/>
    <n v="2.5137374526788303"/>
    <n v="447.98624509536057"/>
    <n v="356.59487539786062"/>
    <x v="1"/>
  </r>
  <r>
    <s v="SALE1678"/>
    <d v="2025-06-16T00:00:00"/>
    <s v="CUST1476"/>
    <s v="PROD95"/>
    <s v="STORE17"/>
    <n v="2.5097482698792501"/>
    <n v="456.21654589010598"/>
    <n v="0.15756337226582601"/>
    <s v="COD"/>
    <n v="967.33591655293003"/>
    <n v="110944.39547293374"/>
    <n v="117"/>
    <x v="317"/>
    <n v="0.15864192252486836"/>
    <n v="2.5137499972788291"/>
    <n v="447.96036364632056"/>
    <n v="356.55494352129529"/>
    <x v="2"/>
  </r>
  <r>
    <s v="SALE1679"/>
    <d v="2025-06-16T00:00:00"/>
    <s v="CUST1370"/>
    <s v="PROD65"/>
    <s v="STORE17"/>
    <n v="2.5097733590792402"/>
    <n v="456.16478299202601"/>
    <n v="0.15757013433641501"/>
    <s v="Credit Card"/>
    <n v="967.22792009347904"/>
    <n v="110944.39547293374"/>
    <n v="117"/>
    <x v="317"/>
    <n v="0.15864530356016318"/>
    <n v="2.5137625418788274"/>
    <n v="447.93448219728043"/>
    <n v="356.51501164473018"/>
    <x v="2"/>
  </r>
  <r>
    <s v="SALE1680"/>
    <d v="2024-04-02T00:00:00"/>
    <s v="CUST1177"/>
    <s v="PROD83"/>
    <s v="STORE15"/>
    <n v="2.5097984482792399"/>
    <n v="456.11302009394501"/>
    <n v="0.15757689640700501"/>
    <s v="Credit Card"/>
    <n v="967.11992363402703"/>
    <n v="109977.16755284027"/>
    <n v="116"/>
    <x v="393"/>
    <n v="0.158648684595458"/>
    <n v="2.5137750864788266"/>
    <n v="447.9086007482403"/>
    <n v="356.47507976816456"/>
    <x v="10"/>
  </r>
  <r>
    <s v="SALE1681"/>
    <d v="2024-03-28T00:00:00"/>
    <s v="CUST1241"/>
    <s v="PROD15"/>
    <s v="STORE14"/>
    <n v="2.5098235374792401"/>
    <n v="456.06125719586498"/>
    <n v="0.15758365847759401"/>
    <s v="COD"/>
    <n v="967.01192717457502"/>
    <n v="109010.04762920624"/>
    <n v="115"/>
    <x v="411"/>
    <n v="0.15865206563075279"/>
    <n v="2.513787631078825"/>
    <n v="447.88271929920029"/>
    <n v="356.43514789159923"/>
    <x v="9"/>
  </r>
  <r>
    <s v="SALE1682"/>
    <d v="2025-01-17T00:00:00"/>
    <s v="CUST1341"/>
    <s v="PROD41"/>
    <s v="STORE13"/>
    <n v="2.5098486266792399"/>
    <n v="456.00949429778501"/>
    <n v="0.15759042054818401"/>
    <s v="Credit Card"/>
    <n v="966.90393071512301"/>
    <n v="109010.04762920624"/>
    <n v="115"/>
    <x v="116"/>
    <n v="0.15865544666604761"/>
    <n v="2.5138001756788233"/>
    <n v="447.85683785016022"/>
    <n v="356.39521601503384"/>
    <x v="4"/>
  </r>
  <r>
    <s v="SALE1683"/>
    <d v="2025-04-13T00:00:00"/>
    <s v="CUST1251"/>
    <s v="PROD66"/>
    <s v="STORE16"/>
    <n v="2.5098737158792299"/>
    <n v="455.95773139970498"/>
    <n v="0.15759718261877401"/>
    <s v="Credit Card"/>
    <n v="966.79593425567202"/>
    <n v="108043.14369849111"/>
    <n v="114"/>
    <x v="451"/>
    <n v="0.15865882770134238"/>
    <n v="2.5138127202788221"/>
    <n v="447.8309564011202"/>
    <n v="356.35528413846873"/>
    <x v="10"/>
  </r>
  <r>
    <s v="SALE1684"/>
    <d v="2024-07-01T00:00:00"/>
    <s v="CUST1388"/>
    <s v="PROD71"/>
    <s v="STORE1"/>
    <n v="2.5098988050792301"/>
    <n v="455.90596850162501"/>
    <n v="0.15760394468936301"/>
    <s v="Credit Card"/>
    <n v="966.68793779622001"/>
    <n v="107076.34776423544"/>
    <n v="113"/>
    <x v="452"/>
    <n v="0.15866220873663717"/>
    <n v="2.51382526487882"/>
    <n v="447.80507495208002"/>
    <n v="356.3153522619034"/>
    <x v="0"/>
  </r>
  <r>
    <s v="SALE1685"/>
    <d v="2024-12-14T00:00:00"/>
    <s v="CUST1130"/>
    <s v="PROD41"/>
    <s v="STORE11"/>
    <n v="2.5099238942792299"/>
    <n v="455.85420560354498"/>
    <n v="0.15761070675995301"/>
    <s v="Credit Card"/>
    <n v="966.579941336768"/>
    <n v="106109.65982643924"/>
    <n v="112"/>
    <x v="182"/>
    <n v="0.15866558977193201"/>
    <n v="2.5138378094788192"/>
    <n v="447.77919350303995"/>
    <n v="356.27542038533807"/>
    <x v="1"/>
  </r>
  <r>
    <s v="SALE1686"/>
    <d v="2023-11-23T00:00:00"/>
    <s v="CUST1387"/>
    <s v="PROD76"/>
    <s v="STORE4"/>
    <n v="2.5099489834792199"/>
    <n v="455.80244270546399"/>
    <n v="0.15761746883054301"/>
    <s v="COD"/>
    <n v="966.47194487731701"/>
    <n v="105143.07988510247"/>
    <n v="111"/>
    <x v="205"/>
    <n v="0.15866897080722681"/>
    <n v="2.5138503540788175"/>
    <n v="447.75331205399982"/>
    <n v="356.23548850877268"/>
    <x v="3"/>
  </r>
  <r>
    <s v="SALE1687"/>
    <d v="2023-10-26T00:00:00"/>
    <s v="CUST1260"/>
    <s v="PROD91"/>
    <s v="STORE0"/>
    <n v="2.5099740726792201"/>
    <n v="455.75067980738402"/>
    <n v="0.15762423090113201"/>
    <s v="PayPal"/>
    <n v="966.363948417865"/>
    <n v="105143.07988510247"/>
    <n v="111"/>
    <x v="189"/>
    <n v="0.1586723518425216"/>
    <n v="2.5138628986788163"/>
    <n v="447.72743060495975"/>
    <n v="356.19555663220734"/>
    <x v="11"/>
  </r>
  <r>
    <s v="SALE1688"/>
    <d v="2023-12-03T00:00:00"/>
    <s v="CUST1156"/>
    <s v="PROD83"/>
    <s v="STORE18"/>
    <n v="2.5099991618792199"/>
    <n v="455.69891690930399"/>
    <n v="0.15763099297172201"/>
    <s v="COD"/>
    <n v="966.25595195841299"/>
    <n v="105143.07988510247"/>
    <n v="111"/>
    <x v="453"/>
    <n v="0.15867573287781642"/>
    <n v="2.5138754432788146"/>
    <n v="447.70154915591974"/>
    <n v="356.15562475564195"/>
    <x v="1"/>
  </r>
  <r>
    <s v="SALE1689"/>
    <d v="2024-09-19T00:00:00"/>
    <s v="CUST1385"/>
    <s v="PROD68"/>
    <s v="STORE14"/>
    <n v="2.5100242510792201"/>
    <n v="455.64715401122402"/>
    <n v="0.15763775504231101"/>
    <s v="PayPal"/>
    <n v="966.14795549896098"/>
    <n v="105143.07988510247"/>
    <n v="111"/>
    <x v="110"/>
    <n v="0.15867911391311121"/>
    <n v="2.5138879878788134"/>
    <n v="447.67566770687955"/>
    <n v="356.11569287907662"/>
    <x v="8"/>
  </r>
  <r>
    <s v="SALE1690"/>
    <d v="2024-10-04T00:00:00"/>
    <s v="CUST1057"/>
    <s v="PROD5"/>
    <s v="STORE9"/>
    <n v="2.5100493402792101"/>
    <n v="455.59539111314399"/>
    <n v="0.15764451711290101"/>
    <s v="COD"/>
    <n v="966.03995903950999"/>
    <n v="105143.07988510247"/>
    <n v="111"/>
    <x v="368"/>
    <n v="0.158682494948406"/>
    <n v="2.5139005324788122"/>
    <n v="447.64978625783948"/>
    <n v="356.07576100251151"/>
    <x v="11"/>
  </r>
  <r>
    <s v="SALE1691"/>
    <d v="2023-10-18T00:00:00"/>
    <s v="CUST1224"/>
    <s v="PROD50"/>
    <s v="STORE17"/>
    <n v="2.5100744294792099"/>
    <n v="455.54362821506402"/>
    <n v="0.15765127918349101"/>
    <s v="PayPal"/>
    <n v="965.93196258005798"/>
    <n v="105143.07988510247"/>
    <n v="111"/>
    <x v="30"/>
    <n v="0.15868587598370082"/>
    <n v="2.5139130770788105"/>
    <n v="447.62390480879947"/>
    <n v="356.03582912594618"/>
    <x v="11"/>
  </r>
  <r>
    <s v="SALE1692"/>
    <d v="2025-05-06T00:00:00"/>
    <s v="CUST1330"/>
    <s v="PROD42"/>
    <s v="STORE6"/>
    <n v="2.5100995186792101"/>
    <n v="455.49186531698399"/>
    <n v="0.15765804125408001"/>
    <s v="PayPal"/>
    <n v="965.82396612060597"/>
    <n v="105143.07988510247"/>
    <n v="111"/>
    <x v="454"/>
    <n v="0.15868925701899564"/>
    <n v="2.5139256216788093"/>
    <n v="447.5980233597594"/>
    <n v="355.99589724938085"/>
    <x v="5"/>
  </r>
  <r>
    <s v="SALE1693"/>
    <d v="2024-03-20T00:00:00"/>
    <s v="CUST1198"/>
    <s v="PROD3"/>
    <s v="STORE2"/>
    <n v="2.5101246078792099"/>
    <n v="455.440102418903"/>
    <n v="0.15766480332467001"/>
    <s v="PayPal"/>
    <n v="965.71596966115396"/>
    <n v="105143.07988510247"/>
    <n v="111"/>
    <x v="160"/>
    <n v="0.15869263805429043"/>
    <n v="2.5139381662788081"/>
    <n v="447.57214191071938"/>
    <n v="355.95596537281523"/>
    <x v="9"/>
  </r>
  <r>
    <s v="SALE1694"/>
    <d v="2024-06-10T00:00:00"/>
    <s v="CUST1355"/>
    <s v="PROD91"/>
    <s v="STORE17"/>
    <n v="2.5101496970791999"/>
    <n v="455.38833952082302"/>
    <n v="0.15767156539525901"/>
    <s v="COD"/>
    <n v="965.60797320170298"/>
    <n v="105143.07988510247"/>
    <n v="111"/>
    <x v="95"/>
    <n v="0.15869601908958522"/>
    <n v="2.5139507108788064"/>
    <n v="447.54626046167914"/>
    <n v="355.91603349625012"/>
    <x v="2"/>
  </r>
  <r>
    <s v="SALE1695"/>
    <d v="2024-08-22T00:00:00"/>
    <s v="CUST1342"/>
    <s v="PROD61"/>
    <s v="STORE6"/>
    <n v="2.5101747862792001"/>
    <n v="455.336576622743"/>
    <n v="0.15767832746584901"/>
    <s v="COD"/>
    <n v="965.49997674225096"/>
    <n v="105143.07988510247"/>
    <n v="111"/>
    <x v="455"/>
    <n v="0.15869940012488001"/>
    <n v="2.5139632554788052"/>
    <n v="447.52037901263913"/>
    <n v="355.87610161968473"/>
    <x v="7"/>
  </r>
  <r>
    <s v="SALE1696"/>
    <d v="2025-04-09T00:00:00"/>
    <s v="CUST1422"/>
    <s v="PROD9"/>
    <s v="STORE4"/>
    <n v="2.5101998754791999"/>
    <n v="455.28481372466302"/>
    <n v="0.157685089536439"/>
    <s v="PayPal"/>
    <n v="965.39198028279895"/>
    <n v="105143.07988510247"/>
    <n v="111"/>
    <x v="131"/>
    <n v="0.15870278116017483"/>
    <n v="2.5139758000788044"/>
    <n v="447.49449756359905"/>
    <n v="355.8361697431194"/>
    <x v="10"/>
  </r>
  <r>
    <s v="SALE1697"/>
    <d v="2024-12-31T00:00:00"/>
    <s v="CUST1364"/>
    <s v="PROD46"/>
    <s v="STORE11"/>
    <n v="2.5102249646792001"/>
    <n v="455.233050826583"/>
    <n v="0.15769185160702801"/>
    <s v="PayPal"/>
    <n v="965.28398382334694"/>
    <n v="105143.07988510247"/>
    <n v="111"/>
    <x v="88"/>
    <n v="0.15870616219546965"/>
    <n v="2.5139883446788027"/>
    <n v="447.46861611455887"/>
    <n v="355.79623786655407"/>
    <x v="1"/>
  </r>
  <r>
    <s v="SALE1698"/>
    <d v="2025-02-28T00:00:00"/>
    <s v="CUST1065"/>
    <s v="PROD20"/>
    <s v="STORE8"/>
    <n v="2.5102500538791901"/>
    <n v="455.18128792850302"/>
    <n v="0.157698613677618"/>
    <s v="PayPal"/>
    <n v="965.17598736389596"/>
    <n v="105143.07988510247"/>
    <n v="111"/>
    <x v="59"/>
    <n v="0.15870954323076444"/>
    <n v="2.5140008892788015"/>
    <n v="447.44273466551897"/>
    <n v="355.75630598998896"/>
    <x v="6"/>
  </r>
  <r>
    <s v="SALE1699"/>
    <d v="2024-01-22T00:00:00"/>
    <s v="CUST1093"/>
    <s v="PROD59"/>
    <s v="STORE11"/>
    <n v="2.5102751430791899"/>
    <n v="455.12952503042197"/>
    <n v="0.15770537574820701"/>
    <s v="PayPal"/>
    <n v="965.06799090444395"/>
    <n v="105143.07988510247"/>
    <n v="111"/>
    <x v="154"/>
    <n v="0.15871292426605926"/>
    <n v="2.5140134338788003"/>
    <n v="447.41685321647878"/>
    <n v="355.71637411342334"/>
    <x v="4"/>
  </r>
  <r>
    <s v="SALE1700"/>
    <d v="2024-03-21T00:00:00"/>
    <s v="CUST1002"/>
    <s v="PROD86"/>
    <s v="STORE9"/>
    <n v="2.5103002322791901"/>
    <n v="455.077762132342"/>
    <n v="0.157712137818797"/>
    <s v="Credit Card"/>
    <n v="964.95999444499205"/>
    <n v="105143.07988510247"/>
    <n v="111"/>
    <x v="364"/>
    <n v="0.15871630530135411"/>
    <n v="2.5140259784787991"/>
    <n v="447.39097176743866"/>
    <n v="355.67644223685801"/>
    <x v="9"/>
  </r>
  <r>
    <s v="SALE1701"/>
    <d v="2024-12-22T00:00:00"/>
    <s v="CUST1405"/>
    <s v="PROD18"/>
    <s v="STORE5"/>
    <n v="2.5103253214791899"/>
    <n v="455.02599923426197"/>
    <n v="0.157718899889387"/>
    <s v="PayPal"/>
    <n v="964.85199798554004"/>
    <n v="104178.11989065749"/>
    <n v="110"/>
    <x v="221"/>
    <n v="0.1587196863366489"/>
    <n v="2.5140385230787978"/>
    <n v="447.36509031839859"/>
    <n v="355.63651036029262"/>
    <x v="1"/>
  </r>
  <r>
    <s v="SALE1702"/>
    <d v="2024-04-02T00:00:00"/>
    <s v="CUST1172"/>
    <s v="PROD79"/>
    <s v="STORE3"/>
    <n v="2.5103504106791799"/>
    <n v="454.974236336182"/>
    <n v="0.157725661959976"/>
    <s v="Credit Card"/>
    <n v="964.74400152608905"/>
    <n v="104178.11989065749"/>
    <n v="110"/>
    <x v="393"/>
    <n v="0.15872306737194367"/>
    <n v="2.5140510676787966"/>
    <n v="447.33920886935852"/>
    <n v="355.59657848372757"/>
    <x v="10"/>
  </r>
  <r>
    <s v="SALE1703"/>
    <d v="2025-01-30T00:00:00"/>
    <s v="CUST1470"/>
    <s v="PROD79"/>
    <s v="STORE9"/>
    <n v="2.5103754998791801"/>
    <n v="454.92247343810197"/>
    <n v="0.157732424030566"/>
    <s v="COD"/>
    <n v="964.63600506663704"/>
    <n v="103213.37588913138"/>
    <n v="109"/>
    <x v="456"/>
    <n v="0.15872644840723849"/>
    <n v="2.5140636122787954"/>
    <n v="447.31332742031839"/>
    <n v="355.55664660716218"/>
    <x v="4"/>
  </r>
  <r>
    <s v="SALE1704"/>
    <d v="2025-03-31T00:00:00"/>
    <s v="CUST1192"/>
    <s v="PROD67"/>
    <s v="STORE8"/>
    <n v="2.5104005890791798"/>
    <n v="454.870710540022"/>
    <n v="0.157739186101155"/>
    <s v="PayPal"/>
    <n v="964.52800860718503"/>
    <n v="103213.37588913138"/>
    <n v="109"/>
    <x v="457"/>
    <n v="0.15872982944253328"/>
    <n v="2.5140761568787942"/>
    <n v="447.28744597127832"/>
    <n v="355.51671473059685"/>
    <x v="9"/>
  </r>
  <r>
    <s v="SALE1705"/>
    <d v="2025-01-30T00:00:00"/>
    <s v="CUST1099"/>
    <s v="PROD24"/>
    <s v="STORE7"/>
    <n v="2.5104256782791698"/>
    <n v="454.81894764194101"/>
    <n v="0.157745948171745"/>
    <s v="PayPal"/>
    <n v="964.42001214773404"/>
    <n v="103213.37588913138"/>
    <n v="109"/>
    <x v="456"/>
    <n v="0.1587332104778281"/>
    <n v="2.5140887014787929"/>
    <n v="447.26156452223819"/>
    <n v="355.47678285403151"/>
    <x v="4"/>
  </r>
  <r>
    <s v="SALE1706"/>
    <d v="2025-09-16T00:00:00"/>
    <s v="CUST1122"/>
    <s v="PROD94"/>
    <s v="STORE1"/>
    <n v="2.5104507674791701"/>
    <n v="454.76718474386098"/>
    <n v="0.157752710242335"/>
    <s v="COD"/>
    <n v="964.31201568828203"/>
    <n v="103213.37588913138"/>
    <n v="109"/>
    <x v="120"/>
    <n v="0.15873659151312292"/>
    <n v="2.5141012460787917"/>
    <n v="447.23568307319812"/>
    <n v="355.43685097746612"/>
    <x v="8"/>
  </r>
  <r>
    <s v="SALE1707"/>
    <d v="2025-09-17T00:00:00"/>
    <s v="CUST1198"/>
    <s v="PROD67"/>
    <s v="STORE10"/>
    <n v="2.5104758566791698"/>
    <n v="454.71542184578101"/>
    <n v="0.157759472312924"/>
    <s v="COD"/>
    <n v="964.20401922883002"/>
    <n v="103213.37588913138"/>
    <n v="109"/>
    <x v="207"/>
    <n v="0.15873997254841771"/>
    <n v="2.5141137906787905"/>
    <n v="447.20980162415805"/>
    <n v="355.39691910090079"/>
    <x v="8"/>
  </r>
  <r>
    <s v="SALE1708"/>
    <d v="2025-10-11T00:00:00"/>
    <s v="CUST1325"/>
    <s v="PROD82"/>
    <s v="STORE3"/>
    <n v="2.5105009458791701"/>
    <n v="454.66365894770098"/>
    <n v="0.157766234383514"/>
    <s v="COD"/>
    <n v="964.09602276937801"/>
    <n v="103213.37588913138"/>
    <n v="109"/>
    <x v="458"/>
    <n v="0.15874335358371253"/>
    <n v="2.5141263352787893"/>
    <n v="447.18392017511803"/>
    <n v="355.3569872243354"/>
    <x v="11"/>
  </r>
  <r>
    <s v="SALE1709"/>
    <d v="2025-05-01T00:00:00"/>
    <s v="CUST1248"/>
    <s v="PROD34"/>
    <s v="STORE3"/>
    <n v="2.5105260350791601"/>
    <n v="454.61189604962101"/>
    <n v="0.157772996454104"/>
    <s v="COD"/>
    <n v="963.98802630992702"/>
    <n v="103213.37588913138"/>
    <n v="109"/>
    <x v="428"/>
    <n v="0.15874673461900735"/>
    <n v="2.514138879878788"/>
    <n v="447.1580387260779"/>
    <n v="355.31705534777035"/>
    <x v="5"/>
  </r>
  <r>
    <s v="SALE1710"/>
    <d v="2025-03-24T00:00:00"/>
    <s v="CUST1330"/>
    <s v="PROD72"/>
    <s v="STORE11"/>
    <n v="2.5105511242791598"/>
    <n v="454.56013315154098"/>
    <n v="0.157779758524693"/>
    <s v="COD"/>
    <n v="963.88002985047501"/>
    <n v="103213.37588913138"/>
    <n v="109"/>
    <x v="459"/>
    <n v="0.15875011565430214"/>
    <n v="2.5141514244787873"/>
    <n v="447.13215727703778"/>
    <n v="355.27712347120496"/>
    <x v="9"/>
  </r>
  <r>
    <s v="SALE1711"/>
    <d v="2024-11-02T00:00:00"/>
    <s v="CUST1089"/>
    <s v="PROD59"/>
    <s v="STORE6"/>
    <n v="2.51057621347916"/>
    <n v="454.50837025346101"/>
    <n v="0.157786520595283"/>
    <s v="PayPal"/>
    <n v="963.772033391023"/>
    <n v="103213.37588913138"/>
    <n v="109"/>
    <x v="118"/>
    <n v="0.15875349668959693"/>
    <n v="2.514163969078786"/>
    <n v="447.10627582799776"/>
    <n v="355.23719159463963"/>
    <x v="3"/>
  </r>
  <r>
    <s v="SALE1712"/>
    <d v="2024-10-26T00:00:00"/>
    <s v="CUST1196"/>
    <s v="PROD39"/>
    <s v="STORE17"/>
    <n v="2.5106013026791598"/>
    <n v="454.45660735538002"/>
    <n v="0.157793282665872"/>
    <s v="Credit Card"/>
    <n v="963.66403693157099"/>
    <n v="103213.37588913138"/>
    <n v="109"/>
    <x v="341"/>
    <n v="0.15875687772489175"/>
    <n v="2.5141765136787844"/>
    <n v="447.08039437895769"/>
    <n v="355.19725971807401"/>
    <x v="11"/>
  </r>
  <r>
    <s v="SALE1713"/>
    <d v="2024-09-11T00:00:00"/>
    <s v="CUST1177"/>
    <s v="PROD42"/>
    <s v="STORE14"/>
    <n v="2.5106263918791498"/>
    <n v="454.40484445729999"/>
    <n v="0.157800044736462"/>
    <s v="PayPal"/>
    <n v="963.55604047212"/>
    <n v="102249.71185219982"/>
    <n v="108"/>
    <x v="460"/>
    <n v="0.15876025876018651"/>
    <n v="2.5141890582787831"/>
    <n v="447.05451292991762"/>
    <n v="355.1573278415089"/>
    <x v="8"/>
  </r>
  <r>
    <s v="SALE1714"/>
    <d v="2024-07-10T00:00:00"/>
    <s v="CUST1323"/>
    <s v="PROD31"/>
    <s v="STORE18"/>
    <n v="2.51065148107915"/>
    <n v="454.35308155922002"/>
    <n v="0.157806806807052"/>
    <s v="Credit Card"/>
    <n v="963.44804401266799"/>
    <n v="102249.71185219982"/>
    <n v="108"/>
    <x v="231"/>
    <n v="0.15876363979548133"/>
    <n v="2.5142016028787819"/>
    <n v="447.02863148087755"/>
    <n v="355.11739596494357"/>
    <x v="0"/>
  </r>
  <r>
    <s v="SALE1715"/>
    <d v="2025-05-09T00:00:00"/>
    <s v="CUST1206"/>
    <s v="PROD6"/>
    <s v="STORE7"/>
    <n v="2.5106765702791498"/>
    <n v="454.30131866113999"/>
    <n v="0.157813568877641"/>
    <s v="PayPal"/>
    <n v="963.34004755321598"/>
    <n v="101286.26380818716"/>
    <n v="107"/>
    <x v="461"/>
    <n v="0.15876702083077612"/>
    <n v="2.5142141474787807"/>
    <n v="447.00275003183742"/>
    <n v="355.07746408837818"/>
    <x v="5"/>
  </r>
  <r>
    <s v="SALE1716"/>
    <d v="2024-07-02T00:00:00"/>
    <s v="CUST1204"/>
    <s v="PROD98"/>
    <s v="STORE19"/>
    <n v="2.51070165947915"/>
    <n v="454.24955576306002"/>
    <n v="0.157820330948231"/>
    <s v="PayPal"/>
    <n v="963.23205109376397"/>
    <n v="101286.26380818716"/>
    <n v="107"/>
    <x v="235"/>
    <n v="0.15877040186607094"/>
    <n v="2.514226692078779"/>
    <n v="446.97686858279735"/>
    <n v="355.03753221181285"/>
    <x v="0"/>
  </r>
  <r>
    <s v="SALE1717"/>
    <d v="2024-06-27T00:00:00"/>
    <s v="CUST1316"/>
    <s v="PROD20"/>
    <s v="STORE11"/>
    <n v="2.51072674867914"/>
    <n v="454.19779286497999"/>
    <n v="0.15782709301882"/>
    <s v="COD"/>
    <n v="963.12405463431298"/>
    <n v="101286.26380818716"/>
    <n v="107"/>
    <x v="462"/>
    <n v="0.15877378290136576"/>
    <n v="2.5142392366787774"/>
    <n v="446.95098713375728"/>
    <n v="354.99760033524774"/>
    <x v="2"/>
  </r>
  <r>
    <s v="SALE1718"/>
    <d v="2023-11-13T00:00:00"/>
    <s v="CUST1271"/>
    <s v="PROD74"/>
    <s v="STORE5"/>
    <n v="2.5107518378791398"/>
    <n v="454.14602996689899"/>
    <n v="0.15783385508941"/>
    <s v="PayPal"/>
    <n v="963.01605817486097"/>
    <n v="101286.26380818716"/>
    <n v="107"/>
    <x v="463"/>
    <n v="0.15877716393666055"/>
    <n v="2.5142517812787757"/>
    <n v="446.92510568471727"/>
    <n v="354.95766845868212"/>
    <x v="3"/>
  </r>
  <r>
    <s v="SALE1719"/>
    <d v="2024-02-19T00:00:00"/>
    <s v="CUST1005"/>
    <s v="PROD61"/>
    <s v="STORE12"/>
    <n v="2.51077692707914"/>
    <n v="454.09426706881902"/>
    <n v="0.15784061716"/>
    <s v="Credit Card"/>
    <n v="962.90806171540896"/>
    <n v="101286.26380818716"/>
    <n v="107"/>
    <x v="464"/>
    <n v="0.15878054497195535"/>
    <n v="2.5142643258787749"/>
    <n v="446.8992242356772"/>
    <n v="354.91773658211679"/>
    <x v="6"/>
  </r>
  <r>
    <s v="SALE1720"/>
    <d v="2024-03-20T00:00:00"/>
    <s v="CUST1165"/>
    <s v="PROD78"/>
    <s v="STORE1"/>
    <n v="2.5108020162791398"/>
    <n v="454.04250417073899"/>
    <n v="0.157847379230589"/>
    <s v="PayPal"/>
    <n v="962.80006525595797"/>
    <n v="100323.35574647175"/>
    <n v="106"/>
    <x v="160"/>
    <n v="0.15878392600725014"/>
    <n v="2.5142768704787732"/>
    <n v="446.87334278663707"/>
    <n v="354.87780470555168"/>
    <x v="9"/>
  </r>
  <r>
    <s v="SALE1721"/>
    <d v="2024-03-09T00:00:00"/>
    <s v="CUST1001"/>
    <s v="PROD67"/>
    <s v="STORE0"/>
    <n v="2.5108271054791298"/>
    <n v="453.99074127265902"/>
    <n v="0.157854141301179"/>
    <s v="COD"/>
    <n v="962.69206879650596"/>
    <n v="100323.35574647175"/>
    <n v="106"/>
    <x v="398"/>
    <n v="0.15878730704254496"/>
    <n v="2.514289415078772"/>
    <n v="446.84746133759694"/>
    <n v="354.83787282898629"/>
    <x v="9"/>
  </r>
  <r>
    <s v="SALE1722"/>
    <d v="2024-07-26T00:00:00"/>
    <s v="CUST1101"/>
    <s v="PROD4"/>
    <s v="STORE18"/>
    <n v="2.51085219467913"/>
    <n v="453.93897837457899"/>
    <n v="0.157860903371768"/>
    <s v="PayPal"/>
    <n v="962.58407233705395"/>
    <n v="100323.35574647175"/>
    <n v="106"/>
    <x v="5"/>
    <n v="0.15879068807783975"/>
    <n v="2.5143019596787703"/>
    <n v="446.82157988855693"/>
    <n v="354.79794095242096"/>
    <x v="0"/>
  </r>
  <r>
    <s v="SALE1723"/>
    <d v="2025-03-29T00:00:00"/>
    <s v="CUST1405"/>
    <s v="PROD24"/>
    <s v="STORE3"/>
    <n v="2.5108772838791298"/>
    <n v="453.88721547649902"/>
    <n v="0.157867665442358"/>
    <s v="Credit Card"/>
    <n v="962.47607587760206"/>
    <n v="100323.35574647175"/>
    <n v="106"/>
    <x v="142"/>
    <n v="0.15879406911313457"/>
    <n v="2.5143145042787691"/>
    <n v="446.79569843951685"/>
    <n v="354.75800907585563"/>
    <x v="9"/>
  </r>
  <r>
    <s v="SALE1724"/>
    <d v="2025-03-02T00:00:00"/>
    <s v="CUST1476"/>
    <s v="PROD18"/>
    <s v="STORE6"/>
    <n v="2.51090237307913"/>
    <n v="453.83545257841803"/>
    <n v="0.157874427512948"/>
    <s v="Credit Card"/>
    <n v="962.36807941815096"/>
    <n v="99360.87967059415"/>
    <n v="105"/>
    <x v="132"/>
    <n v="0.15879745014842939"/>
    <n v="2.5143270488787679"/>
    <n v="446.76981699047673"/>
    <n v="354.71807719929029"/>
    <x v="9"/>
  </r>
  <r>
    <s v="SALE1725"/>
    <d v="2024-06-11T00:00:00"/>
    <s v="CUST1296"/>
    <s v="PROD40"/>
    <s v="STORE8"/>
    <n v="2.51092746227912"/>
    <n v="453.783689680338"/>
    <n v="0.157881189583537"/>
    <s v="COD"/>
    <n v="962.26008295869894"/>
    <n v="98398.511591175993"/>
    <n v="104"/>
    <x v="146"/>
    <n v="0.15880083118372421"/>
    <n v="2.5143395934787662"/>
    <n v="446.74393554143671"/>
    <n v="354.6781453227249"/>
    <x v="2"/>
  </r>
  <r>
    <s v="SALE1726"/>
    <d v="2024-05-22T00:00:00"/>
    <s v="CUST1437"/>
    <s v="PROD33"/>
    <s v="STORE11"/>
    <n v="2.5109525514791202"/>
    <n v="453.73192678225797"/>
    <n v="0.157887951654127"/>
    <s v="PayPal"/>
    <n v="962.15208649924705"/>
    <n v="98398.511591175993"/>
    <n v="104"/>
    <x v="244"/>
    <n v="0.15880421221901897"/>
    <n v="2.514352138078765"/>
    <n v="446.71805409239659"/>
    <n v="354.63821344615957"/>
    <x v="5"/>
  </r>
  <r>
    <s v="SALE1727"/>
    <d v="2024-07-13T00:00:00"/>
    <s v="CUST1176"/>
    <s v="PROD83"/>
    <s v="STORE0"/>
    <n v="2.51097764067912"/>
    <n v="453.680163884178"/>
    <n v="0.157894713724717"/>
    <s v="PayPal"/>
    <n v="962.04409003979504"/>
    <n v="98398.511591175993"/>
    <n v="104"/>
    <x v="40"/>
    <n v="0.15880759325431379"/>
    <n v="2.5143646826787633"/>
    <n v="446.69217264335651"/>
    <n v="354.59828156959423"/>
    <x v="0"/>
  </r>
  <r>
    <s v="SALE1728"/>
    <d v="2025-09-02T00:00:00"/>
    <s v="CUST1104"/>
    <s v="PROD37"/>
    <s v="STORE6"/>
    <n v="2.51100272987911"/>
    <n v="453.62840098609797"/>
    <n v="0.157901475795306"/>
    <s v="COD"/>
    <n v="961.93609358034405"/>
    <n v="98398.511591175993"/>
    <n v="104"/>
    <x v="465"/>
    <n v="0.15881097428960858"/>
    <n v="2.5143772272787621"/>
    <n v="446.6662911943165"/>
    <n v="354.55834969302913"/>
    <x v="8"/>
  </r>
  <r>
    <s v="SALE1729"/>
    <d v="2025-04-15T00:00:00"/>
    <s v="CUST1069"/>
    <s v="PROD25"/>
    <s v="STORE17"/>
    <n v="2.5110278190791102"/>
    <n v="453.576638088018"/>
    <n v="0.157908237865896"/>
    <s v="Credit Card"/>
    <n v="961.82809712089204"/>
    <n v="98398.511591175993"/>
    <n v="104"/>
    <x v="362"/>
    <n v="0.15881435532490337"/>
    <n v="2.5143897718787609"/>
    <n v="446.64040974527643"/>
    <n v="354.51841781646374"/>
    <x v="10"/>
  </r>
  <r>
    <s v="SALE1730"/>
    <d v="2025-04-05T00:00:00"/>
    <s v="CUST1247"/>
    <s v="PROD10"/>
    <s v="STORE4"/>
    <n v="2.51105290827911"/>
    <n v="453.52487518993701"/>
    <n v="0.157914999936485"/>
    <s v="Credit Card"/>
    <n v="961.72010066144003"/>
    <n v="97436.683494055105"/>
    <n v="103"/>
    <x v="385"/>
    <n v="0.15881773636019819"/>
    <n v="2.5144023164787601"/>
    <n v="446.6145282962363"/>
    <n v="354.47848593989818"/>
    <x v="10"/>
  </r>
  <r>
    <s v="SALE1731"/>
    <d v="2023-11-24T00:00:00"/>
    <s v="CUST1350"/>
    <s v="PROD92"/>
    <s v="STORE19"/>
    <n v="2.5110779974791102"/>
    <n v="453.47311229185698"/>
    <n v="0.157921762007075"/>
    <s v="COD"/>
    <n v="961.61210420198802"/>
    <n v="96474.963393393671"/>
    <n v="102"/>
    <x v="466"/>
    <n v="0.15882111739549301"/>
    <n v="2.514414861078758"/>
    <n v="446.58864684719617"/>
    <n v="354.43855406333279"/>
    <x v="3"/>
  </r>
  <r>
    <s v="SALE1732"/>
    <d v="2025-01-26T00:00:00"/>
    <s v="CUST1049"/>
    <s v="PROD76"/>
    <s v="STORE2"/>
    <n v="2.5111030866791002"/>
    <n v="453.42134939377701"/>
    <n v="0.157928524077665"/>
    <s v="PayPal"/>
    <n v="961.50410774253703"/>
    <n v="96474.963393393671"/>
    <n v="102"/>
    <x v="467"/>
    <n v="0.15882449843078777"/>
    <n v="2.5144274056787572"/>
    <n v="446.5627653981561"/>
    <n v="354.39862218676768"/>
    <x v="4"/>
  </r>
  <r>
    <s v="SALE1733"/>
    <d v="2025-05-27T00:00:00"/>
    <s v="CUST1408"/>
    <s v="PROD84"/>
    <s v="STORE17"/>
    <n v="2.5111281758791"/>
    <n v="453.36958649569698"/>
    <n v="0.157935286148254"/>
    <s v="COD"/>
    <n v="961.39611128308502"/>
    <n v="96474.963393393671"/>
    <n v="102"/>
    <x v="391"/>
    <n v="0.15882787946608259"/>
    <n v="2.514439950278756"/>
    <n v="446.53688394911603"/>
    <n v="354.35869031020235"/>
    <x v="5"/>
  </r>
  <r>
    <s v="SALE1734"/>
    <d v="2025-06-13T00:00:00"/>
    <s v="CUST1168"/>
    <s v="PROD94"/>
    <s v="STORE14"/>
    <n v="2.5111532650791002"/>
    <n v="453.31782359761701"/>
    <n v="0.157942048218844"/>
    <s v="COD"/>
    <n v="961.28811482363301"/>
    <n v="96474.963393393671"/>
    <n v="102"/>
    <x v="468"/>
    <n v="0.15883126050137739"/>
    <n v="2.5144524948787548"/>
    <n v="446.51100250007596"/>
    <n v="354.31875843363696"/>
    <x v="2"/>
  </r>
  <r>
    <s v="SALE1735"/>
    <d v="2024-06-29T00:00:00"/>
    <s v="CUST1241"/>
    <s v="PROD20"/>
    <s v="STORE4"/>
    <n v="2.5111783542791"/>
    <n v="453.26606069953698"/>
    <n v="0.157948810289433"/>
    <s v="COD"/>
    <n v="961.18011836418202"/>
    <n v="96474.963393393671"/>
    <n v="102"/>
    <x v="469"/>
    <n v="0.15883464153667215"/>
    <n v="2.5144650394787535"/>
    <n v="446.48512105103589"/>
    <n v="354.27882655707185"/>
    <x v="2"/>
  </r>
  <r>
    <s v="SALE1736"/>
    <d v="2024-02-09T00:00:00"/>
    <s v="CUST1363"/>
    <s v="PROD91"/>
    <s v="STORE12"/>
    <n v="2.51120344347909"/>
    <n v="453.21429780145701"/>
    <n v="0.157955572360023"/>
    <s v="COD"/>
    <n v="961.07212190473001"/>
    <n v="96474.963393393671"/>
    <n v="102"/>
    <x v="316"/>
    <n v="0.158838022571967"/>
    <n v="2.5144775840787523"/>
    <n v="446.45923960199571"/>
    <n v="354.23889468050652"/>
    <x v="6"/>
  </r>
  <r>
    <s v="SALE1737"/>
    <d v="2024-06-08T00:00:00"/>
    <s v="CUST1037"/>
    <s v="PROD78"/>
    <s v="STORE15"/>
    <n v="2.5112285326790902"/>
    <n v="453.16253490337601"/>
    <n v="0.157962334430613"/>
    <s v="PayPal"/>
    <n v="960.964125445278"/>
    <n v="96474.963393393671"/>
    <n v="102"/>
    <x v="470"/>
    <n v="0.15884140360726179"/>
    <n v="2.5144901286787511"/>
    <n v="446.43335815295569"/>
    <n v="354.19896280394096"/>
    <x v="2"/>
  </r>
  <r>
    <s v="SALE1738"/>
    <d v="2024-04-04T00:00:00"/>
    <s v="CUST1239"/>
    <s v="PROD86"/>
    <s v="STORE3"/>
    <n v="2.51125362187909"/>
    <n v="453.11077200529598"/>
    <n v="0.157969096501202"/>
    <s v="Credit Card"/>
    <n v="960.85612898582599"/>
    <n v="96474.963393393671"/>
    <n v="102"/>
    <x v="239"/>
    <n v="0.15884478464255661"/>
    <n v="2.5145026732787499"/>
    <n v="446.40747670391562"/>
    <n v="354.15903092737557"/>
    <x v="10"/>
  </r>
  <r>
    <s v="SALE1739"/>
    <d v="2024-07-04T00:00:00"/>
    <s v="CUST1496"/>
    <s v="PROD89"/>
    <s v="STORE14"/>
    <n v="2.5112787110790902"/>
    <n v="453.05900910721601"/>
    <n v="0.157975858571792"/>
    <s v="PayPal"/>
    <n v="960.748132526375"/>
    <n v="95514.107264407838"/>
    <n v="101"/>
    <x v="471"/>
    <n v="0.15884816567785143"/>
    <n v="2.5145152178787491"/>
    <n v="446.38159525487555"/>
    <n v="354.11909905081046"/>
    <x v="0"/>
  </r>
  <r>
    <s v="SALE1740"/>
    <d v="2024-05-21T00:00:00"/>
    <s v="CUST1495"/>
    <s v="PROD40"/>
    <s v="STORE12"/>
    <n v="2.5113038002790802"/>
    <n v="453.00724620913599"/>
    <n v="0.157982620642381"/>
    <s v="Credit Card"/>
    <n v="960.64013606692299"/>
    <n v="95514.107264407838"/>
    <n v="101"/>
    <x v="138"/>
    <n v="0.15885154671314619"/>
    <n v="2.5145277624787479"/>
    <n v="446.35571380583548"/>
    <n v="354.07916717424513"/>
    <x v="5"/>
  </r>
  <r>
    <s v="SALE1741"/>
    <d v="2025-04-12T00:00:00"/>
    <s v="CUST1416"/>
    <s v="PROD98"/>
    <s v="STORE7"/>
    <n v="2.51132888947908"/>
    <n v="452.95548331105601"/>
    <n v="0.157989382712971"/>
    <s v="COD"/>
    <n v="960.53213960747098"/>
    <n v="94553.467128340912"/>
    <n v="100"/>
    <x v="472"/>
    <n v="0.15885492774844098"/>
    <n v="2.5145403070787467"/>
    <n v="446.32983235679541"/>
    <n v="354.03923529767974"/>
    <x v="10"/>
  </r>
  <r>
    <s v="SALE1742"/>
    <d v="2025-05-17T00:00:00"/>
    <s v="CUST1474"/>
    <s v="PROD99"/>
    <s v="STORE18"/>
    <n v="2.5113539786790802"/>
    <n v="452.90372041297599"/>
    <n v="0.157996144783561"/>
    <s v="COD"/>
    <n v="960.42414314801897"/>
    <n v="94553.467128340912"/>
    <n v="100"/>
    <x v="473"/>
    <n v="0.15885830878373583"/>
    <n v="2.5145528516787454"/>
    <n v="446.30395090775534"/>
    <n v="353.9993034211144"/>
    <x v="5"/>
  </r>
  <r>
    <s v="SALE1743"/>
    <d v="2025-04-17T00:00:00"/>
    <s v="CUST1377"/>
    <s v="PROD70"/>
    <s v="STORE18"/>
    <n v="2.5113790678790799"/>
    <n v="452.85195751489499"/>
    <n v="0.15800290685415"/>
    <s v="COD"/>
    <n v="960.31614668856798"/>
    <n v="94553.467128340912"/>
    <n v="100"/>
    <x v="267"/>
    <n v="0.15886168981903065"/>
    <n v="2.5145653962787438"/>
    <n v="446.27806945871527"/>
    <n v="353.95937154454907"/>
    <x v="10"/>
  </r>
  <r>
    <s v="SALE1744"/>
    <d v="2023-12-19T00:00:00"/>
    <s v="CUST1049"/>
    <s v="PROD73"/>
    <s v="STORE13"/>
    <n v="2.5114041570790699"/>
    <n v="452.80019461681502"/>
    <n v="0.15800966892474"/>
    <s v="Credit Card"/>
    <n v="960.20815022911597"/>
    <n v="94553.467128340912"/>
    <n v="100"/>
    <x v="335"/>
    <n v="0.15886507085432544"/>
    <n v="2.514577940878743"/>
    <n v="446.25218800967519"/>
    <n v="353.91943966798374"/>
    <x v="1"/>
  </r>
  <r>
    <s v="SALE1745"/>
    <d v="2024-11-06T00:00:00"/>
    <s v="CUST1292"/>
    <s v="PROD99"/>
    <s v="STORE3"/>
    <n v="2.5114292462790702"/>
    <n v="452.74843171873499"/>
    <n v="0.158016430995329"/>
    <s v="PayPal"/>
    <n v="960.10015376966396"/>
    <n v="93593.2589781118"/>
    <n v="99"/>
    <x v="392"/>
    <n v="0.15886845188962023"/>
    <n v="2.5145904854787422"/>
    <n v="446.22630656063512"/>
    <n v="353.87950779141835"/>
    <x v="3"/>
  </r>
  <r>
    <s v="SALE1746"/>
    <d v="2025-05-16T00:00:00"/>
    <s v="CUST1177"/>
    <s v="PROD37"/>
    <s v="STORE19"/>
    <n v="2.5114543354790699"/>
    <n v="452.69666882065502"/>
    <n v="0.158023193065919"/>
    <s v="Credit Card"/>
    <n v="959.99215731021195"/>
    <n v="93593.2589781118"/>
    <n v="99"/>
    <x v="376"/>
    <n v="0.15887183292491505"/>
    <n v="2.5146030300787405"/>
    <n v="446.200425111595"/>
    <n v="353.83957591485296"/>
    <x v="5"/>
  </r>
  <r>
    <s v="SALE1747"/>
    <d v="2025-05-01T00:00:00"/>
    <s v="CUST1475"/>
    <s v="PROD73"/>
    <s v="STORE4"/>
    <n v="2.5114794246790701"/>
    <n v="452.64490592257499"/>
    <n v="0.158029955136509"/>
    <s v="COD"/>
    <n v="959.88416085076096"/>
    <n v="92633.266820801582"/>
    <n v="98"/>
    <x v="428"/>
    <n v="0.15887521396020984"/>
    <n v="2.5146155746787393"/>
    <n v="446.17454366255492"/>
    <n v="353.79964403828785"/>
    <x v="5"/>
  </r>
  <r>
    <s v="SALE1748"/>
    <d v="2024-02-03T00:00:00"/>
    <s v="CUST1370"/>
    <s v="PROD5"/>
    <s v="STORE5"/>
    <n v="2.5115045138790602"/>
    <n v="452.59314302449502"/>
    <n v="0.158036717207098"/>
    <s v="Credit Card"/>
    <n v="959.77616439130895"/>
    <n v="92633.266820801582"/>
    <n v="98"/>
    <x v="474"/>
    <n v="0.15887859499550464"/>
    <n v="2.5146281192787376"/>
    <n v="446.14866221351485"/>
    <n v="353.75971216172252"/>
    <x v="6"/>
  </r>
  <r>
    <s v="SALE1749"/>
    <d v="2025-08-06T00:00:00"/>
    <s v="CUST1462"/>
    <s v="PROD82"/>
    <s v="STORE10"/>
    <n v="2.5115296030790599"/>
    <n v="452.54138012641403"/>
    <n v="0.158043479277688"/>
    <s v="Credit Card"/>
    <n v="959.66816793185706"/>
    <n v="91673.490656410271"/>
    <n v="97"/>
    <x v="13"/>
    <n v="0.15888197603079945"/>
    <n v="2.5146406638787364"/>
    <n v="446.12278076447484"/>
    <n v="353.71978028515696"/>
    <x v="7"/>
  </r>
  <r>
    <s v="SALE1750"/>
    <d v="2024-01-29T00:00:00"/>
    <s v="CUST1134"/>
    <s v="PROD8"/>
    <s v="STORE1"/>
    <n v="2.5115546922790601"/>
    <n v="452.489617228334"/>
    <n v="0.158050241348277"/>
    <s v="PayPal"/>
    <n v="959.56017147240505"/>
    <n v="90713.822488478414"/>
    <n v="96"/>
    <x v="475"/>
    <n v="0.15888535706609427"/>
    <n v="2.5146532084787347"/>
    <n v="446.09689931543471"/>
    <n v="353.67984840859162"/>
    <x v="4"/>
  </r>
  <r>
    <s v="SALE1751"/>
    <d v="2025-08-01T00:00:00"/>
    <s v="CUST1468"/>
    <s v="PROD19"/>
    <s v="STORE15"/>
    <n v="2.5115797814790501"/>
    <n v="452.43785433025403"/>
    <n v="0.158057003418867"/>
    <s v="COD"/>
    <n v="959.45217501295394"/>
    <n v="90713.822488478414"/>
    <n v="96"/>
    <x v="476"/>
    <n v="0.15888873810138909"/>
    <n v="2.5146657530787331"/>
    <n v="446.07101786639464"/>
    <n v="353.63991653202646"/>
    <x v="7"/>
  </r>
  <r>
    <s v="SALE1752"/>
    <d v="2024-10-12T00:00:00"/>
    <s v="CUST1208"/>
    <s v="PROD41"/>
    <s v="STORE18"/>
    <n v="2.5116048706790499"/>
    <n v="452.386091432174"/>
    <n v="0.158063765489457"/>
    <s v="COD"/>
    <n v="959.34417855350205"/>
    <n v="90713.822488478414"/>
    <n v="96"/>
    <x v="85"/>
    <n v="0.15889211913668388"/>
    <n v="2.5146782976787319"/>
    <n v="446.04513641735451"/>
    <n v="353.59998465546113"/>
    <x v="11"/>
  </r>
  <r>
    <s v="SALE1753"/>
    <d v="2025-03-29T00:00:00"/>
    <s v="CUST1164"/>
    <s v="PROD42"/>
    <s v="STORE0"/>
    <n v="2.5116299598790501"/>
    <n v="452.33432853409403"/>
    <n v="0.158070527560046"/>
    <s v="COD"/>
    <n v="959.23618209405004"/>
    <n v="90713.822488478414"/>
    <n v="96"/>
    <x v="142"/>
    <n v="0.1588955001719787"/>
    <n v="2.5146908422787306"/>
    <n v="446.0192549683145"/>
    <n v="353.56005277889579"/>
    <x v="9"/>
  </r>
  <r>
    <s v="SALE1754"/>
    <d v="2025-04-25T00:00:00"/>
    <s v="CUST1326"/>
    <s v="PROD69"/>
    <s v="STORE8"/>
    <n v="2.5116550490790499"/>
    <n v="452.282565636014"/>
    <n v="0.158077289630636"/>
    <s v="Credit Card"/>
    <n v="959.12818563459905"/>
    <n v="90713.822488478414"/>
    <n v="96"/>
    <x v="359"/>
    <n v="0.1588988812072735"/>
    <n v="2.5147033868787294"/>
    <n v="445.99337351927437"/>
    <n v="353.52012090233069"/>
    <x v="10"/>
  </r>
  <r>
    <s v="SALE1755"/>
    <d v="2024-01-08T00:00:00"/>
    <s v="CUST1052"/>
    <s v="PROD51"/>
    <s v="STORE16"/>
    <n v="2.5116801382790399"/>
    <n v="452.23080273793403"/>
    <n v="0.158084051701225"/>
    <s v="COD"/>
    <n v="959.02018917514704"/>
    <n v="89754.694302843811"/>
    <n v="95"/>
    <x v="289"/>
    <n v="0.15890226224256832"/>
    <n v="2.5147159314787277"/>
    <n v="445.96749207023436"/>
    <n v="353.4801890257653"/>
    <x v="4"/>
  </r>
  <r>
    <s v="SALE1756"/>
    <d v="2024-06-04T00:00:00"/>
    <s v="CUST1110"/>
    <s v="PROD8"/>
    <s v="STORE17"/>
    <n v="2.5117052274790401"/>
    <n v="452.17903983985298"/>
    <n v="0.158090813771815"/>
    <s v="COD"/>
    <n v="958.91219271569503"/>
    <n v="89754.694302843811"/>
    <n v="95"/>
    <x v="21"/>
    <n v="0.15890564327786311"/>
    <n v="2.5147284760787265"/>
    <n v="445.94161062119423"/>
    <n v="353.44025714919974"/>
    <x v="2"/>
  </r>
  <r>
    <s v="SALE1757"/>
    <d v="2025-03-01T00:00:00"/>
    <s v="CUST1097"/>
    <s v="PROD18"/>
    <s v="STORE9"/>
    <n v="2.5117303166790399"/>
    <n v="452.127276941773"/>
    <n v="0.158097575842405"/>
    <s v="PayPal"/>
    <n v="958.80419625624302"/>
    <n v="89754.694302843811"/>
    <n v="95"/>
    <x v="216"/>
    <n v="0.15890902431315793"/>
    <n v="2.5147410206787248"/>
    <n v="445.91572917215416"/>
    <n v="353.4003252726344"/>
    <x v="9"/>
  </r>
  <r>
    <s v="SALE1758"/>
    <d v="2023-10-14T00:00:00"/>
    <s v="CUST1235"/>
    <s v="PROD92"/>
    <s v="STORE11"/>
    <n v="2.5117554058790401"/>
    <n v="452.07551404369298"/>
    <n v="0.158104337912994"/>
    <s v="Credit Card"/>
    <n v="958.69619979679203"/>
    <n v="89754.694302843811"/>
    <n v="95"/>
    <x v="64"/>
    <n v="0.15891240534845272"/>
    <n v="2.5147535652787236"/>
    <n v="445.88984772311409"/>
    <n v="353.3603933960693"/>
    <x v="11"/>
  </r>
  <r>
    <s v="SALE1759"/>
    <d v="2025-06-29T00:00:00"/>
    <s v="CUST1381"/>
    <s v="PROD42"/>
    <s v="STORE18"/>
    <n v="2.5117804950790301"/>
    <n v="452.02375114561301"/>
    <n v="0.158111099983584"/>
    <s v="COD"/>
    <n v="958.58820333734002"/>
    <n v="88795.998103047008"/>
    <n v="94"/>
    <x v="315"/>
    <n v="0.15891578638374756"/>
    <n v="2.5147661098787224"/>
    <n v="445.86396627407402"/>
    <n v="353.32046151950391"/>
    <x v="2"/>
  </r>
  <r>
    <s v="SALE1760"/>
    <d v="2023-12-17T00:00:00"/>
    <s v="CUST1347"/>
    <s v="PROD73"/>
    <s v="STORE7"/>
    <n v="2.5118055842790299"/>
    <n v="451.97198824753298"/>
    <n v="0.158117862054174"/>
    <s v="COD"/>
    <n v="958.48020687788801"/>
    <n v="88795.998103047008"/>
    <n v="94"/>
    <x v="477"/>
    <n v="0.15891916741904236"/>
    <n v="2.5147786544787207"/>
    <n v="445.83808482503395"/>
    <n v="353.28052964293852"/>
    <x v="1"/>
  </r>
  <r>
    <s v="SALE1761"/>
    <d v="2023-11-18T00:00:00"/>
    <s v="CUST1339"/>
    <s v="PROD2"/>
    <s v="STORE4"/>
    <n v="2.5118306734790301"/>
    <n v="451.92022534945301"/>
    <n v="0.158124624124763"/>
    <s v="PayPal"/>
    <n v="958.372210418436"/>
    <n v="88795.998103047008"/>
    <n v="94"/>
    <x v="7"/>
    <n v="0.15892254845433715"/>
    <n v="2.5147911990787195"/>
    <n v="445.81220337599393"/>
    <n v="353.24059776637318"/>
    <x v="3"/>
  </r>
  <r>
    <s v="SALE1762"/>
    <d v="2025-03-25T00:00:00"/>
    <s v="CUST1333"/>
    <s v="PROD91"/>
    <s v="STORE3"/>
    <n v="2.5118557626790299"/>
    <n v="451.86846245137201"/>
    <n v="0.158131386195353"/>
    <s v="PayPal"/>
    <n v="958.26421395898501"/>
    <n v="88795.998103047008"/>
    <n v="94"/>
    <x v="478"/>
    <n v="0.15892592948963194"/>
    <n v="2.5148037436787183"/>
    <n v="445.7863219269538"/>
    <n v="353.20066588980785"/>
    <x v="9"/>
  </r>
  <r>
    <s v="SALE1763"/>
    <d v="2025-05-01T00:00:00"/>
    <s v="CUST1306"/>
    <s v="PROD5"/>
    <s v="STORE10"/>
    <n v="2.5118808518790199"/>
    <n v="451.81669955329198"/>
    <n v="0.158138148265942"/>
    <s v="COD"/>
    <n v="958.156217499533"/>
    <n v="88795.998103047008"/>
    <n v="94"/>
    <x v="428"/>
    <n v="0.15892931052492676"/>
    <n v="2.5148162882787166"/>
    <n v="445.76044047791368"/>
    <n v="353.16073401324252"/>
    <x v="5"/>
  </r>
  <r>
    <s v="SALE1764"/>
    <d v="2024-03-10T00:00:00"/>
    <s v="CUST1294"/>
    <s v="PROD42"/>
    <s v="STORE11"/>
    <n v="2.5119059410790201"/>
    <n v="451.76493665521201"/>
    <n v="0.158144910336532"/>
    <s v="Credit Card"/>
    <n v="958.04822104008099"/>
    <n v="88795.998103047008"/>
    <n v="94"/>
    <x v="191"/>
    <n v="0.15893269156022158"/>
    <n v="2.5148288328787158"/>
    <n v="445.73455902887366"/>
    <n v="353.12080213667713"/>
    <x v="9"/>
  </r>
  <r>
    <s v="SALE1765"/>
    <d v="2024-05-02T00:00:00"/>
    <s v="CUST1275"/>
    <s v="PROD84"/>
    <s v="STORE8"/>
    <n v="2.5119310302790199"/>
    <n v="451.71317375713198"/>
    <n v="0.158151672407122"/>
    <s v="COD"/>
    <n v="957.94022458062898"/>
    <n v="87837.949882006928"/>
    <n v="93"/>
    <x v="479"/>
    <n v="0.15893607259551637"/>
    <n v="2.5148413774787142"/>
    <n v="445.70867757983359"/>
    <n v="353.08087026011179"/>
    <x v="5"/>
  </r>
  <r>
    <s v="SALE1766"/>
    <d v="2025-03-18T00:00:00"/>
    <s v="CUST1171"/>
    <s v="PROD88"/>
    <s v="STORE15"/>
    <n v="2.5119561194790201"/>
    <n v="451.66141085905201"/>
    <n v="0.158158434477711"/>
    <s v="Credit Card"/>
    <n v="957.83222812117799"/>
    <n v="87837.949882006928"/>
    <n v="93"/>
    <x v="480"/>
    <n v="0.15893945363081122"/>
    <n v="2.5148539220787134"/>
    <n v="445.68279613079352"/>
    <n v="353.04093838354669"/>
    <x v="9"/>
  </r>
  <r>
    <s v="SALE1767"/>
    <d v="2024-11-27T00:00:00"/>
    <s v="CUST1222"/>
    <s v="PROD28"/>
    <s v="STORE2"/>
    <n v="2.5119812086790101"/>
    <n v="451.60964796097198"/>
    <n v="0.158165196548301"/>
    <s v="Credit Card"/>
    <n v="957.72423166172598"/>
    <n v="86880.117653885754"/>
    <n v="92"/>
    <x v="279"/>
    <n v="0.15894283466610604"/>
    <n v="2.5148664666787122"/>
    <n v="445.65691468175339"/>
    <n v="353.0010065069813"/>
    <x v="3"/>
  </r>
  <r>
    <s v="SALE1768"/>
    <d v="2024-02-18T00:00:00"/>
    <s v="CUST1067"/>
    <s v="PROD2"/>
    <s v="STORE4"/>
    <n v="2.5120062978790099"/>
    <n v="451.55788506289099"/>
    <n v="0.15817195861889"/>
    <s v="Credit Card"/>
    <n v="957.61623520227397"/>
    <n v="85922.393422224035"/>
    <n v="91"/>
    <x v="481"/>
    <n v="0.15894621570140083"/>
    <n v="2.5148790112787109"/>
    <n v="445.63103323271332"/>
    <n v="352.96107463041574"/>
    <x v="6"/>
  </r>
  <r>
    <s v="SALE1769"/>
    <d v="2024-06-04T00:00:00"/>
    <s v="CUST1013"/>
    <s v="PROD2"/>
    <s v="STORE10"/>
    <n v="2.5120313870790101"/>
    <n v="451.50612216481102"/>
    <n v="0.15817872068948"/>
    <s v="COD"/>
    <n v="957.50823874282298"/>
    <n v="84964.777187021755"/>
    <n v="90"/>
    <x v="21"/>
    <n v="0.15894959673669562"/>
    <n v="2.5148915558787097"/>
    <n v="445.60515178367325"/>
    <n v="352.92114275385063"/>
    <x v="2"/>
  </r>
  <r>
    <s v="SALE1770"/>
    <d v="2024-08-09T00:00:00"/>
    <s v="CUST1469"/>
    <s v="PROD80"/>
    <s v="STORE18"/>
    <n v="2.5120564762790001"/>
    <n v="451.45435926673099"/>
    <n v="0.15818548276007"/>
    <s v="Credit Card"/>
    <n v="957.40024228337097"/>
    <n v="84964.777187021755"/>
    <n v="90"/>
    <x v="212"/>
    <n v="0.15895297777199041"/>
    <n v="2.5149041004787076"/>
    <n v="445.57927033463318"/>
    <n v="352.88121087728524"/>
    <x v="7"/>
  </r>
  <r>
    <s v="SALE1771"/>
    <d v="2024-07-13T00:00:00"/>
    <s v="CUST1230"/>
    <s v="PROD68"/>
    <s v="STORE13"/>
    <n v="2.5120815654789999"/>
    <n v="451.40259636865102"/>
    <n v="0.158192244830659"/>
    <s v="COD"/>
    <n v="957.29224582391896"/>
    <n v="84007.376944738382"/>
    <n v="89"/>
    <x v="40"/>
    <n v="0.15895635880728523"/>
    <n v="2.5149166450787068"/>
    <n v="445.55338888559317"/>
    <n v="352.84127900071991"/>
    <x v="0"/>
  </r>
  <r>
    <s v="SALE1772"/>
    <d v="2025-08-21T00:00:00"/>
    <s v="CUST1334"/>
    <s v="PROD54"/>
    <s v="STORE10"/>
    <n v="2.5121066546790001"/>
    <n v="451.35083347057099"/>
    <n v="0.158199006901249"/>
    <s v="PayPal"/>
    <n v="957.18424936446695"/>
    <n v="84007.376944738382"/>
    <n v="89"/>
    <x v="271"/>
    <n v="0.15895973984258002"/>
    <n v="2.5149291896787052"/>
    <n v="445.52750743655304"/>
    <n v="352.80134712415452"/>
    <x v="7"/>
  </r>
  <r>
    <s v="SALE1773"/>
    <d v="2025-08-07T00:00:00"/>
    <s v="CUST1287"/>
    <s v="PROD69"/>
    <s v="STORE19"/>
    <n v="2.5121317438789998"/>
    <n v="451.29907057249102"/>
    <n v="0.15820576897183899"/>
    <s v="COD"/>
    <n v="957.07625290501596"/>
    <n v="84007.376944738382"/>
    <n v="89"/>
    <x v="213"/>
    <n v="0.15896312087787484"/>
    <n v="2.5149417342787048"/>
    <n v="445.50162598751297"/>
    <n v="352.76141524758947"/>
    <x v="7"/>
  </r>
  <r>
    <s v="SALE1774"/>
    <d v="2024-04-16T00:00:00"/>
    <s v="CUST1066"/>
    <s v="PROD3"/>
    <s v="STORE9"/>
    <n v="2.5121568330789898"/>
    <n v="451.24730767441002"/>
    <n v="0.158212531042428"/>
    <s v="PayPal"/>
    <n v="956.96825644556395"/>
    <n v="84007.376944738382"/>
    <n v="89"/>
    <x v="287"/>
    <n v="0.15896650191316966"/>
    <n v="2.5149542788787036"/>
    <n v="445.47574453847284"/>
    <n v="352.72148337102385"/>
    <x v="10"/>
  </r>
  <r>
    <s v="SALE1775"/>
    <d v="2024-04-08T00:00:00"/>
    <s v="CUST1110"/>
    <s v="PROD94"/>
    <s v="STORE17"/>
    <n v="2.5121819222789901"/>
    <n v="451.19554477633"/>
    <n v="0.15821929311301799"/>
    <s v="Credit Card"/>
    <n v="956.86025998611206"/>
    <n v="84007.376944738382"/>
    <n v="89"/>
    <x v="155"/>
    <n v="0.15896988294846445"/>
    <n v="2.5149668234787024"/>
    <n v="445.44986308943277"/>
    <n v="352.68155149445852"/>
    <x v="10"/>
  </r>
  <r>
    <s v="SALE1776"/>
    <d v="2024-04-24T00:00:00"/>
    <s v="CUST1190"/>
    <s v="PROD27"/>
    <s v="STORE19"/>
    <n v="2.5122070114789898"/>
    <n v="451.14378187825002"/>
    <n v="0.158226055183607"/>
    <s v="COD"/>
    <n v="956.75226352666004"/>
    <n v="83050.516684752278"/>
    <n v="88"/>
    <x v="194"/>
    <n v="0.15897326398375924"/>
    <n v="2.5149793680787011"/>
    <n v="445.42398164039275"/>
    <n v="352.64161961789318"/>
    <x v="10"/>
  </r>
  <r>
    <s v="SALE1777"/>
    <d v="2025-07-06T00:00:00"/>
    <s v="CUST1100"/>
    <s v="PROD94"/>
    <s v="STORE0"/>
    <n v="2.5122321006789901"/>
    <n v="451.09201898017"/>
    <n v="0.15823281725419699"/>
    <s v="Credit Card"/>
    <n v="956.64426706720894"/>
    <n v="83050.516684752278"/>
    <n v="88"/>
    <x v="309"/>
    <n v="0.15897664501905406"/>
    <n v="2.5149919126786999"/>
    <n v="445.39810019135263"/>
    <n v="352.60168774132802"/>
    <x v="0"/>
  </r>
  <r>
    <s v="SALE1778"/>
    <d v="2025-02-09T00:00:00"/>
    <s v="CUST1316"/>
    <s v="PROD74"/>
    <s v="STORE0"/>
    <n v="2.5122571898789801"/>
    <n v="451.04025608209002"/>
    <n v="0.15823957932478699"/>
    <s v="COD"/>
    <n v="956.53627060775705"/>
    <n v="82093.872417685037"/>
    <n v="87"/>
    <x v="373"/>
    <n v="0.15898002605434886"/>
    <n v="2.5150044572786991"/>
    <n v="445.37221874231255"/>
    <n v="352.56175586476274"/>
    <x v="6"/>
  </r>
  <r>
    <s v="SALE1779"/>
    <d v="2024-11-11T00:00:00"/>
    <s v="CUST1006"/>
    <s v="PROD28"/>
    <s v="STORE4"/>
    <n v="2.5122822790789798"/>
    <n v="450.98849318401"/>
    <n v="0.15824634139537599"/>
    <s v="PayPal"/>
    <n v="956.42827414830504"/>
    <n v="82093.872417685037"/>
    <n v="87"/>
    <x v="48"/>
    <n v="0.15898340708964362"/>
    <n v="2.5150170018786979"/>
    <n v="445.34633729327243"/>
    <n v="352.52182398819735"/>
    <x v="3"/>
  </r>
  <r>
    <s v="SALE1780"/>
    <d v="2024-01-16T00:00:00"/>
    <s v="CUST1053"/>
    <s v="PROD49"/>
    <s v="STORE5"/>
    <n v="2.51230736827898"/>
    <n v="450.93673028593003"/>
    <n v="0.15825310346596599"/>
    <s v="Credit Card"/>
    <n v="956.32027768885303"/>
    <n v="82093.872417685037"/>
    <n v="87"/>
    <x v="482"/>
    <n v="0.15898678812493844"/>
    <n v="2.5150295464786967"/>
    <n v="445.32045584423236"/>
    <n v="352.48189211163196"/>
    <x v="4"/>
  </r>
  <r>
    <s v="SALE1781"/>
    <d v="2024-08-16T00:00:00"/>
    <s v="CUST1015"/>
    <s v="PROD25"/>
    <s v="STORE15"/>
    <n v="2.5123324574789798"/>
    <n v="450.88496738784897"/>
    <n v="0.15825986553655499"/>
    <s v="Credit Card"/>
    <n v="956.21228122940204"/>
    <n v="81137.552139996202"/>
    <n v="86"/>
    <x v="296"/>
    <n v="0.15899016916023326"/>
    <n v="2.515042091078695"/>
    <n v="445.29457439519229"/>
    <n v="352.44196023506663"/>
    <x v="7"/>
  </r>
  <r>
    <s v="SALE1782"/>
    <d v="2025-10-03T00:00:00"/>
    <s v="CUST1441"/>
    <s v="PROD44"/>
    <s v="STORE1"/>
    <n v="2.5123575466789698"/>
    <n v="450.833204489769"/>
    <n v="0.15826662760714499"/>
    <s v="PayPal"/>
    <n v="956.10428476995003"/>
    <n v="80181.339858766805"/>
    <n v="85"/>
    <x v="483"/>
    <n v="0.15899355019552808"/>
    <n v="2.5150546356786938"/>
    <n v="445.26869294615216"/>
    <n v="352.4020283585013"/>
    <x v="11"/>
  </r>
  <r>
    <s v="SALE1783"/>
    <d v="2025-07-03T00:00:00"/>
    <s v="CUST1051"/>
    <s v="PROD11"/>
    <s v="STORE4"/>
    <n v="2.51238263587897"/>
    <n v="450.78144159168897"/>
    <n v="0.15827338967773499"/>
    <s v="Credit Card"/>
    <n v="955.99628831049802"/>
    <n v="80181.339858766805"/>
    <n v="85"/>
    <x v="484"/>
    <n v="0.15899693123082287"/>
    <n v="2.5150671802786921"/>
    <n v="445.24281149711209"/>
    <n v="352.36209648193591"/>
    <x v="0"/>
  </r>
  <r>
    <s v="SALE1784"/>
    <d v="2025-08-08T00:00:00"/>
    <s v="CUST1428"/>
    <s v="PROD37"/>
    <s v="STORE15"/>
    <n v="2.5124077250789698"/>
    <n v="450.729678693609"/>
    <n v="0.15828015174832399"/>
    <s v="Credit Card"/>
    <n v="955.88829185104703"/>
    <n v="79225.343570456316"/>
    <n v="84"/>
    <x v="485"/>
    <n v="0.15900031226611763"/>
    <n v="2.5150797248786905"/>
    <n v="445.21693004807202"/>
    <n v="352.32216460537086"/>
    <x v="7"/>
  </r>
  <r>
    <s v="SALE1785"/>
    <d v="2024-08-28T00:00:00"/>
    <s v="CUST1287"/>
    <s v="PROD65"/>
    <s v="STORE4"/>
    <n v="2.51243281427897"/>
    <n v="450.67791579552897"/>
    <n v="0.15828691381891399"/>
    <s v="PayPal"/>
    <n v="955.78029539159502"/>
    <n v="78269.455278605266"/>
    <n v="83"/>
    <x v="486"/>
    <n v="0.15900369330141245"/>
    <n v="2.5150922694786892"/>
    <n v="445.19104859903194"/>
    <n v="352.28223272880547"/>
    <x v="7"/>
  </r>
  <r>
    <s v="SALE1786"/>
    <d v="2025-03-18T00:00:00"/>
    <s v="CUST1104"/>
    <s v="PROD31"/>
    <s v="STORE3"/>
    <n v="2.51245790347896"/>
    <n v="450.626152897449"/>
    <n v="0.15829367588950299"/>
    <s v="Credit Card"/>
    <n v="955.67229893214301"/>
    <n v="78269.455278605266"/>
    <n v="83"/>
    <x v="480"/>
    <n v="0.15900707433670724"/>
    <n v="2.5151048140786876"/>
    <n v="445.16516714999182"/>
    <n v="352.24230085224013"/>
    <x v="9"/>
  </r>
  <r>
    <s v="SALE1787"/>
    <d v="2025-06-01T00:00:00"/>
    <s v="CUST1356"/>
    <s v="PROD88"/>
    <s v="STORE6"/>
    <n v="2.5124829926789598"/>
    <n v="450.57438999936801"/>
    <n v="0.15830043796009299"/>
    <s v="Credit Card"/>
    <n v="955.564302472691"/>
    <n v="77313.782979673124"/>
    <n v="82"/>
    <x v="203"/>
    <n v="0.15901045537200204"/>
    <n v="2.5151173586786859"/>
    <n v="445.1392857009518"/>
    <n v="352.20236897567452"/>
    <x v="2"/>
  </r>
  <r>
    <s v="SALE1788"/>
    <d v="2025-04-13T00:00:00"/>
    <s v="CUST1089"/>
    <s v="PROD20"/>
    <s v="STORE18"/>
    <n v="2.51250808187896"/>
    <n v="450.52262710128798"/>
    <n v="0.15830720003068299"/>
    <s v="PayPal"/>
    <n v="955.45630601324001"/>
    <n v="76358.218677200421"/>
    <n v="81"/>
    <x v="451"/>
    <n v="0.15901383640729688"/>
    <n v="2.5151299032786847"/>
    <n v="445.11340425191167"/>
    <n v="352.16243709910941"/>
    <x v="10"/>
  </r>
  <r>
    <s v="SALE1789"/>
    <d v="2024-06-13T00:00:00"/>
    <s v="CUST1283"/>
    <s v="PROD70"/>
    <s v="STORE4"/>
    <n v="2.5125331710789598"/>
    <n v="450.47086420320801"/>
    <n v="0.15831396210127199"/>
    <s v="COD"/>
    <n v="955.348309553788"/>
    <n v="76358.218677200421"/>
    <n v="81"/>
    <x v="441"/>
    <n v="0.15901721744259167"/>
    <n v="2.515142447878683"/>
    <n v="445.0875228028716"/>
    <n v="352.12250522254408"/>
    <x v="2"/>
  </r>
  <r>
    <s v="SALE1790"/>
    <d v="2025-02-10T00:00:00"/>
    <s v="CUST1012"/>
    <s v="PROD76"/>
    <s v="STORE13"/>
    <n v="2.5125582602789498"/>
    <n v="450.41910130512798"/>
    <n v="0.15832072417186199"/>
    <s v="COD"/>
    <n v="955.24031309433599"/>
    <n v="76358.218677200421"/>
    <n v="81"/>
    <x v="487"/>
    <n v="0.15902059847788647"/>
    <n v="2.5151549924786818"/>
    <n v="445.06164135383153"/>
    <n v="352.08257334597869"/>
    <x v="6"/>
  </r>
  <r>
    <s v="SALE1791"/>
    <d v="2024-09-13T00:00:00"/>
    <s v="CUST1492"/>
    <s v="PROD46"/>
    <s v="STORE16"/>
    <n v="2.51258334947895"/>
    <n v="450.36733840704801"/>
    <n v="0.15832748624245199"/>
    <s v="PayPal"/>
    <n v="955.13231663488398"/>
    <n v="76358.218677200421"/>
    <n v="81"/>
    <x v="488"/>
    <n v="0.15902397951318128"/>
    <n v="2.5151675370786806"/>
    <n v="445.03575990479152"/>
    <n v="352.04264146941335"/>
    <x v="8"/>
  </r>
  <r>
    <s v="SALE1792"/>
    <d v="2023-11-06T00:00:00"/>
    <s v="CUST1180"/>
    <s v="PROD21"/>
    <s v="STORE14"/>
    <n v="2.5126084386789498"/>
    <n v="450.31557550896798"/>
    <n v="0.15833424831304099"/>
    <s v="COD"/>
    <n v="955.02432017543299"/>
    <n v="76358.218677200421"/>
    <n v="81"/>
    <x v="409"/>
    <n v="0.15902736054847608"/>
    <n v="2.5151800816786789"/>
    <n v="445.00987845575139"/>
    <n v="352.00270959284825"/>
    <x v="3"/>
  </r>
  <r>
    <s v="SALE1793"/>
    <d v="2024-01-19T00:00:00"/>
    <s v="CUST1369"/>
    <s v="PROD83"/>
    <s v="STORE12"/>
    <n v="2.51263352787895"/>
    <n v="450.26381261088699"/>
    <n v="0.15834101038363099"/>
    <s v="Credit Card"/>
    <n v="954.91632371598098"/>
    <n v="76358.218677200421"/>
    <n v="81"/>
    <x v="489"/>
    <n v="0.1590307415837709"/>
    <n v="2.5151926262786781"/>
    <n v="444.98399700671132"/>
    <n v="351.96277771628263"/>
    <x v="4"/>
  </r>
  <r>
    <s v="SALE1794"/>
    <d v="2024-03-25T00:00:00"/>
    <s v="CUST1283"/>
    <s v="PROD68"/>
    <s v="STORE19"/>
    <n v="2.51265861707894"/>
    <n v="450.21204971280702"/>
    <n v="0.15834777245421999"/>
    <s v="COD"/>
    <n v="954.80832725652897"/>
    <n v="75403.302353484425"/>
    <n v="80"/>
    <x v="490"/>
    <n v="0.15903412261906569"/>
    <n v="2.515205170878676"/>
    <n v="444.95811555767114"/>
    <n v="351.9228458397173"/>
    <x v="9"/>
  </r>
  <r>
    <s v="SALE1795"/>
    <d v="2025-09-14T00:00:00"/>
    <s v="CUST1317"/>
    <s v="PROD82"/>
    <s v="STORE3"/>
    <n v="2.5126837062789402"/>
    <n v="450.16028681472699"/>
    <n v="0.15835453452480999"/>
    <s v="PayPal"/>
    <n v="954.70033079707696"/>
    <n v="75403.302353484425"/>
    <n v="80"/>
    <x v="62"/>
    <n v="0.15903750365436053"/>
    <n v="2.5152177154786752"/>
    <n v="444.93223410863112"/>
    <n v="351.88291396315191"/>
    <x v="8"/>
  </r>
  <r>
    <s v="SALE1796"/>
    <d v="2024-02-14T00:00:00"/>
    <s v="CUST1081"/>
    <s v="PROD10"/>
    <s v="STORE12"/>
    <n v="2.51270879547894"/>
    <n v="450.10852391664702"/>
    <n v="0.15836129659539999"/>
    <s v="PayPal"/>
    <n v="954.59233433762597"/>
    <n v="75403.302353484425"/>
    <n v="80"/>
    <x v="314"/>
    <n v="0.15904088468965533"/>
    <n v="2.5152302600786736"/>
    <n v="444.90635265959099"/>
    <n v="351.84298208658686"/>
    <x v="6"/>
  </r>
  <r>
    <s v="SALE1797"/>
    <d v="2025-03-12T00:00:00"/>
    <s v="CUST1075"/>
    <s v="PROD28"/>
    <s v="STORE16"/>
    <n v="2.51273388467893"/>
    <n v="450.05676101856699"/>
    <n v="0.15836805866598899"/>
    <s v="COD"/>
    <n v="954.48433787817396"/>
    <n v="75403.302353484425"/>
    <n v="80"/>
    <x v="491"/>
    <n v="0.15904426572495012"/>
    <n v="2.5152428046786723"/>
    <n v="444.88047121055098"/>
    <n v="351.80305021002147"/>
    <x v="9"/>
  </r>
  <r>
    <s v="SALE1798"/>
    <d v="2025-04-08T00:00:00"/>
    <s v="CUST1213"/>
    <s v="PROD87"/>
    <s v="STORE0"/>
    <n v="2.5127589738789302"/>
    <n v="450.00499812048702"/>
    <n v="0.15837482073657899"/>
    <s v="PayPal"/>
    <n v="954.37634141872195"/>
    <n v="75403.302353484425"/>
    <n v="80"/>
    <x v="82"/>
    <n v="0.15904764676024491"/>
    <n v="2.5152553492786711"/>
    <n v="444.85458976151097"/>
    <n v="351.76311833345613"/>
    <x v="10"/>
  </r>
  <r>
    <s v="SALE1799"/>
    <d v="2025-02-07T00:00:00"/>
    <s v="CUST1108"/>
    <s v="PROD48"/>
    <s v="STORE10"/>
    <n v="2.51278406307893"/>
    <n v="449.95323522240699"/>
    <n v="0.15838158280716799"/>
    <s v="COD"/>
    <n v="954.26834495927005"/>
    <n v="75403.302353484425"/>
    <n v="80"/>
    <x v="379"/>
    <n v="0.15905102779553973"/>
    <n v="2.5152678938786699"/>
    <n v="444.82870831247078"/>
    <n v="351.7231864568908"/>
    <x v="6"/>
  </r>
  <r>
    <s v="SALE1800"/>
    <d v="2024-03-29T00:00:00"/>
    <s v="CUST1110"/>
    <s v="PROD31"/>
    <s v="STORE15"/>
    <n v="2.5128091522789302"/>
    <n v="449.90147232432599"/>
    <n v="0.15838834487775799"/>
    <s v="COD"/>
    <n v="954.16034849981895"/>
    <n v="75403.302353484425"/>
    <n v="80"/>
    <x v="264"/>
    <n v="0.15905440883083452"/>
    <n v="2.5152804384786687"/>
    <n v="444.80282686343071"/>
    <n v="351.68325458032541"/>
    <x v="9"/>
  </r>
  <r>
    <s v="SALE1801"/>
    <d v="2024-06-03T00:00:00"/>
    <s v="CUST1256"/>
    <s v="PROD27"/>
    <s v="STORE4"/>
    <n v="2.5128342414789202"/>
    <n v="449.84970942624602"/>
    <n v="0.15839510694834799"/>
    <s v="COD"/>
    <n v="954.05235204036705"/>
    <n v="75403.302353484425"/>
    <n v="80"/>
    <x v="2"/>
    <n v="0.15905778986612931"/>
    <n v="2.5152929830786674"/>
    <n v="444.77694541439058"/>
    <n v="351.64332270376008"/>
    <x v="2"/>
  </r>
  <r>
    <s v="SALE1802"/>
    <d v="2024-08-21T00:00:00"/>
    <s v="CUST1131"/>
    <s v="PROD19"/>
    <s v="STORE0"/>
    <n v="2.51285933067892"/>
    <n v="449.79794652816599"/>
    <n v="0.15840186901893699"/>
    <s v="Credit Card"/>
    <n v="953.94435558091504"/>
    <n v="75403.302353484425"/>
    <n v="80"/>
    <x v="492"/>
    <n v="0.15906117090142413"/>
    <n v="2.5153055276786662"/>
    <n v="444.75106396535051"/>
    <n v="351.60339082719474"/>
    <x v="7"/>
  </r>
  <r>
    <s v="SALE1803"/>
    <d v="2024-08-23T00:00:00"/>
    <s v="CUST1457"/>
    <s v="PROD43"/>
    <s v="STORE15"/>
    <n v="2.5128844198789202"/>
    <n v="449.74618363008602"/>
    <n v="0.15840863108952699"/>
    <s v="Credit Card"/>
    <n v="953.83635912146406"/>
    <n v="74449.357997903528"/>
    <n v="79"/>
    <x v="333"/>
    <n v="0.15906455193671898"/>
    <n v="2.515318072278665"/>
    <n v="444.7251825163105"/>
    <n v="351.56345895062964"/>
    <x v="7"/>
  </r>
  <r>
    <s v="SALE1804"/>
    <d v="2023-12-05T00:00:00"/>
    <s v="CUST1319"/>
    <s v="PROD39"/>
    <s v="STORE13"/>
    <n v="2.51290950907892"/>
    <n v="449.69442073200599"/>
    <n v="0.15841539316011599"/>
    <s v="PayPal"/>
    <n v="953.72836266201205"/>
    <n v="73495.521638782069"/>
    <n v="78"/>
    <x v="493"/>
    <n v="0.15906793297201374"/>
    <n v="2.5153306168786638"/>
    <n v="444.69930106727037"/>
    <n v="351.52352707406425"/>
    <x v="1"/>
  </r>
  <r>
    <s v="SALE1805"/>
    <d v="2025-10-06T00:00:00"/>
    <s v="CUST1471"/>
    <s v="PROD54"/>
    <s v="STORE3"/>
    <n v="2.51293459827891"/>
    <n v="449.64265783392602"/>
    <n v="0.15842215523070599"/>
    <s v="PayPal"/>
    <n v="953.62036620256004"/>
    <n v="73495.521638782069"/>
    <n v="78"/>
    <x v="494"/>
    <n v="0.15907131400730856"/>
    <n v="2.5153431614786625"/>
    <n v="444.67341961823024"/>
    <n v="351.48359519749891"/>
    <x v="11"/>
  </r>
  <r>
    <s v="SALE1806"/>
    <d v="2023-11-12T00:00:00"/>
    <s v="CUST1211"/>
    <s v="PROD95"/>
    <s v="STORE17"/>
    <n v="2.5129596874789102"/>
    <n v="449.59089493584497"/>
    <n v="0.15842891730129599"/>
    <s v="COD"/>
    <n v="953.51236974310802"/>
    <n v="73495.521638782069"/>
    <n v="78"/>
    <x v="495"/>
    <n v="0.15907469504260335"/>
    <n v="2.5153557060786613"/>
    <n v="444.64753816919023"/>
    <n v="351.4436633209333"/>
    <x v="3"/>
  </r>
  <r>
    <s v="SALE1807"/>
    <d v="2024-05-25T00:00:00"/>
    <s v="CUST1497"/>
    <s v="PROD70"/>
    <s v="STORE18"/>
    <n v="2.51298477667891"/>
    <n v="449.539132037765"/>
    <n v="0.15843567937188499"/>
    <s v="Credit Card"/>
    <n v="953.40437328365704"/>
    <n v="73495.521638782069"/>
    <n v="78"/>
    <x v="223"/>
    <n v="0.15907807607789815"/>
    <n v="2.5153682506786597"/>
    <n v="444.62165672015016"/>
    <n v="351.40373144436819"/>
    <x v="5"/>
  </r>
  <r>
    <s v="SALE1808"/>
    <d v="2024-12-01T00:00:00"/>
    <s v="CUST1234"/>
    <s v="PROD17"/>
    <s v="STORE14"/>
    <n v="2.5130098658789102"/>
    <n v="449.48736913968497"/>
    <n v="0.15844244144247499"/>
    <s v="COD"/>
    <n v="953.29637682420503"/>
    <n v="72542.117265498397"/>
    <n v="77"/>
    <x v="356"/>
    <n v="0.15908145711319294"/>
    <n v="2.5153807952786584"/>
    <n v="444.59577527111003"/>
    <n v="351.36379956780286"/>
    <x v="1"/>
  </r>
  <r>
    <s v="SALE1809"/>
    <d v="2025-01-21T00:00:00"/>
    <s v="CUST1105"/>
    <s v="PROD68"/>
    <s v="STORE11"/>
    <n v="2.5130349550789002"/>
    <n v="449.435606241605"/>
    <n v="0.15844920351306499"/>
    <s v="PayPal"/>
    <n v="953.18838036475302"/>
    <n v="72542.117265498397"/>
    <n v="77"/>
    <x v="496"/>
    <n v="0.15908483814848776"/>
    <n v="2.5153933398786572"/>
    <n v="444.56989382206996"/>
    <n v="351.32386769123752"/>
    <x v="4"/>
  </r>
  <r>
    <s v="SALE1810"/>
    <d v="2024-07-11T00:00:00"/>
    <s v="CUST1320"/>
    <s v="PROD60"/>
    <s v="STORE10"/>
    <n v="2.5130600442789"/>
    <n v="449.38384334352497"/>
    <n v="0.15845596558365399"/>
    <s v="Credit Card"/>
    <n v="953.08038390530101"/>
    <n v="72542.117265498397"/>
    <n v="77"/>
    <x v="497"/>
    <n v="0.15908821918378258"/>
    <n v="2.5154058844786555"/>
    <n v="444.54401237302983"/>
    <n v="351.28393581467213"/>
    <x v="0"/>
  </r>
  <r>
    <s v="SALE1811"/>
    <d v="2025-02-12T00:00:00"/>
    <s v="CUST1259"/>
    <s v="PROD13"/>
    <s v="STORE18"/>
    <n v="2.5130851334789002"/>
    <n v="449.332080445445"/>
    <n v="0.15846272765424399"/>
    <s v="Credit Card"/>
    <n v="952.97238744585002"/>
    <n v="71589.036881593114"/>
    <n v="76"/>
    <x v="345"/>
    <n v="0.15909160021907737"/>
    <n v="2.5154184290786543"/>
    <n v="444.51813092398982"/>
    <n v="351.24400393810703"/>
    <x v="6"/>
  </r>
  <r>
    <s v="SALE1812"/>
    <d v="2025-08-04T00:00:00"/>
    <s v="CUST1407"/>
    <s v="PROD70"/>
    <s v="STORE15"/>
    <n v="2.5131102226788999"/>
    <n v="449.28031754736401"/>
    <n v="0.15846948972483299"/>
    <s v="Credit Card"/>
    <n v="952.86439098639801"/>
    <n v="70636.064494147256"/>
    <n v="75"/>
    <x v="498"/>
    <n v="0.15909498125437219"/>
    <n v="2.5154309736786531"/>
    <n v="444.49224947494969"/>
    <n v="351.20407206154141"/>
    <x v="7"/>
  </r>
  <r>
    <s v="SALE1813"/>
    <d v="2025-07-22T00:00:00"/>
    <s v="CUST1363"/>
    <s v="PROD56"/>
    <s v="STORE0"/>
    <n v="2.5131353118788899"/>
    <n v="449.22855464928398"/>
    <n v="0.15847625179542299"/>
    <s v="COD"/>
    <n v="952.756394526946"/>
    <n v="69683.200103160852"/>
    <n v="74"/>
    <x v="321"/>
    <n v="0.15909836228966695"/>
    <n v="2.5154435182786514"/>
    <n v="444.46636802590967"/>
    <n v="351.16414018497608"/>
    <x v="0"/>
  </r>
  <r>
    <s v="SALE1814"/>
    <d v="2023-11-05T00:00:00"/>
    <s v="CUST1078"/>
    <s v="PROD45"/>
    <s v="STORE15"/>
    <n v="2.5131604010788902"/>
    <n v="449.17679175120401"/>
    <n v="0.15848301386601299"/>
    <s v="Credit Card"/>
    <n v="952.64839806749399"/>
    <n v="69683.200103160852"/>
    <n v="74"/>
    <x v="163"/>
    <n v="0.1591017433249618"/>
    <n v="2.5154560628786502"/>
    <n v="444.44048657686955"/>
    <n v="351.12420830841074"/>
    <x v="3"/>
  </r>
  <r>
    <s v="SALE1815"/>
    <d v="2025-08-05T00:00:00"/>
    <s v="CUST1415"/>
    <s v="PROD42"/>
    <s v="STORE4"/>
    <n v="2.5131854902788899"/>
    <n v="449.12502885312398"/>
    <n v="0.15848977593660199"/>
    <s v="PayPal"/>
    <n v="952.540401608043"/>
    <n v="68730.551705093356"/>
    <n v="73"/>
    <x v="499"/>
    <n v="0.15910512436025656"/>
    <n v="2.515468607478649"/>
    <n v="444.41460512782947"/>
    <n v="351.08427643184564"/>
    <x v="7"/>
  </r>
  <r>
    <s v="SALE1816"/>
    <d v="2025-04-22T00:00:00"/>
    <s v="CUST1314"/>
    <s v="PROD93"/>
    <s v="STORE10"/>
    <n v="2.5132105794788799"/>
    <n v="449.07326595504401"/>
    <n v="0.15849653800719199"/>
    <s v="PayPal"/>
    <n v="952.43240514859099"/>
    <n v="68730.551705093356"/>
    <n v="73"/>
    <x v="406"/>
    <n v="0.15910850539555138"/>
    <n v="2.5154811520786478"/>
    <n v="444.38872367878935"/>
    <n v="351.04434455528025"/>
    <x v="10"/>
  </r>
  <r>
    <s v="SALE1817"/>
    <d v="2024-11-23T00:00:00"/>
    <s v="CUST1358"/>
    <s v="PROD72"/>
    <s v="STORE13"/>
    <n v="2.5132356686788802"/>
    <n v="449.02150305696398"/>
    <n v="0.15850330007778099"/>
    <s v="PayPal"/>
    <n v="952.32440868913898"/>
    <n v="68730.551705093356"/>
    <n v="73"/>
    <x v="500"/>
    <n v="0.15911188643084617"/>
    <n v="2.5154936966786465"/>
    <n v="444.36284222974928"/>
    <n v="351.00441267871491"/>
    <x v="3"/>
  </r>
  <r>
    <s v="SALE1818"/>
    <d v="2024-11-18T00:00:00"/>
    <s v="CUST1135"/>
    <s v="PROD79"/>
    <s v="STORE2"/>
    <n v="2.5132607578788799"/>
    <n v="448.96974015888298"/>
    <n v="0.15851006214837099"/>
    <s v="Credit Card"/>
    <n v="952.21641222968799"/>
    <n v="68730.551705093356"/>
    <n v="73"/>
    <x v="339"/>
    <n v="0.15911526746614099"/>
    <n v="2.5155062412786453"/>
    <n v="444.33696078070921"/>
    <n v="350.96448080214952"/>
    <x v="3"/>
  </r>
  <r>
    <s v="SALE1819"/>
    <d v="2025-02-03T00:00:00"/>
    <s v="CUST1059"/>
    <s v="PROD84"/>
    <s v="STORE13"/>
    <n v="2.5132858470788801"/>
    <n v="448.91797726080301"/>
    <n v="0.15851682421896099"/>
    <s v="COD"/>
    <n v="952.10841577023598"/>
    <n v="67778.33529286366"/>
    <n v="72"/>
    <x v="501"/>
    <n v="0.15911864850143578"/>
    <n v="2.5155187858786441"/>
    <n v="444.31107933166919"/>
    <n v="350.92454892558419"/>
    <x v="6"/>
  </r>
  <r>
    <s v="SALE1820"/>
    <d v="2024-11-12T00:00:00"/>
    <s v="CUST1380"/>
    <s v="PROD68"/>
    <s v="STORE13"/>
    <n v="2.5133109362788701"/>
    <n v="448.86621436272299"/>
    <n v="0.15852358628954999"/>
    <s v="COD"/>
    <n v="952.00041931078397"/>
    <n v="67778.33529286366"/>
    <n v="72"/>
    <x v="418"/>
    <n v="0.1591220295367306"/>
    <n v="2.5155313304786429"/>
    <n v="444.28519788262906"/>
    <n v="350.88461704901886"/>
    <x v="3"/>
  </r>
  <r>
    <s v="SALE1821"/>
    <d v="2024-04-30T00:00:00"/>
    <s v="CUST1282"/>
    <s v="PROD71"/>
    <s v="STORE3"/>
    <n v="2.5133360254788699"/>
    <n v="448.81445146464301"/>
    <n v="0.15853034836013999"/>
    <s v="Credit Card"/>
    <n v="951.89242285133196"/>
    <n v="67778.33529286366"/>
    <n v="72"/>
    <x v="502"/>
    <n v="0.15912541057202542"/>
    <n v="2.5155438750786416"/>
    <n v="444.25931643358899"/>
    <n v="350.84468517245352"/>
    <x v="10"/>
  </r>
  <r>
    <s v="SALE1822"/>
    <d v="2025-04-20T00:00:00"/>
    <s v="CUST1203"/>
    <s v="PROD30"/>
    <s v="STORE6"/>
    <n v="2.5133611146788701"/>
    <n v="448.76268856656299"/>
    <n v="0.15853711043072899"/>
    <s v="COD"/>
    <n v="951.78442639188097"/>
    <n v="66826.442870012339"/>
    <n v="71"/>
    <x v="503"/>
    <n v="0.15912879160732019"/>
    <n v="2.5155564196786404"/>
    <n v="444.23343498454886"/>
    <n v="350.80475329588842"/>
    <x v="10"/>
  </r>
  <r>
    <s v="SALE1823"/>
    <d v="2024-05-16T00:00:00"/>
    <s v="CUST1348"/>
    <s v="PROD33"/>
    <s v="STORE10"/>
    <n v="2.5133862038788699"/>
    <n v="448.71092566848301"/>
    <n v="0.15854387250131899"/>
    <s v="Credit Card"/>
    <n v="951.67642993242896"/>
    <n v="66826.442870012339"/>
    <n v="71"/>
    <x v="504"/>
    <n v="0.15913217264261501"/>
    <n v="2.5155689642786392"/>
    <n v="444.20755353550891"/>
    <n v="350.76482141932303"/>
    <x v="5"/>
  </r>
  <r>
    <s v="SALE1824"/>
    <d v="2025-04-23T00:00:00"/>
    <s v="CUST1248"/>
    <s v="PROD43"/>
    <s v="STORE8"/>
    <n v="2.5134112930788599"/>
    <n v="448.65916277040299"/>
    <n v="0.15855063457190899"/>
    <s v="PayPal"/>
    <n v="951.56843347297695"/>
    <n v="65874.766440079911"/>
    <n v="70"/>
    <x v="505"/>
    <n v="0.1591355536779098"/>
    <n v="2.5155815088786375"/>
    <n v="444.18167208646878"/>
    <n v="350.72488954275764"/>
    <x v="10"/>
  </r>
  <r>
    <s v="SALE1825"/>
    <d v="2024-10-06T00:00:00"/>
    <s v="CUST1469"/>
    <s v="PROD45"/>
    <s v="STORE17"/>
    <n v="2.5134363822788601"/>
    <n v="448.60739987232199"/>
    <n v="0.15855739664249799"/>
    <s v="COD"/>
    <n v="951.46043701352505"/>
    <n v="65874.766440079911"/>
    <n v="70"/>
    <x v="506"/>
    <n v="0.15913893471320462"/>
    <n v="2.5155940534786363"/>
    <n v="444.15579063742871"/>
    <n v="350.68495766619208"/>
    <x v="11"/>
  </r>
  <r>
    <s v="SALE1826"/>
    <d v="2025-02-12T00:00:00"/>
    <s v="CUST1121"/>
    <s v="PROD33"/>
    <s v="STORE15"/>
    <n v="2.5134614714788599"/>
    <n v="448.55563697424202"/>
    <n v="0.15856415871308799"/>
    <s v="PayPal"/>
    <n v="951.35244055407395"/>
    <n v="65874.766440079911"/>
    <n v="70"/>
    <x v="345"/>
    <n v="0.15914231574849944"/>
    <n v="2.5156065980786346"/>
    <n v="444.12990918838858"/>
    <n v="350.64502578962697"/>
    <x v="6"/>
  </r>
  <r>
    <s v="SALE1827"/>
    <d v="2024-03-31T00:00:00"/>
    <s v="CUST1402"/>
    <s v="PROD66"/>
    <s v="STORE3"/>
    <n v="2.5134865606788601"/>
    <n v="448.50387407616199"/>
    <n v="0.15857092078367699"/>
    <s v="Credit Card"/>
    <n v="951.24444409462205"/>
    <n v="65874.766440079911"/>
    <n v="70"/>
    <x v="408"/>
    <n v="0.15914569678379425"/>
    <n v="2.5156191426786334"/>
    <n v="444.1040277393484"/>
    <n v="350.60509391306164"/>
    <x v="9"/>
  </r>
  <r>
    <s v="SALE1828"/>
    <d v="2023-11-30T00:00:00"/>
    <s v="CUST1279"/>
    <s v="PROD13"/>
    <s v="STORE8"/>
    <n v="2.5135116498788501"/>
    <n v="448.45211117808202"/>
    <n v="0.15857768285426699"/>
    <s v="Credit Card"/>
    <n v="951.13644763517004"/>
    <n v="64923.521995985284"/>
    <n v="69"/>
    <x v="382"/>
    <n v="0.15914907781908905"/>
    <n v="2.5156316872786317"/>
    <n v="444.0781462903085"/>
    <n v="350.5651620364963"/>
    <x v="3"/>
  </r>
  <r>
    <s v="SALE1829"/>
    <d v="2025-02-14T00:00:00"/>
    <s v="CUST1033"/>
    <s v="PROD16"/>
    <s v="STORE8"/>
    <n v="2.5135367390788499"/>
    <n v="448.40034828000199"/>
    <n v="0.15858444492485699"/>
    <s v="COD"/>
    <n v="951.02845117571803"/>
    <n v="63972.38554835011"/>
    <n v="68"/>
    <x v="404"/>
    <n v="0.15915245885438384"/>
    <n v="2.5156442318786305"/>
    <n v="444.05226484126842"/>
    <n v="350.52523015993097"/>
    <x v="6"/>
  </r>
  <r>
    <s v="SALE1830"/>
    <d v="2024-01-11T00:00:00"/>
    <s v="CUST1066"/>
    <s v="PROD40"/>
    <s v="STORE15"/>
    <n v="2.5135618282788501"/>
    <n v="448.34858538192202"/>
    <n v="0.15859120699544599"/>
    <s v="Credit Card"/>
    <n v="950.92045471626705"/>
    <n v="63972.38554835011"/>
    <n v="68"/>
    <x v="29"/>
    <n v="0.15915583988967866"/>
    <n v="2.5156567764786293"/>
    <n v="444.02638339222835"/>
    <n v="350.48529828336586"/>
    <x v="4"/>
  </r>
  <r>
    <s v="SALE1831"/>
    <d v="2024-12-27T00:00:00"/>
    <s v="CUST1379"/>
    <s v="PROD76"/>
    <s v="STORE6"/>
    <n v="2.5135869174788499"/>
    <n v="448.29682248384103"/>
    <n v="0.15859796906603599"/>
    <s v="COD"/>
    <n v="950.81245825681503"/>
    <n v="63021.465093633844"/>
    <n v="67"/>
    <x v="507"/>
    <n v="0.15915922092497348"/>
    <n v="2.5156693210786281"/>
    <n v="444.00050194318828"/>
    <n v="350.44536640680025"/>
    <x v="1"/>
  </r>
  <r>
    <s v="SALE1832"/>
    <d v="2023-11-20T00:00:00"/>
    <s v="CUST1455"/>
    <s v="PROD87"/>
    <s v="STORE7"/>
    <n v="2.5136120066788399"/>
    <n v="448.245059585761"/>
    <n v="0.15860473113662599"/>
    <s v="COD"/>
    <n v="950.70446179736302"/>
    <n v="63021.465093633844"/>
    <n v="67"/>
    <x v="400"/>
    <n v="0.15916260196026827"/>
    <n v="2.5156818656786268"/>
    <n v="443.97462049414816"/>
    <n v="350.40543453023486"/>
    <x v="3"/>
  </r>
  <r>
    <s v="SALE1833"/>
    <d v="2025-01-04T00:00:00"/>
    <s v="CUST1195"/>
    <s v="PROD19"/>
    <s v="STORE3"/>
    <n v="2.5136370958788401"/>
    <n v="448.19329668768103"/>
    <n v="0.15861149320721499"/>
    <s v="COD"/>
    <n v="950.59646533791204"/>
    <n v="63021.465093633844"/>
    <n v="67"/>
    <x v="232"/>
    <n v="0.15916598299556306"/>
    <n v="2.5156944102786256"/>
    <n v="443.94873904510814"/>
    <n v="350.36550265366975"/>
    <x v="4"/>
  </r>
  <r>
    <s v="SALE1834"/>
    <d v="2024-07-20T00:00:00"/>
    <s v="CUST1041"/>
    <s v="PROD76"/>
    <s v="STORE10"/>
    <n v="2.5136621850788399"/>
    <n v="448.141533789601"/>
    <n v="0.15861825527780499"/>
    <s v="COD"/>
    <n v="950.48846887846003"/>
    <n v="63021.465093633844"/>
    <n v="67"/>
    <x v="508"/>
    <n v="0.15916936403085788"/>
    <n v="2.5157069548786244"/>
    <n v="443.92285759606807"/>
    <n v="350.32557077710442"/>
    <x v="0"/>
  </r>
  <r>
    <s v="SALE1835"/>
    <d v="2023-11-12T00:00:00"/>
    <s v="CUST1494"/>
    <s v="PROD41"/>
    <s v="STORE13"/>
    <n v="2.5136872742788401"/>
    <n v="448.08977089152103"/>
    <n v="0.15862501734839399"/>
    <s v="COD"/>
    <n v="950.38047241900802"/>
    <n v="63021.465093633844"/>
    <n v="67"/>
    <x v="495"/>
    <n v="0.15917274506615267"/>
    <n v="2.5157194994786232"/>
    <n v="443.896976147028"/>
    <n v="350.28563890053908"/>
    <x v="3"/>
  </r>
  <r>
    <s v="SALE1836"/>
    <d v="2024-04-29T00:00:00"/>
    <s v="CUST1219"/>
    <s v="PROD96"/>
    <s v="STORE18"/>
    <n v="2.5137123634788301"/>
    <n v="448.038007993441"/>
    <n v="0.15863177941898399"/>
    <s v="Credit Card"/>
    <n v="950.272475959556"/>
    <n v="63021.465093633844"/>
    <n v="67"/>
    <x v="168"/>
    <n v="0.15917612610144749"/>
    <n v="2.5157320440786215"/>
    <n v="443.87109469798781"/>
    <n v="350.24570702397369"/>
    <x v="10"/>
  </r>
  <r>
    <s v="SALE1837"/>
    <d v="2024-10-28T00:00:00"/>
    <s v="CUST1032"/>
    <s v="PROD92"/>
    <s v="STORE16"/>
    <n v="2.5137374526788299"/>
    <n v="447.98624509536"/>
    <n v="0.15863854148957399"/>
    <s v="PayPal"/>
    <n v="950.16447950010502"/>
    <n v="62071.192617674285"/>
    <n v="66"/>
    <x v="31"/>
    <n v="0.15917950713674225"/>
    <n v="2.5157445886786207"/>
    <n v="443.84521324894769"/>
    <n v="350.20577514740836"/>
    <x v="11"/>
  </r>
  <r>
    <s v="SALE1838"/>
    <d v="2023-12-21T00:00:00"/>
    <s v="CUST1160"/>
    <s v="PROD85"/>
    <s v="STORE13"/>
    <n v="2.5137625418788301"/>
    <n v="447.93448219727998"/>
    <n v="0.15864530356016299"/>
    <s v="COD"/>
    <n v="950.05648304065301"/>
    <n v="62071.192617674285"/>
    <n v="66"/>
    <x v="374"/>
    <n v="0.1591828881720371"/>
    <n v="2.5157571332786195"/>
    <n v="443.81933179990767"/>
    <n v="350.16584327084297"/>
    <x v="1"/>
  </r>
  <r>
    <s v="SALE1839"/>
    <d v="2024-10-10T00:00:00"/>
    <s v="CUST1122"/>
    <s v="PROD42"/>
    <s v="STORE9"/>
    <n v="2.5137876310788201"/>
    <n v="447.88271929920001"/>
    <n v="0.15865206563075299"/>
    <s v="COD"/>
    <n v="949.948486581201"/>
    <n v="62071.192617674285"/>
    <n v="66"/>
    <x v="509"/>
    <n v="0.15918626920733189"/>
    <n v="2.5157696778786183"/>
    <n v="443.7934503508676"/>
    <n v="350.12591139427764"/>
    <x v="11"/>
  </r>
  <r>
    <s v="SALE1840"/>
    <d v="2025-01-03T00:00:00"/>
    <s v="CUST1153"/>
    <s v="PROD92"/>
    <s v="STORE1"/>
    <n v="2.5138127202788199"/>
    <n v="447.83095640111998"/>
    <n v="0.15865882770134199"/>
    <s v="COD"/>
    <n v="949.84049012174899"/>
    <n v="62071.192617674285"/>
    <n v="66"/>
    <x v="510"/>
    <n v="0.15918965024262668"/>
    <n v="2.5157822224786166"/>
    <n v="443.76756890182747"/>
    <n v="350.0859795177123"/>
    <x v="4"/>
  </r>
  <r>
    <s v="SALE1841"/>
    <d v="2024-03-09T00:00:00"/>
    <s v="CUST1365"/>
    <s v="PROD40"/>
    <s v="STORE5"/>
    <n v="2.5138378094788201"/>
    <n v="447.77919350304001"/>
    <n v="0.15866558977193199"/>
    <s v="PayPal"/>
    <n v="949.732493662298"/>
    <n v="62071.192617674285"/>
    <n v="66"/>
    <x v="398"/>
    <n v="0.1591930312779215"/>
    <n v="2.5157947670786158"/>
    <n v="443.74168745278746"/>
    <n v="350.0460476411472"/>
    <x v="9"/>
  </r>
  <r>
    <s v="SALE1842"/>
    <d v="2024-08-22T00:00:00"/>
    <s v="CUST1119"/>
    <s v="PROD85"/>
    <s v="STORE0"/>
    <n v="2.5138628986788198"/>
    <n v="447.72743060495998"/>
    <n v="0.15867235184252201"/>
    <s v="PayPal"/>
    <n v="949.62449720284599"/>
    <n v="62071.192617674285"/>
    <n v="66"/>
    <x v="455"/>
    <n v="0.15919641231321632"/>
    <n v="2.5158073116786137"/>
    <n v="443.71580600374739"/>
    <n v="350.00611576458186"/>
    <x v="7"/>
  </r>
  <r>
    <s v="SALE1843"/>
    <d v="2024-04-13T00:00:00"/>
    <s v="CUST1425"/>
    <s v="PROD72"/>
    <s v="STORE19"/>
    <n v="2.5138879878788098"/>
    <n v="447.67566770688001"/>
    <n v="0.15867911391311099"/>
    <s v="Credit Card"/>
    <n v="949.51650074339398"/>
    <n v="62071.192617674285"/>
    <n v="66"/>
    <x v="511"/>
    <n v="0.15919979334851111"/>
    <n v="2.5158198562786129"/>
    <n v="443.68992455470726"/>
    <n v="349.96618388801647"/>
    <x v="10"/>
  </r>
  <r>
    <s v="SALE1844"/>
    <d v="2024-06-23T00:00:00"/>
    <s v="CUST1495"/>
    <s v="PROD59"/>
    <s v="STORE13"/>
    <n v="2.5139130770788101"/>
    <n v="447.62390480879901"/>
    <n v="0.15868587598370101"/>
    <s v="COD"/>
    <n v="949.40850428394197"/>
    <n v="61121.676116930903"/>
    <n v="65"/>
    <x v="23"/>
    <n v="0.15920317438380591"/>
    <n v="2.5158324008786113"/>
    <n v="443.66404310566719"/>
    <n v="349.92625201145086"/>
    <x v="2"/>
  </r>
  <r>
    <s v="SALE1845"/>
    <d v="2025-08-07T00:00:00"/>
    <s v="CUST1201"/>
    <s v="PROD31"/>
    <s v="STORE10"/>
    <n v="2.5139381662788098"/>
    <n v="447.57214191071898"/>
    <n v="0.15869263805428999"/>
    <s v="COD"/>
    <n v="949.30050782449098"/>
    <n v="61121.676116930903"/>
    <n v="65"/>
    <x v="213"/>
    <n v="0.15920655541910073"/>
    <n v="2.51584494547861"/>
    <n v="443.63816165662718"/>
    <n v="349.88632013488575"/>
    <x v="7"/>
  </r>
  <r>
    <s v="SALE1846"/>
    <d v="2025-03-08T00:00:00"/>
    <s v="CUST1337"/>
    <s v="PROD16"/>
    <s v="STORE10"/>
    <n v="2.5139632554788101"/>
    <n v="447.52037901263901"/>
    <n v="0.15869940012488001"/>
    <s v="PayPal"/>
    <n v="949.19251136503897"/>
    <n v="61121.676116930903"/>
    <n v="65"/>
    <x v="512"/>
    <n v="0.15920993645439555"/>
    <n v="2.5158574900786084"/>
    <n v="443.61228020758716"/>
    <n v="349.84638825832042"/>
    <x v="9"/>
  </r>
  <r>
    <s v="SALE1847"/>
    <d v="2025-05-24T00:00:00"/>
    <s v="CUST1465"/>
    <s v="PROD67"/>
    <s v="STORE8"/>
    <n v="2.5139883446788001"/>
    <n v="447.46861611455898"/>
    <n v="0.15870616219547001"/>
    <s v="PayPal"/>
    <n v="949.08451490558696"/>
    <n v="61121.676116930903"/>
    <n v="65"/>
    <x v="11"/>
    <n v="0.15921331748969036"/>
    <n v="2.5158700346786071"/>
    <n v="443.58639875854698"/>
    <n v="349.80645638175508"/>
    <x v="5"/>
  </r>
  <r>
    <s v="SALE1848"/>
    <d v="2025-04-02T00:00:00"/>
    <s v="CUST1381"/>
    <s v="PROD23"/>
    <s v="STORE4"/>
    <n v="2.5140134338787998"/>
    <n v="447.41685321647901"/>
    <n v="0.15871292426605901"/>
    <s v="COD"/>
    <n v="948.97651844613597"/>
    <n v="61121.676116930903"/>
    <n v="65"/>
    <x v="513"/>
    <n v="0.15921669852498516"/>
    <n v="2.5158825792786059"/>
    <n v="443.56051730950691"/>
    <n v="349.76652450518998"/>
    <x v="10"/>
  </r>
  <r>
    <s v="SALE1849"/>
    <d v="2024-02-03T00:00:00"/>
    <s v="CUST1113"/>
    <s v="PROD83"/>
    <s v="STORE9"/>
    <n v="2.5140385230788"/>
    <n v="447.36509031839898"/>
    <n v="0.15871968633664901"/>
    <s v="Credit Card"/>
    <n v="948.86852198668396"/>
    <n v="61121.676116930903"/>
    <n v="65"/>
    <x v="474"/>
    <n v="0.15922007956027995"/>
    <n v="2.5158951238786047"/>
    <n v="443.53463586046678"/>
    <n v="349.72659262862459"/>
    <x v="6"/>
  </r>
  <r>
    <s v="SALE1850"/>
    <d v="2025-10-02T00:00:00"/>
    <s v="CUST1314"/>
    <s v="PROD86"/>
    <s v="STORE16"/>
    <n v="2.5140636122787998"/>
    <n v="447.31332742031799"/>
    <n v="0.15872644840723801"/>
    <s v="Credit Card"/>
    <n v="948.76052552723195"/>
    <n v="60172.807594944214"/>
    <n v="64"/>
    <x v="230"/>
    <n v="0.15922346059557477"/>
    <n v="2.515907668478603"/>
    <n v="443.50875441142676"/>
    <n v="349.68666075205897"/>
    <x v="11"/>
  </r>
  <r>
    <s v="SALE1851"/>
    <d v="2025-08-26T00:00:00"/>
    <s v="CUST1239"/>
    <s v="PROD92"/>
    <s v="STORE0"/>
    <n v="2.5140887014787898"/>
    <n v="447.26156452223802"/>
    <n v="0.15873321047782801"/>
    <s v="COD"/>
    <n v="948.65252906778005"/>
    <n v="59224.047069416978"/>
    <n v="63"/>
    <x v="371"/>
    <n v="0.15922684163086956"/>
    <n v="2.5159202130786023"/>
    <n v="443.48287296238675"/>
    <n v="349.64672887549364"/>
    <x v="7"/>
  </r>
  <r>
    <s v="SALE1852"/>
    <d v="2024-11-18T00:00:00"/>
    <s v="CUST1093"/>
    <s v="PROD32"/>
    <s v="STORE3"/>
    <n v="2.51411379067879"/>
    <n v="447.20980162415799"/>
    <n v="0.15873997254841801"/>
    <s v="PayPal"/>
    <n v="948.54453260832895"/>
    <n v="59224.047069416978"/>
    <n v="63"/>
    <x v="339"/>
    <n v="0.15923022266616435"/>
    <n v="2.5159327576786006"/>
    <n v="443.45699151334668"/>
    <n v="349.60679699892853"/>
    <x v="3"/>
  </r>
  <r>
    <s v="SALE1853"/>
    <d v="2023-11-17T00:00:00"/>
    <s v="CUST1489"/>
    <s v="PROD60"/>
    <s v="STORE13"/>
    <n v="2.5141388798787898"/>
    <n v="447.15803872607802"/>
    <n v="0.15874673461900701"/>
    <s v="COD"/>
    <n v="948.43653614887705"/>
    <n v="59224.047069416978"/>
    <n v="63"/>
    <x v="514"/>
    <n v="0.15923360370145917"/>
    <n v="2.5159453022785998"/>
    <n v="443.43111006430667"/>
    <n v="349.5668651223632"/>
    <x v="3"/>
  </r>
  <r>
    <s v="SALE1854"/>
    <d v="2025-02-08T00:00:00"/>
    <s v="CUST1105"/>
    <s v="PROD57"/>
    <s v="STORE3"/>
    <n v="2.51416396907879"/>
    <n v="447.10627582799799"/>
    <n v="0.15875349668959701"/>
    <s v="Credit Card"/>
    <n v="948.32853968942504"/>
    <n v="59224.047069416978"/>
    <n v="63"/>
    <x v="515"/>
    <n v="0.15923698473675399"/>
    <n v="2.5159578468785981"/>
    <n v="443.40522861526648"/>
    <n v="349.52693324579786"/>
    <x v="6"/>
  </r>
  <r>
    <s v="SALE1855"/>
    <d v="2024-01-03T00:00:00"/>
    <s v="CUST1431"/>
    <s v="PROD96"/>
    <s v="STORE16"/>
    <n v="2.51418905827878"/>
    <n v="447.05451292991802"/>
    <n v="0.15876025876018701"/>
    <s v="COD"/>
    <n v="948.22054322997303"/>
    <n v="58275.718529727557"/>
    <n v="62"/>
    <x v="26"/>
    <n v="0.15924036577204878"/>
    <n v="2.5159703914785969"/>
    <n v="443.37934716622647"/>
    <n v="349.48700136923253"/>
    <x v="4"/>
  </r>
  <r>
    <s v="SALE1856"/>
    <d v="2024-04-07T00:00:00"/>
    <s v="CUST1134"/>
    <s v="PROD83"/>
    <s v="STORE3"/>
    <n v="2.5142141474787798"/>
    <n v="447.00275003183702"/>
    <n v="0.15876702083077601"/>
    <s v="Credit Card"/>
    <n v="948.11254677052204"/>
    <n v="58275.718529727557"/>
    <n v="62"/>
    <x v="257"/>
    <n v="0.15924374680734357"/>
    <n v="2.5159829360785961"/>
    <n v="443.35346571718634"/>
    <n v="349.44706949266714"/>
    <x v="10"/>
  </r>
  <r>
    <s v="SALE1857"/>
    <d v="2025-09-30T00:00:00"/>
    <s v="CUST1466"/>
    <s v="PROD94"/>
    <s v="STORE12"/>
    <n v="2.51423923667878"/>
    <n v="446.950987133757"/>
    <n v="0.15877378290136601"/>
    <s v="COD"/>
    <n v="948.00455031107003"/>
    <n v="57327.605982957037"/>
    <n v="61"/>
    <x v="516"/>
    <n v="0.15924712784263839"/>
    <n v="2.5159954806785949"/>
    <n v="443.32758426814621"/>
    <n v="349.40713761610181"/>
    <x v="8"/>
  </r>
  <r>
    <s v="SALE1858"/>
    <d v="2024-06-13T00:00:00"/>
    <s v="CUST1372"/>
    <s v="PROD86"/>
    <s v="STORE6"/>
    <n v="2.5142643258787798"/>
    <n v="446.89922423567702"/>
    <n v="0.15878054497195501"/>
    <s v="COD"/>
    <n v="947.89655385161802"/>
    <n v="57327.605982957037"/>
    <n v="61"/>
    <x v="441"/>
    <n v="0.15925050887793318"/>
    <n v="2.5160080252785932"/>
    <n v="443.3017028191062"/>
    <n v="349.36720573953642"/>
    <x v="2"/>
  </r>
  <r>
    <s v="SALE1859"/>
    <d v="2025-02-25T00:00:00"/>
    <s v="CUST1108"/>
    <s v="PROD62"/>
    <s v="STORE7"/>
    <n v="2.5142894150787698"/>
    <n v="446.847461337597"/>
    <n v="0.15878730704254501"/>
    <s v="PayPal"/>
    <n v="947.78855739216601"/>
    <n v="57327.605982957037"/>
    <n v="61"/>
    <x v="219"/>
    <n v="0.15925388991322798"/>
    <n v="2.516020569878592"/>
    <n v="443.27582137006613"/>
    <n v="349.32727386297108"/>
    <x v="6"/>
  </r>
  <r>
    <s v="SALE1860"/>
    <d v="2025-05-07T00:00:00"/>
    <s v="CUST1184"/>
    <s v="PROD46"/>
    <s v="STORE2"/>
    <n v="2.51431450427877"/>
    <n v="446.79569843951703"/>
    <n v="0.15879406911313501"/>
    <s v="COD"/>
    <n v="947.68056093271503"/>
    <n v="57327.605982957037"/>
    <n v="61"/>
    <x v="517"/>
    <n v="0.15925727094852279"/>
    <n v="2.5160331144785903"/>
    <n v="443.24993992102611"/>
    <n v="349.28734198640598"/>
    <x v="5"/>
  </r>
  <r>
    <s v="SALE1861"/>
    <d v="2025-06-04T00:00:00"/>
    <s v="CUST1000"/>
    <s v="PROD56"/>
    <s v="STORE19"/>
    <n v="2.5143395934787698"/>
    <n v="446.743935541437"/>
    <n v="0.15880083118372401"/>
    <s v="Credit Card"/>
    <n v="947.57256447326301"/>
    <n v="57327.605982957037"/>
    <n v="61"/>
    <x v="162"/>
    <n v="0.15926065198381761"/>
    <n v="2.5160456590785891"/>
    <n v="443.22405847198593"/>
    <n v="349.24741010984064"/>
    <x v="2"/>
  </r>
  <r>
    <s v="SALE1862"/>
    <d v="2024-12-27T00:00:00"/>
    <s v="CUST1264"/>
    <s v="PROD17"/>
    <s v="STORE16"/>
    <n v="2.5143646826787598"/>
    <n v="446.692172643356"/>
    <n v="0.15880759325431401"/>
    <s v="COD"/>
    <n v="947.464568013811"/>
    <n v="56380.03341848377"/>
    <n v="60"/>
    <x v="507"/>
    <n v="0.15926403301911241"/>
    <n v="2.5160582036785875"/>
    <n v="443.19817702294586"/>
    <n v="349.20747823327503"/>
    <x v="1"/>
  </r>
  <r>
    <s v="SALE1863"/>
    <d v="2025-01-15T00:00:00"/>
    <s v="CUST1145"/>
    <s v="PROD48"/>
    <s v="STORE13"/>
    <n v="2.51438977187876"/>
    <n v="446.64040974527597"/>
    <n v="0.15881435532490301"/>
    <s v="PayPal"/>
    <n v="947.35657155435899"/>
    <n v="56380.03341848377"/>
    <n v="60"/>
    <x v="265"/>
    <n v="0.1592674140544072"/>
    <n v="2.5160707482785862"/>
    <n v="443.17229557390584"/>
    <n v="349.16754635670964"/>
    <x v="4"/>
  </r>
  <r>
    <s v="SALE1864"/>
    <d v="2025-05-22T00:00:00"/>
    <s v="CUST1392"/>
    <s v="PROD52"/>
    <s v="STORE10"/>
    <n v="2.5144148610787602"/>
    <n v="446.588646847196"/>
    <n v="0.15882111739549301"/>
    <s v="COD"/>
    <n v="947.24857509490801"/>
    <n v="56380.03341848377"/>
    <n v="60"/>
    <x v="518"/>
    <n v="0.15927079508970202"/>
    <n v="2.5160832928785855"/>
    <n v="443.14641412486577"/>
    <n v="349.12761448014459"/>
    <x v="5"/>
  </r>
  <r>
    <s v="SALE1865"/>
    <d v="2025-07-10T00:00:00"/>
    <s v="CUST1109"/>
    <s v="PROD34"/>
    <s v="STORE11"/>
    <n v="2.51443995027876"/>
    <n v="446.53688394911597"/>
    <n v="0.15882787946608301"/>
    <s v="PayPal"/>
    <n v="947.140578635456"/>
    <n v="56380.03341848377"/>
    <n v="60"/>
    <x v="84"/>
    <n v="0.15927417612499684"/>
    <n v="2.5160958374785833"/>
    <n v="443.12053267582564"/>
    <n v="349.0876826035792"/>
    <x v="0"/>
  </r>
  <r>
    <s v="SALE1866"/>
    <d v="2025-09-18T00:00:00"/>
    <s v="CUST1268"/>
    <s v="PROD58"/>
    <s v="STORE8"/>
    <n v="2.51446503947875"/>
    <n v="446.485121051036"/>
    <n v="0.15883464153667201"/>
    <s v="Credit Card"/>
    <n v="947.03258217600398"/>
    <n v="56380.03341848377"/>
    <n v="60"/>
    <x v="147"/>
    <n v="0.15927755716029163"/>
    <n v="2.5161083820785826"/>
    <n v="443.09465122678557"/>
    <n v="349.04775072701386"/>
    <x v="8"/>
  </r>
  <r>
    <s v="SALE1867"/>
    <d v="2023-12-28T00:00:00"/>
    <s v="CUST1281"/>
    <s v="PROD85"/>
    <s v="STORE19"/>
    <n v="2.5144901286787502"/>
    <n v="446.43335815295598"/>
    <n v="0.15884140360726201"/>
    <s v="COD"/>
    <n v="946.924585716553"/>
    <n v="55433.000836307772"/>
    <n v="59"/>
    <x v="519"/>
    <n v="0.15928093819558645"/>
    <n v="2.5161209266785813"/>
    <n v="443.06876977774544"/>
    <n v="349.00781885044876"/>
    <x v="1"/>
  </r>
  <r>
    <s v="SALE1868"/>
    <d v="2024-07-04T00:00:00"/>
    <s v="CUST1464"/>
    <s v="PROD4"/>
    <s v="STORE12"/>
    <n v="2.51451521787875"/>
    <n v="446.381595254876"/>
    <n v="0.15884816567785101"/>
    <s v="Credit Card"/>
    <n v="946.81658925710099"/>
    <n v="55433.000836307772"/>
    <n v="59"/>
    <x v="471"/>
    <n v="0.15928431923088124"/>
    <n v="2.5161334712785801"/>
    <n v="443.04288832870543"/>
    <n v="348.96788697388342"/>
    <x v="0"/>
  </r>
  <r>
    <s v="SALE1869"/>
    <d v="2025-05-19T00:00:00"/>
    <s v="CUST1211"/>
    <s v="PROD67"/>
    <s v="STORE5"/>
    <n v="2.5145403070787502"/>
    <n v="446.32983235679501"/>
    <n v="0.15885492774844101"/>
    <s v="COD"/>
    <n v="946.70859279764898"/>
    <n v="54486.184247050667"/>
    <n v="58"/>
    <x v="254"/>
    <n v="0.15928770026617603"/>
    <n v="2.5161460158785789"/>
    <n v="443.01700687966536"/>
    <n v="348.92795509731781"/>
    <x v="5"/>
  </r>
  <r>
    <s v="SALE1870"/>
    <d v="2024-12-04T00:00:00"/>
    <s v="CUST1181"/>
    <s v="PROD37"/>
    <s v="STORE8"/>
    <n v="2.5145653962787402"/>
    <n v="446.27806945871498"/>
    <n v="0.15886168981903101"/>
    <s v="Credit Card"/>
    <n v="946.60059633819697"/>
    <n v="54486.184247050667"/>
    <n v="58"/>
    <x v="520"/>
    <n v="0.15929108130147082"/>
    <n v="2.5161585604785772"/>
    <n v="442.99112543062523"/>
    <n v="348.88802322075242"/>
    <x v="1"/>
  </r>
  <r>
    <s v="SALE1871"/>
    <d v="2024-11-29T00:00:00"/>
    <s v="CUST1193"/>
    <s v="PROD64"/>
    <s v="STORE7"/>
    <n v="2.51459048547874"/>
    <n v="446.22630656063501"/>
    <n v="0.15886845188962001"/>
    <s v="Credit Card"/>
    <n v="946.49259987874598"/>
    <n v="53539.58365071247"/>
    <n v="57"/>
    <x v="450"/>
    <n v="0.15929446233676567"/>
    <n v="2.5161711050785764"/>
    <n v="442.96524398158516"/>
    <n v="348.84809134418731"/>
    <x v="3"/>
  </r>
  <r>
    <s v="SALE1872"/>
    <d v="2025-04-26T00:00:00"/>
    <s v="CUST1109"/>
    <s v="PROD42"/>
    <s v="STORE7"/>
    <n v="2.5146155746787402"/>
    <n v="446.17454366255498"/>
    <n v="0.15887521396021001"/>
    <s v="COD"/>
    <n v="946.38460341929397"/>
    <n v="52593.091050833726"/>
    <n v="56"/>
    <x v="218"/>
    <n v="0.15929784337206046"/>
    <n v="2.5161836496785748"/>
    <n v="442.93936253254509"/>
    <n v="348.80815946762198"/>
    <x v="10"/>
  </r>
  <r>
    <s v="SALE1873"/>
    <d v="2024-01-17T00:00:00"/>
    <s v="CUST1039"/>
    <s v="PROD15"/>
    <s v="STORE19"/>
    <n v="2.51464066387874"/>
    <n v="446.12278076447501"/>
    <n v="0.15888197603080001"/>
    <s v="Credit Card"/>
    <n v="946.27660695984196"/>
    <n v="52593.091050833726"/>
    <n v="56"/>
    <x v="238"/>
    <n v="0.15930122440735525"/>
    <n v="2.5161961942785744"/>
    <n v="442.91348108350502"/>
    <n v="348.76822759105664"/>
    <x v="4"/>
  </r>
  <r>
    <s v="SALE1874"/>
    <d v="2025-07-31T00:00:00"/>
    <s v="CUST1486"/>
    <s v="PROD69"/>
    <s v="STORE6"/>
    <n v="2.51466575307873"/>
    <n v="446.07101786639498"/>
    <n v="0.15888873810138901"/>
    <s v="COD"/>
    <n v="946.16861050038995"/>
    <n v="51646.814443873889"/>
    <n v="55"/>
    <x v="9"/>
    <n v="0.15930460544265007"/>
    <n v="2.5162087388785728"/>
    <n v="442.88759963446495"/>
    <n v="348.72829571449125"/>
    <x v="0"/>
  </r>
  <r>
    <s v="SALE1875"/>
    <d v="2024-11-25T00:00:00"/>
    <s v="CUST1130"/>
    <s v="PROD53"/>
    <s v="STORE5"/>
    <n v="2.5146908422787302"/>
    <n v="446.01925496831399"/>
    <n v="0.15889550017197901"/>
    <s v="COD"/>
    <n v="946.06061404093896"/>
    <n v="51646.814443873889"/>
    <n v="55"/>
    <x v="284"/>
    <n v="0.15930798647794486"/>
    <n v="2.5162212834785711"/>
    <n v="442.86171818542482"/>
    <n v="348.68836383792592"/>
    <x v="3"/>
  </r>
  <r>
    <s v="SALE1876"/>
    <d v="2024-05-16T00:00:00"/>
    <s v="CUST1199"/>
    <s v="PROD9"/>
    <s v="STORE12"/>
    <n v="2.51471593147873"/>
    <n v="445.96749207023402"/>
    <n v="0.15890226224256801"/>
    <s v="Credit Card"/>
    <n v="945.95261758148695"/>
    <n v="51646.814443873889"/>
    <n v="55"/>
    <x v="504"/>
    <n v="0.15931136751323965"/>
    <n v="2.5162338280785699"/>
    <n v="442.83583673638475"/>
    <n v="348.64843196136059"/>
    <x v="5"/>
  </r>
  <r>
    <s v="SALE1877"/>
    <d v="2025-05-30T00:00:00"/>
    <s v="CUST1069"/>
    <s v="PROD13"/>
    <s v="STORE3"/>
    <n v="2.5147410206787302"/>
    <n v="445.91572917215399"/>
    <n v="0.15890902431315801"/>
    <s v="PayPal"/>
    <n v="945.84462112203505"/>
    <n v="50700.861826292399"/>
    <n v="54"/>
    <x v="185"/>
    <n v="0.15931474854853445"/>
    <n v="2.5162463726785682"/>
    <n v="442.80995528734462"/>
    <n v="348.60850008479525"/>
    <x v="5"/>
  </r>
  <r>
    <s v="SALE1878"/>
    <d v="2023-11-08T00:00:00"/>
    <s v="CUST1409"/>
    <s v="PROD70"/>
    <s v="STORE0"/>
    <n v="2.5147661098787202"/>
    <n v="445.86396627407402"/>
    <n v="0.15891578638374801"/>
    <s v="Credit Card"/>
    <n v="945.73662466258304"/>
    <n v="50700.861826292399"/>
    <n v="54"/>
    <x v="353"/>
    <n v="0.15931812958382929"/>
    <n v="2.516258917278567"/>
    <n v="442.78407383830461"/>
    <n v="348.56856820822986"/>
    <x v="3"/>
  </r>
  <r>
    <s v="SALE1879"/>
    <d v="2023-11-23T00:00:00"/>
    <s v="CUST1029"/>
    <s v="PROD79"/>
    <s v="STORE4"/>
    <n v="2.51479119907872"/>
    <n v="445.81220337599399"/>
    <n v="0.15892254845433701"/>
    <s v="COD"/>
    <n v="945.62862820313205"/>
    <n v="49755.125201629817"/>
    <n v="53"/>
    <x v="205"/>
    <n v="0.15932151061912408"/>
    <n v="2.5162714618785653"/>
    <n v="442.75819238926459"/>
    <n v="348.52863633166476"/>
    <x v="3"/>
  </r>
  <r>
    <s v="SALE1880"/>
    <d v="2024-06-17T00:00:00"/>
    <s v="CUST1138"/>
    <s v="PROD33"/>
    <s v="STORE19"/>
    <n v="2.5148162882787202"/>
    <n v="445.76044047791402"/>
    <n v="0.15892931052492701"/>
    <s v="Credit Card"/>
    <n v="945.52063174368004"/>
    <n v="49755.125201629817"/>
    <n v="53"/>
    <x v="325"/>
    <n v="0.15932489165441888"/>
    <n v="2.5162840064785641"/>
    <n v="442.73231094022441"/>
    <n v="348.48870445509942"/>
    <x v="2"/>
  </r>
  <r>
    <s v="SALE1881"/>
    <d v="2024-12-02T00:00:00"/>
    <s v="CUST1472"/>
    <s v="PROD58"/>
    <s v="STORE6"/>
    <n v="2.5148413774787199"/>
    <n v="445.70867757983302"/>
    <n v="0.15893607259551601"/>
    <s v="COD"/>
    <n v="945.41263528422803"/>
    <n v="48809.604569886134"/>
    <n v="52"/>
    <x v="312"/>
    <n v="0.1593282726897137"/>
    <n v="2.5162965510785624"/>
    <n v="442.70642949118439"/>
    <n v="348.44877257853381"/>
    <x v="1"/>
  </r>
  <r>
    <s v="SALE1882"/>
    <d v="2025-05-01T00:00:00"/>
    <s v="CUST1388"/>
    <s v="PROD77"/>
    <s v="STORE14"/>
    <n v="2.5148664666787099"/>
    <n v="445.65691468175299"/>
    <n v="0.15894283466610601"/>
    <s v="Credit Card"/>
    <n v="945.30463882477704"/>
    <n v="48809.604569886134"/>
    <n v="52"/>
    <x v="428"/>
    <n v="0.15933165372500852"/>
    <n v="2.5163090956785616"/>
    <n v="442.68054804214432"/>
    <n v="348.4088407019687"/>
    <x v="5"/>
  </r>
  <r>
    <s v="SALE1883"/>
    <d v="2024-06-28T00:00:00"/>
    <s v="CUST1181"/>
    <s v="PROD81"/>
    <s v="STORE7"/>
    <n v="2.5148915558787102"/>
    <n v="445.60515178367302"/>
    <n v="0.15894959673669601"/>
    <s v="COD"/>
    <n v="945.19664236532503"/>
    <n v="47864.29993106136"/>
    <n v="51"/>
    <x v="521"/>
    <n v="0.15933503476030331"/>
    <n v="2.5163216402785604"/>
    <n v="442.6546665931042"/>
    <n v="348.36890882540337"/>
    <x v="2"/>
  </r>
  <r>
    <s v="SALE1884"/>
    <d v="2025-04-23T00:00:00"/>
    <s v="CUST1466"/>
    <s v="PROD34"/>
    <s v="STORE18"/>
    <n v="2.5149166450787099"/>
    <n v="445.55338888559299"/>
    <n v="0.15895635880728501"/>
    <s v="Credit Card"/>
    <n v="945.08864590587302"/>
    <n v="47864.29993106136"/>
    <n v="51"/>
    <x v="505"/>
    <n v="0.1593384157955981"/>
    <n v="2.5163341848785592"/>
    <n v="442.62878514406412"/>
    <n v="348.32897694883798"/>
    <x v="10"/>
  </r>
  <r>
    <s v="SALE1885"/>
    <d v="2024-03-18T00:00:00"/>
    <s v="CUST1215"/>
    <s v="PROD67"/>
    <s v="STORE19"/>
    <n v="2.5149417342786999"/>
    <n v="445.50162598751302"/>
    <n v="0.15896312087787501"/>
    <s v="Credit Card"/>
    <n v="944.98064944642101"/>
    <n v="46919.211285155485"/>
    <n v="50"/>
    <x v="19"/>
    <n v="0.15934179683089292"/>
    <n v="2.516346729478558"/>
    <n v="442.60290369502405"/>
    <n v="348.28904507227264"/>
    <x v="9"/>
  </r>
  <r>
    <s v="SALE1886"/>
    <d v="2025-09-10T00:00:00"/>
    <s v="CUST1187"/>
    <s v="PROD76"/>
    <s v="STORE18"/>
    <n v="2.5149668234787002"/>
    <n v="445.44986308943299"/>
    <n v="0.15896988294846401"/>
    <s v="PayPal"/>
    <n v="944.87265298697002"/>
    <n v="45974.230635709057"/>
    <n v="49"/>
    <x v="126"/>
    <n v="0.15934517786618771"/>
    <n v="2.5163592740785568"/>
    <n v="442.57702224598387"/>
    <n v="348.24911319570754"/>
    <x v="8"/>
  </r>
  <r>
    <s v="SALE1887"/>
    <d v="2024-12-11T00:00:00"/>
    <s v="CUST1381"/>
    <s v="PROD81"/>
    <s v="STORE1"/>
    <n v="2.5149919126786999"/>
    <n v="445.39810019135302"/>
    <n v="0.15897664501905401"/>
    <s v="PayPal"/>
    <n v="944.76465652751801"/>
    <n v="45974.230635709057"/>
    <n v="49"/>
    <x v="17"/>
    <n v="0.15934855890148253"/>
    <n v="2.5163718186785555"/>
    <n v="442.55114079694386"/>
    <n v="348.2091813191422"/>
    <x v="1"/>
  </r>
  <r>
    <s v="SALE1888"/>
    <d v="2025-02-18T00:00:00"/>
    <s v="CUST1159"/>
    <s v="PROD22"/>
    <s v="STORE0"/>
    <n v="2.5150170018787001"/>
    <n v="445.34633729327197"/>
    <n v="0.15898340708964401"/>
    <s v="COD"/>
    <n v="944.656660068066"/>
    <n v="45974.230635709057"/>
    <n v="49"/>
    <x v="52"/>
    <n v="0.15935193993677729"/>
    <n v="2.5163843632785543"/>
    <n v="442.52525934790373"/>
    <n v="348.16924944257659"/>
    <x v="6"/>
  </r>
  <r>
    <s v="SALE1889"/>
    <d v="2024-09-22T00:00:00"/>
    <s v="CUST1403"/>
    <s v="PROD52"/>
    <s v="STORE5"/>
    <n v="2.5150420910786901"/>
    <n v="445.294574395192"/>
    <n v="0.15899016916023301"/>
    <s v="PayPal"/>
    <n v="944.54866360861399"/>
    <n v="45974.230635709057"/>
    <n v="49"/>
    <x v="278"/>
    <n v="0.15935532097207211"/>
    <n v="2.5163969078785535"/>
    <n v="442.49937789886371"/>
    <n v="348.1293175660112"/>
    <x v="8"/>
  </r>
  <r>
    <s v="SALE1890"/>
    <d v="2024-02-16T00:00:00"/>
    <s v="CUST1323"/>
    <s v="PROD65"/>
    <s v="STORE12"/>
    <n v="2.5150671802786899"/>
    <n v="445.24281149711197"/>
    <n v="0.15899693123082301"/>
    <s v="Credit Card"/>
    <n v="944.440667149163"/>
    <n v="45974.230635709057"/>
    <n v="49"/>
    <x v="214"/>
    <n v="0.15935870200736696"/>
    <n v="2.5164094524785523"/>
    <n v="442.47349644982359"/>
    <n v="348.08938568944609"/>
    <x v="6"/>
  </r>
  <r>
    <s v="SALE1891"/>
    <d v="2024-05-29T00:00:00"/>
    <s v="CUST1457"/>
    <s v="PROD25"/>
    <s v="STORE15"/>
    <n v="2.5150922694786901"/>
    <n v="445.191048599032"/>
    <n v="0.15900369330141201"/>
    <s v="Credit Card"/>
    <n v="944.33267068971099"/>
    <n v="45029.78996855989"/>
    <n v="48"/>
    <x v="522"/>
    <n v="0.15936208304266175"/>
    <n v="2.5164219970785506"/>
    <n v="442.44761500078351"/>
    <n v="348.04945381288076"/>
    <x v="5"/>
  </r>
  <r>
    <s v="SALE1892"/>
    <d v="2024-04-14T00:00:00"/>
    <s v="CUST1060"/>
    <s v="PROD38"/>
    <s v="STORE11"/>
    <n v="2.5151173586786899"/>
    <n v="445.13928570095197"/>
    <n v="0.15901045537200201"/>
    <s v="PayPal"/>
    <n v="944.22467423025898"/>
    <n v="44085.457297870184"/>
    <n v="47"/>
    <x v="523"/>
    <n v="0.15936546407795657"/>
    <n v="2.516434541678549"/>
    <n v="442.42173355174339"/>
    <n v="348.00952193631542"/>
    <x v="10"/>
  </r>
  <r>
    <s v="SALE1893"/>
    <d v="2024-01-26T00:00:00"/>
    <s v="CUST1245"/>
    <s v="PROD39"/>
    <s v="STORE9"/>
    <n v="2.5151424478786799"/>
    <n v="445.087522802872"/>
    <n v="0.15901721744259201"/>
    <s v="PayPal"/>
    <n v="944.11667777080697"/>
    <n v="44085.457297870184"/>
    <n v="47"/>
    <x v="524"/>
    <n v="0.15936884511325136"/>
    <n v="2.5164470862785477"/>
    <n v="442.39585210270332"/>
    <n v="347.96959005975009"/>
    <x v="4"/>
  </r>
  <r>
    <s v="SALE1894"/>
    <d v="2023-11-05T00:00:00"/>
    <s v="CUST1119"/>
    <s v="PROD13"/>
    <s v="STORE15"/>
    <n v="2.5151675370786801"/>
    <n v="445.03575990479101"/>
    <n v="0.15902397951318101"/>
    <s v="PayPal"/>
    <n v="944.00868131135599"/>
    <n v="44085.457297870184"/>
    <n v="47"/>
    <x v="163"/>
    <n v="0.15937222614854613"/>
    <n v="2.5164596308785461"/>
    <n v="442.36997065366324"/>
    <n v="347.9296581831847"/>
    <x v="3"/>
  </r>
  <r>
    <s v="SALE1895"/>
    <d v="2025-06-16T00:00:00"/>
    <s v="CUST1383"/>
    <s v="PROD63"/>
    <s v="STORE13"/>
    <n v="2.5151926262786799"/>
    <n v="444.98399700671098"/>
    <n v="0.15903074158377101"/>
    <s v="Credit Card"/>
    <n v="943.90068485190397"/>
    <n v="44085.457297870184"/>
    <n v="47"/>
    <x v="317"/>
    <n v="0.15937560718384092"/>
    <n v="2.5164721754785448"/>
    <n v="442.34408920462323"/>
    <n v="347.88972630661937"/>
    <x v="2"/>
  </r>
  <r>
    <s v="SALE1896"/>
    <d v="2024-09-08T00:00:00"/>
    <s v="CUST1067"/>
    <s v="PROD76"/>
    <s v="STORE10"/>
    <n v="2.5152177154786801"/>
    <n v="444.93223410863101"/>
    <n v="0.15903750365436101"/>
    <s v="PayPal"/>
    <n v="943.79268839245196"/>
    <n v="43141.556613018278"/>
    <n v="46"/>
    <x v="525"/>
    <n v="0.15937898821913576"/>
    <n v="2.5164847200785432"/>
    <n v="442.31820775558305"/>
    <n v="347.84979443005398"/>
    <x v="8"/>
  </r>
  <r>
    <s v="SALE1897"/>
    <d v="2024-10-30T00:00:00"/>
    <s v="CUST1492"/>
    <s v="PROD62"/>
    <s v="STORE15"/>
    <n v="2.5152428046786701"/>
    <n v="444.88047121055098"/>
    <n v="0.15904426572495001"/>
    <s v="PayPal"/>
    <n v="943.68469193300098"/>
    <n v="43141.556613018278"/>
    <n v="46"/>
    <x v="526"/>
    <n v="0.15938236925443058"/>
    <n v="2.516497264678542"/>
    <n v="442.29232630654292"/>
    <n v="347.80986255348887"/>
    <x v="11"/>
  </r>
  <r>
    <s v="SALE1898"/>
    <d v="2025-05-26T00:00:00"/>
    <s v="CUST1305"/>
    <s v="PROD28"/>
    <s v="STORE1"/>
    <n v="2.5152678938786699"/>
    <n v="444.82870831247101"/>
    <n v="0.15905102779554001"/>
    <s v="COD"/>
    <n v="943.57669547354897"/>
    <n v="43141.556613018278"/>
    <n v="46"/>
    <x v="225"/>
    <n v="0.1593857502897254"/>
    <n v="2.5165098092785403"/>
    <n v="442.26644485750285"/>
    <n v="347.76993067692354"/>
    <x v="5"/>
  </r>
  <r>
    <s v="SALE1899"/>
    <d v="2025-08-11T00:00:00"/>
    <s v="CUST1445"/>
    <s v="PROD31"/>
    <s v="STORE16"/>
    <n v="2.5152929830786701"/>
    <n v="444.77694541439098"/>
    <n v="0.15905778986612901"/>
    <s v="Credit Card"/>
    <n v="943.46869901409696"/>
    <n v="43141.556613018278"/>
    <n v="46"/>
    <x v="200"/>
    <n v="0.15938913132502019"/>
    <n v="2.5165223538785391"/>
    <n v="442.24056340846278"/>
    <n v="347.7299988003582"/>
    <x v="7"/>
  </r>
  <r>
    <s v="SALE1900"/>
    <d v="2025-02-02T00:00:00"/>
    <s v="CUST1081"/>
    <s v="PROD91"/>
    <s v="STORE5"/>
    <n v="2.5153180722786699"/>
    <n v="444.72518251630999"/>
    <n v="0.15906455193671901"/>
    <s v="PayPal"/>
    <n v="943.36070255464494"/>
    <n v="42198.087914004172"/>
    <n v="45"/>
    <x v="527"/>
    <n v="0.15939251236031504"/>
    <n v="2.5165348984785374"/>
    <n v="442.21468195942271"/>
    <n v="347.69006692379259"/>
    <x v="6"/>
  </r>
  <r>
    <s v="SALE1901"/>
    <d v="2025-07-03T00:00:00"/>
    <s v="CUST1473"/>
    <s v="PROD71"/>
    <s v="STORE18"/>
    <n v="2.5153431614786599"/>
    <n v="444.67341961823001"/>
    <n v="0.15907131400730901"/>
    <s v="Credit Card"/>
    <n v="943.25270609519396"/>
    <n v="42198.087914004172"/>
    <n v="45"/>
    <x v="484"/>
    <n v="0.15939589339560981"/>
    <n v="2.5165474430785366"/>
    <n v="442.18880051038263"/>
    <n v="347.65013504722748"/>
    <x v="0"/>
  </r>
  <r>
    <s v="SALE1902"/>
    <d v="2024-03-29T00:00:00"/>
    <s v="CUST1453"/>
    <s v="PROD81"/>
    <s v="STORE18"/>
    <n v="2.5153682506786601"/>
    <n v="444.62165672014999"/>
    <n v="0.15907807607789801"/>
    <s v="PayPal"/>
    <n v="943.14470963574195"/>
    <n v="41254.835207908982"/>
    <n v="44"/>
    <x v="264"/>
    <n v="0.15939927443090462"/>
    <n v="2.5165599876785349"/>
    <n v="442.16291906134256"/>
    <n v="347.61020317066209"/>
    <x v="9"/>
  </r>
  <r>
    <s v="SALE1903"/>
    <d v="2024-07-30T00:00:00"/>
    <s v="CUST1383"/>
    <s v="PROD3"/>
    <s v="STORE9"/>
    <n v="2.5153933398786599"/>
    <n v="444.56989382207001"/>
    <n v="0.15908483814848801"/>
    <s v="PayPal"/>
    <n v="943.03671317629005"/>
    <n v="41254.835207908982"/>
    <n v="44"/>
    <x v="112"/>
    <n v="0.15940265546619942"/>
    <n v="2.5165725322785337"/>
    <n v="442.13703761230249"/>
    <n v="347.57027129409681"/>
    <x v="0"/>
  </r>
  <r>
    <s v="SALE1904"/>
    <d v="2024-10-02T00:00:00"/>
    <s v="CUST1067"/>
    <s v="PROD14"/>
    <s v="STORE15"/>
    <n v="2.5154184290786499"/>
    <n v="444.51813092398999"/>
    <n v="0.15909160021907701"/>
    <s v="COD"/>
    <n v="942.92871671683804"/>
    <n v="41254.835207908982"/>
    <n v="44"/>
    <x v="528"/>
    <n v="0.15940603650149421"/>
    <n v="2.5165850768785329"/>
    <n v="442.11115616326236"/>
    <n v="347.53033941753142"/>
    <x v="11"/>
  </r>
  <r>
    <s v="SALE1905"/>
    <d v="2024-11-04T00:00:00"/>
    <s v="CUST1140"/>
    <s v="PROD35"/>
    <s v="STORE1"/>
    <n v="2.5154435182786501"/>
    <n v="444.46636802591001"/>
    <n v="0.15909836228966701"/>
    <s v="Credit Card"/>
    <n v="942.82072025738705"/>
    <n v="41254.835207908982"/>
    <n v="44"/>
    <x v="167"/>
    <n v="0.15940941753678906"/>
    <n v="2.5165976214785313"/>
    <n v="442.08527471422235"/>
    <n v="347.49040754096632"/>
    <x v="3"/>
  </r>
  <r>
    <s v="SALE1906"/>
    <d v="2024-05-03T00:00:00"/>
    <s v="CUST1013"/>
    <s v="PROD73"/>
    <s v="STORE13"/>
    <n v="2.5154686074786499"/>
    <n v="444.41460512782902"/>
    <n v="0.15910512436025701"/>
    <s v="Credit Card"/>
    <n v="942.71272379793504"/>
    <n v="40312.014487651591"/>
    <n v="43"/>
    <x v="529"/>
    <n v="0.15941279857208385"/>
    <n v="2.5166101660785301"/>
    <n v="442.05939326518228"/>
    <n v="347.45047566440076"/>
    <x v="5"/>
  </r>
  <r>
    <s v="SALE1907"/>
    <d v="2024-02-21T00:00:00"/>
    <s v="CUST1327"/>
    <s v="PROD9"/>
    <s v="STORE16"/>
    <n v="2.5154936966786501"/>
    <n v="444.36284222974899"/>
    <n v="0.15911188643084601"/>
    <s v="Credit Card"/>
    <n v="942.60472733848303"/>
    <n v="39369.301763853655"/>
    <n v="42"/>
    <x v="530"/>
    <n v="0.15941617960737864"/>
    <n v="2.5166227106785288"/>
    <n v="442.03351181614221"/>
    <n v="347.41054378783537"/>
    <x v="6"/>
  </r>
  <r>
    <s v="SALE1908"/>
    <d v="2024-04-17T00:00:00"/>
    <s v="CUST1413"/>
    <s v="PROD81"/>
    <s v="STORE8"/>
    <n v="2.5155187858786401"/>
    <n v="444.31107933166902"/>
    <n v="0.15911864850143601"/>
    <s v="PayPal"/>
    <n v="942.49673087903102"/>
    <n v="38426.697036515172"/>
    <n v="41"/>
    <x v="531"/>
    <n v="0.15941956064267346"/>
    <n v="2.5166352552785272"/>
    <n v="442.00763036710214"/>
    <n v="347.37061191127003"/>
    <x v="10"/>
  </r>
  <r>
    <s v="SALE1909"/>
    <d v="2025-02-01T00:00:00"/>
    <s v="CUST1309"/>
    <s v="PROD61"/>
    <s v="STORE5"/>
    <n v="2.5155438750786399"/>
    <n v="444.25931643358899"/>
    <n v="0.15912541057202501"/>
    <s v="Credit Card"/>
    <n v="942.38873441958003"/>
    <n v="38426.697036515172"/>
    <n v="41"/>
    <x v="50"/>
    <n v="0.15942294167796828"/>
    <n v="2.5166477998785259"/>
    <n v="441.98174891806201"/>
    <n v="347.33068003470493"/>
    <x v="6"/>
  </r>
  <r>
    <s v="SALE1910"/>
    <d v="2025-02-11T00:00:00"/>
    <s v="CUST1154"/>
    <s v="PROD63"/>
    <s v="STORE19"/>
    <n v="2.5155689642786401"/>
    <n v="444.20755353550902"/>
    <n v="0.15913217264261501"/>
    <s v="PayPal"/>
    <n v="942.28073796012802"/>
    <n v="37484.308302095589"/>
    <n v="40"/>
    <x v="322"/>
    <n v="0.15942632271326304"/>
    <n v="2.5166603444785247"/>
    <n v="441.95586746902194"/>
    <n v="347.29074815813959"/>
    <x v="6"/>
  </r>
  <r>
    <s v="SALE1911"/>
    <d v="2025-01-06T00:00:00"/>
    <s v="CUST1279"/>
    <s v="PROD73"/>
    <s v="STORE11"/>
    <n v="2.5155940534786398"/>
    <n v="444.15579063742899"/>
    <n v="0.159138934713205"/>
    <s v="COD"/>
    <n v="942.17274150067601"/>
    <n v="37484.308302095589"/>
    <n v="40"/>
    <x v="261"/>
    <n v="0.15942970374855786"/>
    <n v="2.5166728890785235"/>
    <n v="441.92998601998192"/>
    <n v="347.2508162815742"/>
    <x v="4"/>
  </r>
  <r>
    <s v="SALE1912"/>
    <d v="2024-03-26T00:00:00"/>
    <s v="CUST1469"/>
    <s v="PROD87"/>
    <s v="STORE8"/>
    <n v="2.5156191426786298"/>
    <n v="444.10402773934902"/>
    <n v="0.15914569678379401"/>
    <s v="COD"/>
    <n v="942.06474504122502"/>
    <n v="37484.308302095589"/>
    <n v="40"/>
    <x v="532"/>
    <n v="0.15943308478385265"/>
    <n v="2.5166854336785223"/>
    <n v="441.9041045709418"/>
    <n v="347.2108844050091"/>
    <x v="9"/>
  </r>
  <r>
    <s v="SALE1913"/>
    <d v="2024-04-30T00:00:00"/>
    <s v="CUST1497"/>
    <s v="PROD6"/>
    <s v="STORE16"/>
    <n v="2.5156442318786301"/>
    <n v="444.05226484126803"/>
    <n v="0.159152458854384"/>
    <s v="COD"/>
    <n v="941.95674858177301"/>
    <n v="37484.308302095589"/>
    <n v="40"/>
    <x v="502"/>
    <n v="0.15943646581914747"/>
    <n v="2.516697978278521"/>
    <n v="441.87822312190173"/>
    <n v="347.17095252844354"/>
    <x v="10"/>
  </r>
  <r>
    <s v="SALE1914"/>
    <d v="2024-02-27T00:00:00"/>
    <s v="CUST1113"/>
    <s v="PROD59"/>
    <s v="STORE8"/>
    <n v="2.5156693210786298"/>
    <n v="444.000501943188"/>
    <n v="0.159159220924974"/>
    <s v="Credit Card"/>
    <n v="941.848752122321"/>
    <n v="37484.308302095589"/>
    <n v="40"/>
    <x v="209"/>
    <n v="0.15943984685444226"/>
    <n v="2.5167105228785198"/>
    <n v="441.85234167286166"/>
    <n v="347.13102065187815"/>
    <x v="6"/>
  </r>
  <r>
    <s v="SALE1915"/>
    <d v="2024-07-13T00:00:00"/>
    <s v="CUST1357"/>
    <s v="PROD88"/>
    <s v="STORE6"/>
    <n v="2.5156944102786301"/>
    <n v="443.94873904510803"/>
    <n v="0.159165982995563"/>
    <s v="PayPal"/>
    <n v="941.74075566286899"/>
    <n v="36542.459549973268"/>
    <n v="39"/>
    <x v="40"/>
    <n v="0.15944322788973705"/>
    <n v="2.5167230674785181"/>
    <n v="441.82646022382158"/>
    <n v="347.09108877531281"/>
    <x v="0"/>
  </r>
  <r>
    <s v="SALE1916"/>
    <d v="2025-04-14T00:00:00"/>
    <s v="CUST1187"/>
    <s v="PROD36"/>
    <s v="STORE8"/>
    <n v="2.5157194994786201"/>
    <n v="443.896976147028"/>
    <n v="0.159172745066153"/>
    <s v="Credit Card"/>
    <n v="941.632759203418"/>
    <n v="36542.459549973268"/>
    <n v="39"/>
    <x v="533"/>
    <n v="0.15944660892503187"/>
    <n v="2.5167356120785169"/>
    <n v="441.80057877478157"/>
    <n v="347.05115689874771"/>
    <x v="10"/>
  </r>
  <r>
    <s v="SALE1917"/>
    <d v="2024-12-13T00:00:00"/>
    <s v="CUST1430"/>
    <s v="PROD78"/>
    <s v="STORE14"/>
    <n v="2.5157445886786198"/>
    <n v="443.84521324894803"/>
    <n v="0.159179507136742"/>
    <s v="Credit Card"/>
    <n v="941.52476274396599"/>
    <n v="35600.826790769854"/>
    <n v="38"/>
    <x v="236"/>
    <n v="0.15944998996032667"/>
    <n v="2.5167481566785161"/>
    <n v="441.77469732574139"/>
    <n v="347.01122502218232"/>
    <x v="1"/>
  </r>
  <r>
    <s v="Sales_ID"/>
    <s v="Order_Date"/>
    <s v="Customer_ID"/>
    <s v="Product_ID"/>
    <s v="Store_ID"/>
    <s v="Quantity"/>
    <s v="Unit_Price"/>
    <s v="Discount"/>
    <s v="Payment_Type"/>
    <s v="Total_Amount"/>
    <s v="sumif "/>
    <s v="countif"/>
    <x v="534"/>
    <s v="average Discount"/>
    <s v="Quantity Avg"/>
    <s v="unit price average"/>
    <s v="mean"/>
    <x v="12"/>
  </r>
  <r>
    <s v="SALE1918"/>
    <d v="2024-07-07T00:00:00"/>
    <s v="CUST1409"/>
    <s v="PROD97"/>
    <s v="STORE3"/>
    <n v="2.51576967787862"/>
    <n v="443.793450350868"/>
    <n v="0.159186269207332"/>
    <s v="Credit Card"/>
    <n v="941.41676628451398"/>
    <n v="34659.302028025886"/>
    <n v="37"/>
    <x v="0"/>
    <n v="0.15945337099562146"/>
    <n v="2.5167607012785145"/>
    <n v="441.74881587670131"/>
    <n v="346.97129314561698"/>
    <x v="0"/>
  </r>
  <r>
    <s v="SALE1919"/>
    <d v="2023-12-25T00:00:00"/>
    <s v="CUST1467"/>
    <s v="PROD74"/>
    <s v="STORE17"/>
    <n v="2.5157947670786198"/>
    <n v="443.741687452787"/>
    <n v="0.159193031277922"/>
    <s v="PayPal"/>
    <n v="941.30876982506197"/>
    <n v="33717.885261741372"/>
    <n v="36"/>
    <x v="1"/>
    <n v="0.15945675203091628"/>
    <n v="2.5167732458785137"/>
    <n v="441.7229344276613"/>
    <n v="346.93136126905137"/>
    <x v="1"/>
  </r>
  <r>
    <s v="SALE1920"/>
    <d v="2024-06-03T00:00:00"/>
    <s v="CUST1056"/>
    <s v="PROD49"/>
    <s v="STORE8"/>
    <n v="2.5158198562786098"/>
    <n v="443.68992455470698"/>
    <n v="0.159199793348511"/>
    <s v="Credit Card"/>
    <n v="941.20077336561098"/>
    <n v="33717.885261741372"/>
    <n v="36"/>
    <x v="2"/>
    <n v="0.15946013306621107"/>
    <n v="2.516785790478512"/>
    <n v="441.69705297862117"/>
    <n v="346.89142939248626"/>
    <x v="2"/>
  </r>
  <r>
    <s v="SALE1921"/>
    <d v="2023-11-29T00:00:00"/>
    <s v="CUST1346"/>
    <s v="PROD76"/>
    <s v="STORE8"/>
    <n v="2.51584494547861"/>
    <n v="443.63816165662701"/>
    <n v="0.159206555419101"/>
    <s v="COD"/>
    <n v="941.09277690615897"/>
    <n v="32776.684488375759"/>
    <n v="35"/>
    <x v="3"/>
    <n v="0.15946351410150589"/>
    <n v="2.5167983350785108"/>
    <n v="441.67117152958122"/>
    <n v="346.85149751592093"/>
    <x v="3"/>
  </r>
  <r>
    <s v="SALE1922"/>
    <d v="2024-01-06T00:00:00"/>
    <s v="CUST1493"/>
    <s v="PROD59"/>
    <s v="STORE5"/>
    <n v="2.5158700346786098"/>
    <n v="443.58639875854698"/>
    <n v="0.15921331748969"/>
    <s v="Credit Card"/>
    <n v="940.98478044670696"/>
    <n v="32776.684488375759"/>
    <n v="35"/>
    <x v="4"/>
    <n v="0.15946689513680068"/>
    <n v="2.5168108796785096"/>
    <n v="441.64529008054114"/>
    <n v="346.81156563935554"/>
    <x v="4"/>
  </r>
  <r>
    <s v="SALE1923"/>
    <d v="2024-07-26T00:00:00"/>
    <s v="CUST1116"/>
    <s v="PROD15"/>
    <s v="STORE7"/>
    <n v="2.51589512387861"/>
    <n v="443.53463586046701"/>
    <n v="0.15922007956028"/>
    <s v="COD"/>
    <n v="940.87678398725495"/>
    <n v="31835.699707929052"/>
    <n v="34"/>
    <x v="5"/>
    <n v="0.15947027617209547"/>
    <n v="2.5168234242785079"/>
    <n v="441.61940863150096"/>
    <n v="346.7716337627902"/>
    <x v="0"/>
  </r>
  <r>
    <s v="SALE1924"/>
    <d v="2025-07-12T00:00:00"/>
    <s v="CUST1016"/>
    <s v="PROD56"/>
    <s v="STORE4"/>
    <n v="2.5159202130786"/>
    <n v="443.48287296238698"/>
    <n v="0.15922684163087"/>
    <s v="PayPal"/>
    <n v="940.76878752780397"/>
    <n v="31835.699707929052"/>
    <n v="34"/>
    <x v="6"/>
    <n v="0.15947365720739029"/>
    <n v="2.5168359688785062"/>
    <n v="441.59352718246083"/>
    <n v="346.7317018862251"/>
    <x v="0"/>
  </r>
  <r>
    <s v="SALE1925"/>
    <d v="2023-11-18T00:00:00"/>
    <s v="CUST1152"/>
    <s v="PROD70"/>
    <s v="STORE8"/>
    <n v="2.5159453022785998"/>
    <n v="443.43111006430598"/>
    <n v="0.159233603701459"/>
    <s v="PayPal"/>
    <n v="940.66079106835195"/>
    <n v="31835.699707929052"/>
    <n v="34"/>
    <x v="7"/>
    <n v="0.15947703824268511"/>
    <n v="2.5168485134785055"/>
    <n v="441.56764573342076"/>
    <n v="346.69177000965954"/>
    <x v="3"/>
  </r>
  <r>
    <s v="SALE1926"/>
    <d v="2025-05-04T00:00:00"/>
    <s v="CUST1187"/>
    <s v="PROD99"/>
    <s v="STORE5"/>
    <n v="2.5159703914786"/>
    <n v="443.37934716622601"/>
    <n v="0.159240365772049"/>
    <s v="PayPal"/>
    <n v="940.55279460889994"/>
    <n v="31835.699707929052"/>
    <n v="34"/>
    <x v="8"/>
    <n v="0.15948041927797987"/>
    <n v="2.5168610580785038"/>
    <n v="441.54176428438075"/>
    <n v="346.65183813309415"/>
    <x v="5"/>
  </r>
  <r>
    <s v="SALE1927"/>
    <d v="2025-07-31T00:00:00"/>
    <s v="CUST1464"/>
    <s v="PROD33"/>
    <s v="STORE0"/>
    <n v="2.51599548067859"/>
    <n v="443.32758426814598"/>
    <n v="0.159247127842638"/>
    <s v="PayPal"/>
    <n v="940.44479814944805"/>
    <n v="31835.699707929052"/>
    <n v="34"/>
    <x v="9"/>
    <n v="0.15948380031327469"/>
    <n v="2.5168736026785026"/>
    <n v="441.51588283534068"/>
    <n v="346.61190625652881"/>
    <x v="0"/>
  </r>
  <r>
    <s v="SALE1928"/>
    <d v="2024-02-13T00:00:00"/>
    <s v="CUST1065"/>
    <s v="PROD24"/>
    <s v="STORE14"/>
    <n v="2.5160205698785898"/>
    <n v="443.27582137006601"/>
    <n v="0.159253889913228"/>
    <s v="Credit Card"/>
    <n v="940.33680168999695"/>
    <n v="31835.699707929052"/>
    <n v="34"/>
    <x v="10"/>
    <n v="0.15948718134856948"/>
    <n v="2.5168861472785018"/>
    <n v="441.49000138630055"/>
    <n v="346.57197437996371"/>
    <x v="6"/>
  </r>
  <r>
    <s v="SALE1929"/>
    <d v="2025-05-24T00:00:00"/>
    <s v="CUST1320"/>
    <s v="PROD39"/>
    <s v="STORE1"/>
    <n v="2.51604565907859"/>
    <n v="443.22405847198598"/>
    <n v="0.159260651983818"/>
    <s v="Credit Card"/>
    <n v="940.22880523054505"/>
    <n v="30895.362906239061"/>
    <n v="33"/>
    <x v="11"/>
    <n v="0.15949056238386433"/>
    <n v="2.5168986918785001"/>
    <n v="441.46411993726059"/>
    <n v="346.53204250339837"/>
    <x v="5"/>
  </r>
  <r>
    <s v="SALE1930"/>
    <d v="2024-08-24T00:00:00"/>
    <s v="CUST1237"/>
    <s v="PROD88"/>
    <s v="STORE4"/>
    <n v="2.5160707482785898"/>
    <n v="443.17229557390601"/>
    <n v="0.159267414054407"/>
    <s v="Credit Card"/>
    <n v="940.12080877109304"/>
    <n v="29955.134101008516"/>
    <n v="32"/>
    <x v="12"/>
    <n v="0.1594939434191591"/>
    <n v="2.5169112364784989"/>
    <n v="441.43823848822046"/>
    <n v="346.49211062683298"/>
    <x v="7"/>
  </r>
  <r>
    <s v="SALE1931"/>
    <d v="2025-08-06T00:00:00"/>
    <s v="CUST1443"/>
    <s v="PROD34"/>
    <s v="STORE16"/>
    <n v="2.5160958374785798"/>
    <n v="443.12053267582502"/>
    <n v="0.159274176124997"/>
    <s v="PayPal"/>
    <n v="940.01281231164205"/>
    <n v="29015.013292237425"/>
    <n v="31"/>
    <x v="13"/>
    <n v="0.15949732445445391"/>
    <n v="2.5169237810784977"/>
    <n v="441.41235703918039"/>
    <n v="346.45217875026765"/>
    <x v="7"/>
  </r>
  <r>
    <s v="SALE1932"/>
    <d v="2025-06-21T00:00:00"/>
    <s v="CUST1348"/>
    <s v="PROD24"/>
    <s v="STORE15"/>
    <n v="2.51612092667858"/>
    <n v="443.06876977774499"/>
    <n v="0.159280938195586"/>
    <s v="PayPal"/>
    <n v="939.90481585219004"/>
    <n v="29015.013292237425"/>
    <n v="31"/>
    <x v="14"/>
    <n v="0.15950070548974871"/>
    <n v="2.516936325678496"/>
    <n v="441.38647559014032"/>
    <n v="346.41224687370232"/>
    <x v="2"/>
  </r>
  <r>
    <s v="SALE1933"/>
    <d v="2024-12-10T00:00:00"/>
    <s v="CUST1435"/>
    <s v="PROD36"/>
    <s v="STORE9"/>
    <n v="2.5161460158785798"/>
    <n v="443.01700687966502"/>
    <n v="0.159287700266176"/>
    <s v="COD"/>
    <n v="939.79681939273803"/>
    <n v="29015.013292237425"/>
    <n v="31"/>
    <x v="15"/>
    <n v="0.15950408652504353"/>
    <n v="2.5169488702784948"/>
    <n v="441.36059414110019"/>
    <n v="346.37231499713698"/>
    <x v="1"/>
  </r>
  <r>
    <s v="SALE1934"/>
    <d v="2025-09-13T00:00:00"/>
    <s v="CUST1276"/>
    <s v="PROD65"/>
    <s v="STORE19"/>
    <n v="2.51617110507858"/>
    <n v="442.96524398158499"/>
    <n v="0.159294462336766"/>
    <s v="Credit Card"/>
    <n v="939.68882293328602"/>
    <n v="29015.013292237425"/>
    <n v="31"/>
    <x v="16"/>
    <n v="0.15950746756033832"/>
    <n v="2.5169614148784936"/>
    <n v="441.33471269206012"/>
    <n v="346.33238312057159"/>
    <x v="8"/>
  </r>
  <r>
    <s v="SALE1935"/>
    <d v="2024-12-11T00:00:00"/>
    <s v="CUST1079"/>
    <s v="PROD27"/>
    <s v="STORE4"/>
    <n v="2.51619619427857"/>
    <n v="442.91348108350502"/>
    <n v="0.159301224407355"/>
    <s v="Credit Card"/>
    <n v="939.58082647383503"/>
    <n v="28075.324469304138"/>
    <n v="30"/>
    <x v="17"/>
    <n v="0.15951084859563314"/>
    <n v="2.5169739594784928"/>
    <n v="441.30883124302005"/>
    <n v="346.29245124400649"/>
    <x v="1"/>
  </r>
  <r>
    <s v="SALE1936"/>
    <d v="2024-08-13T00:00:00"/>
    <s v="CUST1094"/>
    <s v="PROD39"/>
    <s v="STORE4"/>
    <n v="2.5162212834785702"/>
    <n v="442.86171818542499"/>
    <n v="0.159307986477945"/>
    <s v="COD"/>
    <n v="939.47283001438302"/>
    <n v="27135.743642830301"/>
    <n v="29"/>
    <x v="18"/>
    <n v="0.15951422963092796"/>
    <n v="2.5169865040784916"/>
    <n v="441.28294979398004"/>
    <n v="346.2525193674411"/>
    <x v="7"/>
  </r>
  <r>
    <s v="SALE1937"/>
    <d v="2024-03-18T00:00:00"/>
    <s v="CUST1239"/>
    <s v="PROD60"/>
    <s v="STORE13"/>
    <n v="2.51624637267857"/>
    <n v="442.80995528734502"/>
    <n v="0.159314748548535"/>
    <s v="COD"/>
    <n v="939.36483355493101"/>
    <n v="27135.743642830301"/>
    <n v="29"/>
    <x v="19"/>
    <n v="0.15951761066622275"/>
    <n v="2.5169990486784899"/>
    <n v="441.25706834493991"/>
    <n v="346.21258749087576"/>
    <x v="9"/>
  </r>
  <r>
    <s v="SALE1938"/>
    <d v="2025-07-05T00:00:00"/>
    <s v="CUST1144"/>
    <s v="PROD72"/>
    <s v="STORE17"/>
    <n v="2.5162714618785702"/>
    <n v="442.75819238926499"/>
    <n v="0.159321510619124"/>
    <s v="COD"/>
    <n v="939.256837095479"/>
    <n v="27135.743642830301"/>
    <n v="29"/>
    <x v="20"/>
    <n v="0.15952099170151754"/>
    <n v="2.5170115932784887"/>
    <n v="441.23118689589978"/>
    <n v="346.17265561431043"/>
    <x v="0"/>
  </r>
  <r>
    <s v="SALE1939"/>
    <d v="2024-06-04T00:00:00"/>
    <s v="CUST1396"/>
    <s v="PROD43"/>
    <s v="STORE18"/>
    <n v="2.5162965510785602"/>
    <n v="442.706429491184"/>
    <n v="0.159328272689714"/>
    <s v="Credit Card"/>
    <n v="939.14884063602801"/>
    <n v="27135.743642830301"/>
    <n v="29"/>
    <x v="21"/>
    <n v="0.15952437273681233"/>
    <n v="2.517024137878487"/>
    <n v="441.20530544685971"/>
    <n v="346.1327237377451"/>
    <x v="2"/>
  </r>
  <r>
    <s v="SALE1940"/>
    <d v="2024-04-12T00:00:00"/>
    <s v="CUST1476"/>
    <s v="PROD69"/>
    <s v="STORE10"/>
    <n v="2.51632164027856"/>
    <n v="442.65466659310403"/>
    <n v="0.159335034760303"/>
    <s v="PayPal"/>
    <n v="939.040844176576"/>
    <n v="26196.594802194279"/>
    <n v="28"/>
    <x v="22"/>
    <n v="0.15952775377210712"/>
    <n v="2.5170366824784858"/>
    <n v="441.17942399781964"/>
    <n v="346.09279186117971"/>
    <x v="10"/>
  </r>
  <r>
    <s v="SALE1941"/>
    <d v="2024-06-23T00:00:00"/>
    <s v="CUST1368"/>
    <s v="PROD12"/>
    <s v="STORE8"/>
    <n v="2.5163467294785602"/>
    <n v="442.602903695024"/>
    <n v="0.159341796830893"/>
    <s v="Credit Card"/>
    <n v="938.93284771712399"/>
    <n v="26196.594802194279"/>
    <n v="28"/>
    <x v="23"/>
    <n v="0.15953113480740194"/>
    <n v="2.5170492270784846"/>
    <n v="441.15354254877963"/>
    <n v="346.05285998461437"/>
    <x v="2"/>
  </r>
  <r>
    <s v="SALE1942"/>
    <d v="2025-09-08T00:00:00"/>
    <s v="CUST1186"/>
    <s v="PROD67"/>
    <s v="STORE6"/>
    <n v="2.51637181867856"/>
    <n v="442.55114079694403"/>
    <n v="0.159348558901483"/>
    <s v="Credit Card"/>
    <n v="938.82485125767198"/>
    <n v="25257.661954477157"/>
    <n v="27"/>
    <x v="24"/>
    <n v="0.15953451584269676"/>
    <n v="2.5170617716784833"/>
    <n v="441.12766109973944"/>
    <n v="346.01292810804898"/>
    <x v="8"/>
  </r>
  <r>
    <s v="SALE1943"/>
    <d v="2024-09-17T00:00:00"/>
    <s v="CUST1381"/>
    <s v="PROD5"/>
    <s v="STORE3"/>
    <n v="2.51639690787855"/>
    <n v="442.499377898864"/>
    <n v="0.159355320972072"/>
    <s v="PayPal"/>
    <n v="938.71685479822099"/>
    <n v="24318.837103219485"/>
    <n v="26"/>
    <x v="25"/>
    <n v="0.15953789687799153"/>
    <n v="2.5170743162784821"/>
    <n v="441.10177965069948"/>
    <n v="345.97299623148388"/>
    <x v="8"/>
  </r>
  <r>
    <s v="SALE1944"/>
    <d v="2024-01-03T00:00:00"/>
    <s v="CUST1213"/>
    <s v="PROD98"/>
    <s v="STORE8"/>
    <n v="2.5164219970785502"/>
    <n v="442.44761500078403"/>
    <n v="0.159362083042662"/>
    <s v="Credit Card"/>
    <n v="938.60885833876898"/>
    <n v="24318.837103219485"/>
    <n v="26"/>
    <x v="26"/>
    <n v="0.15954127791328632"/>
    <n v="2.5170868608784809"/>
    <n v="441.07589820165936"/>
    <n v="345.93306435491854"/>
    <x v="4"/>
  </r>
  <r>
    <s v="SALE1945"/>
    <d v="2025-02-22T00:00:00"/>
    <s v="CUST1200"/>
    <s v="PROD77"/>
    <s v="STORE8"/>
    <n v="2.51644708627855"/>
    <n v="442.39585210270297"/>
    <n v="0.159368845113251"/>
    <s v="Credit Card"/>
    <n v="938.50086187931697"/>
    <n v="23380.228244880713"/>
    <n v="25"/>
    <x v="27"/>
    <n v="0.15954465894858116"/>
    <n v="2.5170994054784797"/>
    <n v="441.05001675261929"/>
    <n v="345.89313247835292"/>
    <x v="6"/>
  </r>
  <r>
    <s v="SALE1946"/>
    <d v="2025-09-23T00:00:00"/>
    <s v="CUST1148"/>
    <s v="PROD13"/>
    <s v="STORE2"/>
    <n v="2.5164721754785502"/>
    <n v="442.344089204623"/>
    <n v="0.159375607183841"/>
    <s v="PayPal"/>
    <n v="938.39286541986598"/>
    <n v="22441.727383001395"/>
    <n v="24"/>
    <x v="28"/>
    <n v="0.15954803998387596"/>
    <n v="2.5171119500784789"/>
    <n v="441.02413530357927"/>
    <n v="345.85320060178788"/>
    <x v="8"/>
  </r>
  <r>
    <s v="SALE1947"/>
    <d v="2024-01-11T00:00:00"/>
    <s v="CUST1348"/>
    <s v="PROD99"/>
    <s v="STORE3"/>
    <n v="2.5164972646785402"/>
    <n v="442.29232630654298"/>
    <n v="0.159382369254431"/>
    <s v="Credit Card"/>
    <n v="938.28486896041397"/>
    <n v="22441.727383001395"/>
    <n v="24"/>
    <x v="29"/>
    <n v="0.15955142101917075"/>
    <n v="2.5171244946784772"/>
    <n v="440.99825385453909"/>
    <n v="345.81326872522249"/>
    <x v="4"/>
  </r>
  <r>
    <s v="SALE1948"/>
    <d v="2023-10-18T00:00:00"/>
    <s v="CUST1028"/>
    <s v="PROD5"/>
    <s v="STORE19"/>
    <n v="2.51652235387854"/>
    <n v="442.240563408463"/>
    <n v="0.15938913132502"/>
    <s v="PayPal"/>
    <n v="938.17687250096196"/>
    <n v="21503.44251404098"/>
    <n v="23"/>
    <x v="30"/>
    <n v="0.15955480205446554"/>
    <n v="2.5171370392784755"/>
    <n v="440.97237240549913"/>
    <n v="345.77333684865715"/>
    <x v="11"/>
  </r>
  <r>
    <s v="SALE1949"/>
    <d v="2024-10-28T00:00:00"/>
    <s v="CUST1412"/>
    <s v="PROD53"/>
    <s v="STORE12"/>
    <n v="2.5165474430785402"/>
    <n v="442.18880051038298"/>
    <n v="0.15939589339561"/>
    <s v="COD"/>
    <n v="938.06887604150995"/>
    <n v="21503.44251404098"/>
    <n v="23"/>
    <x v="31"/>
    <n v="0.15955818308976036"/>
    <n v="2.5171495838784743"/>
    <n v="440.946490956459"/>
    <n v="345.73340497209176"/>
    <x v="11"/>
  </r>
  <r>
    <s v="SALE1950"/>
    <d v="2024-11-01T00:00:00"/>
    <s v="CUST1398"/>
    <s v="PROD75"/>
    <s v="STORE8"/>
    <n v="2.5165725322785302"/>
    <n v="442.137037612303"/>
    <n v="0.159402655466199"/>
    <s v="Credit Card"/>
    <n v="937.96087958205896"/>
    <n v="21503.44251404098"/>
    <n v="23"/>
    <x v="32"/>
    <n v="0.15956156412505512"/>
    <n v="2.5171621284784726"/>
    <n v="440.92060950741893"/>
    <n v="345.69347309552666"/>
    <x v="3"/>
  </r>
  <r>
    <s v="SALE1951"/>
    <d v="2024-11-24T00:00:00"/>
    <s v="CUST1453"/>
    <s v="PROD12"/>
    <s v="STORE6"/>
    <n v="2.5165976214785299"/>
    <n v="442.08527471422201"/>
    <n v="0.159409417536789"/>
    <s v="Credit Card"/>
    <n v="937.85288312260695"/>
    <n v="20565.48163445892"/>
    <n v="22"/>
    <x v="33"/>
    <n v="0.15956494516034997"/>
    <n v="2.5171746730784714"/>
    <n v="440.89472805837886"/>
    <n v="345.6535412189611"/>
    <x v="3"/>
  </r>
  <r>
    <s v="SALE1952"/>
    <d v="2023-10-16T00:00:00"/>
    <s v="CUST1344"/>
    <s v="PROD79"/>
    <s v="STORE1"/>
    <n v="2.5166227106785302"/>
    <n v="442.03351181614198"/>
    <n v="0.159416179607379"/>
    <s v="Credit Card"/>
    <n v="937.74488666315494"/>
    <n v="19627.62875133631"/>
    <n v="21"/>
    <x v="34"/>
    <n v="0.15956832619564479"/>
    <n v="2.5171872176784702"/>
    <n v="440.86884660933868"/>
    <n v="345.6136093423957"/>
    <x v="11"/>
  </r>
  <r>
    <s v="SALE1953"/>
    <d v="2025-08-09T00:00:00"/>
    <s v="CUST1218"/>
    <s v="PROD16"/>
    <s v="STORE3"/>
    <n v="2.5166477998785299"/>
    <n v="441.98174891806201"/>
    <n v="0.159422941677968"/>
    <s v="COD"/>
    <n v="937.63689020370305"/>
    <n v="18689.883864673156"/>
    <n v="20"/>
    <x v="35"/>
    <n v="0.15957170723093955"/>
    <n v="2.517199762278469"/>
    <n v="440.84296516029872"/>
    <n v="345.57367746583037"/>
    <x v="7"/>
  </r>
  <r>
    <s v="SALE1954"/>
    <d v="2024-12-09T00:00:00"/>
    <s v="CUST1086"/>
    <s v="PROD5"/>
    <s v="STORE7"/>
    <n v="2.5166728890785199"/>
    <n v="441.92998601998198"/>
    <n v="0.159429703748558"/>
    <s v="PayPal"/>
    <n v="937.52889374425195"/>
    <n v="18689.883864673156"/>
    <n v="20"/>
    <x v="36"/>
    <n v="0.15957508826623434"/>
    <n v="2.5172123068784682"/>
    <n v="440.81708371125859"/>
    <n v="345.53374558926527"/>
    <x v="1"/>
  </r>
  <r>
    <s v="SALE1955"/>
    <d v="2024-02-07T00:00:00"/>
    <s v="CUST1492"/>
    <s v="PROD10"/>
    <s v="STORE17"/>
    <n v="2.5166979782785202"/>
    <n v="441.87822312190201"/>
    <n v="0.159436465819147"/>
    <s v="PayPal"/>
    <n v="937.42089728480005"/>
    <n v="18689.883864673156"/>
    <n v="20"/>
    <x v="37"/>
    <n v="0.15957846930152916"/>
    <n v="2.517224851478467"/>
    <n v="440.79120226221852"/>
    <n v="345.49381371269993"/>
    <x v="6"/>
  </r>
  <r>
    <s v="SALE1956"/>
    <d v="2024-03-27T00:00:00"/>
    <s v="CUST1189"/>
    <s v="PROD33"/>
    <s v="STORE13"/>
    <n v="2.5167230674785199"/>
    <n v="441.82646022382198"/>
    <n v="0.159443227889737"/>
    <s v="COD"/>
    <n v="937.31290082534804"/>
    <n v="18689.883864673156"/>
    <n v="20"/>
    <x v="38"/>
    <n v="0.15958185033682398"/>
    <n v="2.5172373960784653"/>
    <n v="440.76532081317845"/>
    <n v="345.45388183613454"/>
    <x v="9"/>
  </r>
  <r>
    <s v="SALE1957"/>
    <d v="2023-12-04T00:00:00"/>
    <s v="CUST1431"/>
    <s v="PROD94"/>
    <s v="STORE3"/>
    <n v="2.5167481566785201"/>
    <n v="441.77469732574201"/>
    <n v="0.159449989960327"/>
    <s v="Credit Card"/>
    <n v="937.20490436589603"/>
    <n v="18689.883864673156"/>
    <n v="20"/>
    <x v="39"/>
    <n v="0.1595852313721188"/>
    <n v="2.5172499406784641"/>
    <n v="440.73943936413838"/>
    <n v="345.41394995956921"/>
    <x v="1"/>
  </r>
  <r>
    <s v="SALE1958"/>
    <d v="2024-07-13T00:00:00"/>
    <s v="CUST1072"/>
    <s v="PROD26"/>
    <s v="STORE19"/>
    <n v="2.5167732458785101"/>
    <n v="441.72293442766102"/>
    <n v="0.159456752030916"/>
    <s v="COD"/>
    <n v="937.09690790644504"/>
    <n v="17752.678960307261"/>
    <n v="19"/>
    <x v="40"/>
    <n v="0.15958861240741359"/>
    <n v="2.5172624852784629"/>
    <n v="440.71355791509831"/>
    <n v="345.37401808300388"/>
    <x v="0"/>
  </r>
  <r>
    <s v="SALE1959"/>
    <d v="2023-11-11T00:00:00"/>
    <s v="CUST1302"/>
    <s v="PROD23"/>
    <s v="STORE8"/>
    <n v="2.5167983350785099"/>
    <n v="441.67117152958099"/>
    <n v="0.159463514101506"/>
    <s v="PayPal"/>
    <n v="936.98891144699303"/>
    <n v="17752.678960307261"/>
    <n v="19"/>
    <x v="41"/>
    <n v="0.15959199344270841"/>
    <n v="2.5172750298784616"/>
    <n v="440.68767646605818"/>
    <n v="345.33408620643854"/>
    <x v="3"/>
  </r>
  <r>
    <s v="SALE1960"/>
    <d v="2024-12-23T00:00:00"/>
    <s v="CUST1335"/>
    <s v="PROD29"/>
    <s v="STORE9"/>
    <n v="2.5168234242785101"/>
    <n v="441.61940863150102"/>
    <n v="0.159470276172095"/>
    <s v="PayPal"/>
    <n v="936.88091498754102"/>
    <n v="17752.678960307261"/>
    <n v="19"/>
    <x v="42"/>
    <n v="0.1595953744780032"/>
    <n v="2.5172875744784604"/>
    <n v="440.66179501701805"/>
    <n v="345.29415432987315"/>
    <x v="1"/>
  </r>
  <r>
    <s v="SALE1961"/>
    <d v="2025-01-20T00:00:00"/>
    <s v="CUST1084"/>
    <s v="PROD33"/>
    <s v="STORE17"/>
    <n v="2.5168485134785099"/>
    <n v="441.56764573342099"/>
    <n v="0.159477038242685"/>
    <s v="PayPal"/>
    <n v="936.77291852809003"/>
    <n v="17752.678960307261"/>
    <n v="19"/>
    <x v="43"/>
    <n v="0.15959875551329802"/>
    <n v="2.5173001190784592"/>
    <n v="440.63591356797809"/>
    <n v="345.25422245330805"/>
    <x v="4"/>
  </r>
  <r>
    <s v="SALE1962"/>
    <d v="2024-09-03T00:00:00"/>
    <s v="CUST1203"/>
    <s v="PROD43"/>
    <s v="STORE12"/>
    <n v="2.5168736026784999"/>
    <n v="441.51588283534102"/>
    <n v="0.159483800313275"/>
    <s v="COD"/>
    <n v="936.66492206863802"/>
    <n v="17752.678960307261"/>
    <n v="19"/>
    <x v="44"/>
    <n v="0.15960213654859282"/>
    <n v="2.5173126636784575"/>
    <n v="440.61003211893797"/>
    <n v="345.21429057674271"/>
    <x v="8"/>
  </r>
  <r>
    <s v="SALE1963"/>
    <d v="2024-11-10T00:00:00"/>
    <s v="CUST1470"/>
    <s v="PROD59"/>
    <s v="STORE8"/>
    <n v="2.5168986918785001"/>
    <n v="441.46411993726099"/>
    <n v="0.159490562383864"/>
    <s v="PayPal"/>
    <n v="936.55692560918601"/>
    <n v="17752.678960307261"/>
    <n v="19"/>
    <x v="45"/>
    <n v="0.15960551758388761"/>
    <n v="2.5173252082784563"/>
    <n v="440.58415066989784"/>
    <n v="345.17435870017732"/>
    <x v="3"/>
  </r>
  <r>
    <s v="SALE1964"/>
    <d v="2024-10-05T00:00:00"/>
    <s v="CUST1070"/>
    <s v="PROD78"/>
    <s v="STORE16"/>
    <n v="2.5169237810784999"/>
    <n v="441.41235703917999"/>
    <n v="0.159497324454454"/>
    <s v="PayPal"/>
    <n v="936.448929149734"/>
    <n v="17752.678960307261"/>
    <n v="19"/>
    <x v="46"/>
    <n v="0.15960889861918243"/>
    <n v="2.5173377528784551"/>
    <n v="440.55826922085777"/>
    <n v="345.13442682361176"/>
    <x v="11"/>
  </r>
  <r>
    <s v="SALE1965"/>
    <d v="2024-06-23T00:00:00"/>
    <s v="CUST1008"/>
    <s v="PROD30"/>
    <s v="STORE11"/>
    <n v="2.5169488702785001"/>
    <n v="441.36059414110002"/>
    <n v="0.159504086525043"/>
    <s v="PayPal"/>
    <n v="936.34093269028301"/>
    <n v="17752.678960307261"/>
    <n v="19"/>
    <x v="23"/>
    <n v="0.15961227965447722"/>
    <n v="2.5173502974784534"/>
    <n v="440.53238777181764"/>
    <n v="345.09449494704666"/>
    <x v="2"/>
  </r>
  <r>
    <s v="SALE1966"/>
    <d v="2023-10-19T00:00:00"/>
    <s v="CUST1203"/>
    <s v="PROD44"/>
    <s v="STORE17"/>
    <n v="2.5169739594784901"/>
    <n v="441.30883124301999"/>
    <n v="0.159510848595633"/>
    <s v="Credit Card"/>
    <n v="936.232936230831"/>
    <n v="17752.678960307261"/>
    <n v="19"/>
    <x v="47"/>
    <n v="0.15961566068977204"/>
    <n v="2.5173628420784522"/>
    <n v="440.50650632277757"/>
    <n v="345.05456307048127"/>
    <x v="11"/>
  </r>
  <r>
    <s v="SALE1967"/>
    <d v="2024-11-11T00:00:00"/>
    <s v="CUST1420"/>
    <s v="PROD21"/>
    <s v="STORE16"/>
    <n v="2.5169990486784899"/>
    <n v="441.25706834494002"/>
    <n v="0.159517610666223"/>
    <s v="COD"/>
    <n v="936.12493977137899"/>
    <n v="16816.446024076431"/>
    <n v="18"/>
    <x v="48"/>
    <n v="0.15961904172506686"/>
    <n v="2.517375386678451"/>
    <n v="440.4806248737375"/>
    <n v="345.01463119391593"/>
    <x v="3"/>
  </r>
  <r>
    <s v="SALE1968"/>
    <d v="2023-12-31T00:00:00"/>
    <s v="CUST1070"/>
    <s v="PROD52"/>
    <s v="STORE9"/>
    <n v="2.5170241378784901"/>
    <n v="441.20530544686"/>
    <n v="0.159524372736812"/>
    <s v="PayPal"/>
    <n v="936.01694331192698"/>
    <n v="16816.446024076431"/>
    <n v="18"/>
    <x v="49"/>
    <n v="0.15962242276036168"/>
    <n v="2.5173879312784493"/>
    <n v="440.45474342469737"/>
    <n v="344.97469931735054"/>
    <x v="1"/>
  </r>
  <r>
    <s v="SALE1969"/>
    <d v="2025-02-01T00:00:00"/>
    <s v="CUST1142"/>
    <s v="PROD69"/>
    <s v="STORE7"/>
    <n v="2.5170492270784801"/>
    <n v="441.15354254878002"/>
    <n v="0.159531134807402"/>
    <s v="Credit Card"/>
    <n v="935.90894685247599"/>
    <n v="16816.446024076431"/>
    <n v="18"/>
    <x v="50"/>
    <n v="0.1596258037956565"/>
    <n v="2.5174004758784481"/>
    <n v="440.4288619756573"/>
    <n v="344.93476744078549"/>
    <x v="6"/>
  </r>
  <r>
    <s v="SALE1970"/>
    <d v="2025-08-25T00:00:00"/>
    <s v="CUST1148"/>
    <s v="PROD89"/>
    <s v="STORE6"/>
    <n v="2.5170743162784799"/>
    <n v="441.10177965069897"/>
    <n v="0.159537896877992"/>
    <s v="Credit Card"/>
    <n v="935.80095039302398"/>
    <n v="15880.537077223953"/>
    <n v="17"/>
    <x v="51"/>
    <n v="0.15962918483095129"/>
    <n v="2.5174130204784468"/>
    <n v="440.40298052661728"/>
    <n v="344.89483556421987"/>
    <x v="7"/>
  </r>
  <r>
    <s v="SALE1971"/>
    <d v="2025-01-20T00:00:00"/>
    <s v="CUST1324"/>
    <s v="PROD20"/>
    <s v="STORE8"/>
    <n v="2.5170994054784801"/>
    <n v="441.050016752619"/>
    <n v="0.159544658948581"/>
    <s v="COD"/>
    <n v="935.69295393357197"/>
    <n v="14944.736126830927"/>
    <n v="16"/>
    <x v="43"/>
    <n v="0.15963256586624605"/>
    <n v="2.5174255650784456"/>
    <n v="440.37709907757716"/>
    <n v="344.85490368765448"/>
    <x v="4"/>
  </r>
  <r>
    <s v="SALE1972"/>
    <d v="2025-02-18T00:00:00"/>
    <s v="CUST1095"/>
    <s v="PROD40"/>
    <s v="STORE10"/>
    <n v="2.5171244946784799"/>
    <n v="440.99825385453897"/>
    <n v="0.159551421019171"/>
    <s v="Credit Card"/>
    <n v="935.58495747411996"/>
    <n v="14944.736126830927"/>
    <n v="16"/>
    <x v="52"/>
    <n v="0.1596359469015409"/>
    <n v="2.5174381096784444"/>
    <n v="440.35121762853709"/>
    <n v="344.81497181108915"/>
    <x v="6"/>
  </r>
  <r>
    <s v="SALE1973"/>
    <d v="2024-10-24T00:00:00"/>
    <s v="CUST1416"/>
    <s v="PROD49"/>
    <s v="STORE11"/>
    <n v="2.5171495838784699"/>
    <n v="440.946490956459"/>
    <n v="0.15955818308976"/>
    <s v="COD"/>
    <n v="935.47696101466897"/>
    <n v="14009.151169356808"/>
    <n v="15"/>
    <x v="53"/>
    <n v="0.15963932793683569"/>
    <n v="2.5174506542784436"/>
    <n v="440.32533617949707"/>
    <n v="344.77503993452405"/>
    <x v="11"/>
  </r>
  <r>
    <s v="SALE1974"/>
    <d v="2023-12-22T00:00:00"/>
    <s v="CUST1080"/>
    <s v="PROD34"/>
    <s v="STORE6"/>
    <n v="2.5171746730784701"/>
    <n v="440.89472805837897"/>
    <n v="0.15956494516035"/>
    <s v="PayPal"/>
    <n v="935.36896455521696"/>
    <n v="14009.151169356808"/>
    <n v="15"/>
    <x v="54"/>
    <n v="0.15964270897213051"/>
    <n v="2.5174631988784424"/>
    <n v="440.299454730457"/>
    <n v="344.73510805795866"/>
    <x v="1"/>
  </r>
  <r>
    <s v="SALE1975"/>
    <d v="2024-06-19T00:00:00"/>
    <s v="CUST1467"/>
    <s v="PROD47"/>
    <s v="STORE14"/>
    <n v="2.5171997622784699"/>
    <n v="440.842965160299"/>
    <n v="0.15957170723094"/>
    <s v="Credit Card"/>
    <n v="935.26096809576495"/>
    <n v="14009.151169356808"/>
    <n v="15"/>
    <x v="55"/>
    <n v="0.1596460900074253"/>
    <n v="2.5174757434784412"/>
    <n v="440.27357328141699"/>
    <n v="344.69517618139332"/>
    <x v="2"/>
  </r>
  <r>
    <s v="SALE1976"/>
    <d v="2024-12-07T00:00:00"/>
    <s v="CUST1404"/>
    <s v="PROD15"/>
    <s v="STORE7"/>
    <n v="2.5172248514784701"/>
    <n v="440.79120226221801"/>
    <n v="0.159578469301529"/>
    <s v="PayPal"/>
    <n v="935.15297163631396"/>
    <n v="13073.890201261043"/>
    <n v="14"/>
    <x v="56"/>
    <n v="0.15964947104272006"/>
    <n v="2.5174882880784399"/>
    <n v="440.2476918323768"/>
    <n v="344.65524430482799"/>
    <x v="1"/>
  </r>
  <r>
    <s v="SALE1977"/>
    <d v="2023-11-27T00:00:00"/>
    <s v="CUST1367"/>
    <s v="PROD89"/>
    <s v="STORE11"/>
    <n v="2.5172499406784601"/>
    <n v="440.73943936413798"/>
    <n v="0.159585231372119"/>
    <s v="PayPal"/>
    <n v="935.04497517686195"/>
    <n v="13073.890201261043"/>
    <n v="14"/>
    <x v="57"/>
    <n v="0.15965285207801494"/>
    <n v="2.5175008326784383"/>
    <n v="440.22181038333667"/>
    <n v="344.61531242826265"/>
    <x v="3"/>
  </r>
  <r>
    <s v="SALE1978"/>
    <d v="2025-07-16T00:00:00"/>
    <s v="CUST1408"/>
    <s v="PROD31"/>
    <s v="STORE10"/>
    <n v="2.5172750298784599"/>
    <n v="440.68767646605801"/>
    <n v="0.159591993442708"/>
    <s v="COD"/>
    <n v="934.93697871741006"/>
    <n v="13073.890201261043"/>
    <n v="14"/>
    <x v="58"/>
    <n v="0.1596562331133097"/>
    <n v="2.517513377278437"/>
    <n v="440.1959289342966"/>
    <n v="344.57538055169732"/>
    <x v="0"/>
  </r>
  <r>
    <s v="SALE1979"/>
    <d v="2025-02-28T00:00:00"/>
    <s v="CUST1239"/>
    <s v="PROD19"/>
    <s v="STORE7"/>
    <n v="2.5173001190784601"/>
    <n v="440.63591356797798"/>
    <n v="0.159598755513298"/>
    <s v="PayPal"/>
    <n v="934.82898225795805"/>
    <n v="13073.890201261043"/>
    <n v="14"/>
    <x v="59"/>
    <n v="0.15965961414860455"/>
    <n v="2.5175259218784363"/>
    <n v="440.17004748525659"/>
    <n v="344.53544867513193"/>
    <x v="6"/>
  </r>
  <r>
    <s v="SALE1980"/>
    <d v="2024-08-11T00:00:00"/>
    <s v="CUST1464"/>
    <s v="PROD93"/>
    <s v="STORE16"/>
    <n v="2.5173252082784598"/>
    <n v="440.58415066989801"/>
    <n v="0.159605517583888"/>
    <s v="Credit Card"/>
    <n v="934.72098579850694"/>
    <n v="13073.890201261043"/>
    <n v="14"/>
    <x v="60"/>
    <n v="0.15966299518389931"/>
    <n v="2.5175384664784346"/>
    <n v="440.14416603621652"/>
    <n v="344.49551679856683"/>
    <x v="7"/>
  </r>
  <r>
    <s v="SALE1981"/>
    <d v="2025-09-27T00:00:00"/>
    <s v="CUST1126"/>
    <s v="PROD89"/>
    <s v="STORE12"/>
    <n v="2.5173502974784498"/>
    <n v="440.53238777181798"/>
    <n v="0.159612279654477"/>
    <s v="Credit Card"/>
    <n v="934.61298933905505"/>
    <n v="12139.169215462538"/>
    <n v="13"/>
    <x v="61"/>
    <n v="0.15966637621919411"/>
    <n v="2.5175510110784334"/>
    <n v="440.11828458717645"/>
    <n v="344.45558492200149"/>
    <x v="8"/>
  </r>
  <r>
    <s v="SALE1982"/>
    <d v="2025-09-14T00:00:00"/>
    <s v="CUST1255"/>
    <s v="PROD53"/>
    <s v="STORE10"/>
    <n v="2.5173753866784501"/>
    <n v="440.48062487373801"/>
    <n v="0.159619041725067"/>
    <s v="Credit Card"/>
    <n v="934.50499287960304"/>
    <n v="11204.556226123483"/>
    <n v="12"/>
    <x v="62"/>
    <n v="0.15966975725448895"/>
    <n v="2.5175635556784322"/>
    <n v="440.09240313813632"/>
    <n v="344.41565304543616"/>
    <x v="8"/>
  </r>
  <r>
    <s v="SALE1983"/>
    <d v="2023-12-30T00:00:00"/>
    <s v="CUST1162"/>
    <s v="PROD99"/>
    <s v="STORE17"/>
    <n v="2.5174004758784498"/>
    <n v="440.42886197565701"/>
    <n v="0.159625803795656"/>
    <s v="Credit Card"/>
    <n v="934.39699642015103"/>
    <n v="10270.051233243879"/>
    <n v="11"/>
    <x v="63"/>
    <n v="0.15967313828978374"/>
    <n v="2.5175761002784309"/>
    <n v="440.06652168909625"/>
    <n v="344.37572116887054"/>
    <x v="1"/>
  </r>
  <r>
    <s v="SALE1984"/>
    <d v="2023-10-14T00:00:00"/>
    <s v="CUST1269"/>
    <s v="PROD77"/>
    <s v="STORE2"/>
    <n v="2.5174255650784501"/>
    <n v="440.37709907757699"/>
    <n v="0.159632565866246"/>
    <s v="Credit Card"/>
    <n v="934.28899996070004"/>
    <n v="9335.6542368237297"/>
    <n v="10"/>
    <x v="64"/>
    <n v="0.15967651932507859"/>
    <n v="2.5175886448784297"/>
    <n v="440.04064024005618"/>
    <n v="344.33578929230544"/>
    <x v="11"/>
  </r>
  <r>
    <s v="SALE1985"/>
    <d v="2023-11-25T00:00:00"/>
    <s v="CUST1483"/>
    <s v="PROD12"/>
    <s v="STORE2"/>
    <n v="2.5174506542784401"/>
    <n v="440.32533617949701"/>
    <n v="0.159639327936836"/>
    <s v="PayPal"/>
    <n v="934.18100350124803"/>
    <n v="8401.3652368630283"/>
    <n v="9"/>
    <x v="65"/>
    <n v="0.15967990036037336"/>
    <n v="2.5176011894784276"/>
    <n v="440.01475879101611"/>
    <n v="344.2958574157401"/>
    <x v="3"/>
  </r>
  <r>
    <s v="SALE1986"/>
    <d v="2023-12-10T00:00:00"/>
    <s v="CUST1372"/>
    <s v="PROD72"/>
    <s v="STORE10"/>
    <n v="2.5174757434784398"/>
    <n v="440.27357328141699"/>
    <n v="0.159646090007425"/>
    <s v="Credit Card"/>
    <n v="934.07300704179602"/>
    <n v="8401.3652368630283"/>
    <n v="9"/>
    <x v="66"/>
    <n v="0.15968328139566818"/>
    <n v="2.5176137340784268"/>
    <n v="439.98887734197598"/>
    <n v="344.25592553917471"/>
    <x v="1"/>
  </r>
  <r>
    <s v="SALE1987"/>
    <d v="2025-08-28T00:00:00"/>
    <s v="CUST1423"/>
    <s v="PROD13"/>
    <s v="STORE16"/>
    <n v="2.51750083267844"/>
    <n v="440.22181038333702"/>
    <n v="0.159652852078015"/>
    <s v="Credit Card"/>
    <n v="933.96501058234401"/>
    <n v="7467.2922298212325"/>
    <n v="8"/>
    <x v="67"/>
    <n v="0.15968666243096299"/>
    <n v="2.5176262786784251"/>
    <n v="439.96299589293591"/>
    <n v="344.21599366260938"/>
    <x v="7"/>
  </r>
  <r>
    <s v="SALE1988"/>
    <d v="2025-07-11T00:00:00"/>
    <s v="CUST1058"/>
    <s v="PROD60"/>
    <s v="STORE5"/>
    <n v="2.5175259218784398"/>
    <n v="440.17004748525699"/>
    <n v="0.15965961414860499"/>
    <s v="COD"/>
    <n v="933.85701412289302"/>
    <n v="6533.3272192388886"/>
    <n v="7"/>
    <x v="68"/>
    <n v="0.15969004346625781"/>
    <n v="2.5176388232784239"/>
    <n v="439.93711444389572"/>
    <n v="344.17606178604427"/>
    <x v="0"/>
  </r>
  <r>
    <s v="SALE1989"/>
    <d v="2025-08-20T00:00:00"/>
    <s v="CUST1168"/>
    <s v="PROD72"/>
    <s v="STORE1"/>
    <n v="2.5175510110784298"/>
    <n v="440.11828458717599"/>
    <n v="0.159666376219194"/>
    <s v="Credit Card"/>
    <n v="933.74901766344101"/>
    <n v="6533.3272192388886"/>
    <n v="7"/>
    <x v="69"/>
    <n v="0.15969342450155255"/>
    <n v="2.5176513678784218"/>
    <n v="439.91123299485565"/>
    <n v="344.13612990947865"/>
    <x v="7"/>
  </r>
  <r>
    <s v="SALE1990"/>
    <d v="2024-08-29T00:00:00"/>
    <s v="CUST1409"/>
    <s v="PROD38"/>
    <s v="STORE5"/>
    <n v="2.51757610027843"/>
    <n v="440.06652168909602"/>
    <n v="0.15967313828978399"/>
    <s v="Credit Card"/>
    <n v="933.641021203989"/>
    <n v="5599.5782015754476"/>
    <n v="6"/>
    <x v="70"/>
    <n v="0.15969680553684737"/>
    <n v="2.517663912478421"/>
    <n v="439.88535154581558"/>
    <n v="344.09619803291332"/>
    <x v="7"/>
  </r>
  <r>
    <s v="SALE1991"/>
    <d v="2024-11-30T00:00:00"/>
    <s v="CUST1037"/>
    <s v="PROD45"/>
    <s v="STORE11"/>
    <n v="2.5176011894784298"/>
    <n v="440.01475879101599"/>
    <n v="0.15967990036037299"/>
    <s v="Credit Card"/>
    <n v="933.53302474453699"/>
    <n v="4665.9371803714594"/>
    <n v="5"/>
    <x v="71"/>
    <n v="0.15970018657214213"/>
    <n v="2.5176764570784198"/>
    <n v="439.85947009677557"/>
    <n v="344.05626615634793"/>
    <x v="3"/>
  </r>
  <r>
    <s v="SALE1992"/>
    <d v="2025-10-12T00:00:00"/>
    <s v="CUST1273"/>
    <s v="PROD20"/>
    <s v="STORE8"/>
    <n v="2.51762627867843"/>
    <n v="439.96299589293602"/>
    <n v="0.15968666243096299"/>
    <s v="COD"/>
    <n v="933.425028285086"/>
    <n v="3732.4041556269221"/>
    <n v="4"/>
    <x v="72"/>
    <n v="0.15970356760743701"/>
    <n v="2.5176890016784186"/>
    <n v="439.8335886477355"/>
    <n v="344.01633427978288"/>
    <x v="11"/>
  </r>
  <r>
    <s v="SALE1993"/>
    <d v="2024-07-27T00:00:00"/>
    <s v="CUST1035"/>
    <s v="PROD97"/>
    <s v="STORE12"/>
    <n v="2.51765136787842"/>
    <n v="439.91123299485599"/>
    <n v="0.15969342450155299"/>
    <s v="Credit Card"/>
    <n v="933.31703182563399"/>
    <n v="3732.4041556269221"/>
    <n v="4"/>
    <x v="73"/>
    <n v="0.1597069486427318"/>
    <n v="2.517701546278416"/>
    <n v="439.80770719869543"/>
    <n v="343.97640240321749"/>
    <x v="0"/>
  </r>
  <r>
    <s v="SALE1994"/>
    <d v="2023-12-25T00:00:00"/>
    <s v="CUST1019"/>
    <s v="PROD76"/>
    <s v="STORE10"/>
    <n v="2.5176764570784198"/>
    <n v="439.85947009677602"/>
    <n v="0.15970018657214199"/>
    <s v="Credit Card"/>
    <n v="933.20903536618198"/>
    <n v="2799.0871238012878"/>
    <n v="3"/>
    <x v="1"/>
    <n v="0.15971032967802648"/>
    <n v="2.5177140908784148"/>
    <n v="439.78182574965524"/>
    <n v="343.93647052665216"/>
    <x v="1"/>
  </r>
  <r>
    <s v="SALE1995"/>
    <d v="2025-05-23T00:00:00"/>
    <s v="CUST1007"/>
    <s v="PROD67"/>
    <s v="STORE15"/>
    <n v="2.51770154627842"/>
    <n v="439.80770719869503"/>
    <n v="0.15970694864273199"/>
    <s v="COD"/>
    <n v="933.10103890673099"/>
    <n v="1865.8780884351058"/>
    <n v="2"/>
    <x v="74"/>
    <n v="0.15971371071332133"/>
    <n v="2.5177266354784131"/>
    <n v="439.755944300615"/>
    <n v="343.89653865008677"/>
    <x v="5"/>
  </r>
  <r>
    <s v="SALE1996"/>
    <d v="2024-11-13T00:00:00"/>
    <s v="CUST1221"/>
    <s v="PROD83"/>
    <s v="STORE8"/>
    <n v="2.51772663547841"/>
    <n v="439.755944300615"/>
    <n v="0.15971371071332099"/>
    <s v="Credit Card"/>
    <n v="932.99304244727898"/>
    <n v="1865.8780884351058"/>
    <n v="2"/>
    <x v="75"/>
    <n v="0.15971709174861598"/>
    <n v="2.5177391800784097"/>
    <n v="439.73006285157498"/>
    <n v="343.85660677352143"/>
    <x v="3"/>
  </r>
  <r>
    <s v="SALE1997"/>
    <d v="2023-12-08T00:00:00"/>
    <s v="CUST1115"/>
    <s v="PROD21"/>
    <s v="STORE2"/>
    <n v="2.5177517246784098"/>
    <n v="439.70418140253503"/>
    <n v="0.15972047278391099"/>
    <s v="Credit Card"/>
    <n v="932.88504598782697"/>
    <n v="932.88504598782697"/>
    <n v="1"/>
    <x v="76"/>
    <n v="0.15972047278391099"/>
    <n v="2.5177517246784098"/>
    <n v="439.70418140253503"/>
    <n v="343.816674896956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">
  <r>
    <s v="PROD0"/>
    <s v="Brother Laser Printer"/>
    <x v="0"/>
    <x v="0"/>
    <x v="0"/>
    <n v="112.42"/>
    <x v="0"/>
    <n v="254.23750000000004"/>
    <n v="273.36363636363637"/>
  </r>
  <r>
    <s v="PROD1"/>
    <s v="Men's Graphic T-Shirt"/>
    <x v="1"/>
    <x v="1"/>
    <x v="1"/>
    <n v="342.56"/>
    <x v="1"/>
    <n v="255.67000000000004"/>
    <n v="271.90816326530614"/>
  </r>
  <r>
    <s v="PROD2"/>
    <s v="Women's Casual Hoodie"/>
    <x v="1"/>
    <x v="2"/>
    <x v="2"/>
    <n v="254.62"/>
    <x v="2"/>
    <n v="254.7833673469388"/>
    <n v="272.84536082474227"/>
  </r>
  <r>
    <s v="PROD3"/>
    <s v="Men's Running Jacket"/>
    <x v="1"/>
    <x v="2"/>
    <x v="3"/>
    <n v="364.67"/>
    <x v="3"/>
    <n v="254.7850515463918"/>
    <n v="272.02083333333331"/>
  </r>
  <r>
    <s v="PROD4"/>
    <s v="Women's Yoga Pants"/>
    <x v="1"/>
    <x v="3"/>
    <x v="4"/>
    <n v="306.45999999999998"/>
    <x v="4"/>
    <n v="253.64041666666671"/>
    <n v="270.12631578947367"/>
  </r>
  <r>
    <s v="PROD5"/>
    <s v="Men's Leather Belt"/>
    <x v="1"/>
    <x v="4"/>
    <x v="5"/>
    <n v="261"/>
    <x v="5"/>
    <n v="253.08442105263163"/>
    <n v="267.81914893617022"/>
  </r>
  <r>
    <s v="PROD6"/>
    <s v="Herbal Face Moisturizer"/>
    <x v="2"/>
    <x v="5"/>
    <x v="6"/>
    <n v="312.8"/>
    <x v="6"/>
    <n v="253.00021276595749"/>
    <n v="270.06451612903226"/>
  </r>
  <r>
    <s v="PROD7"/>
    <s v="LED Table Lamp"/>
    <x v="3"/>
    <x v="6"/>
    <x v="7"/>
    <n v="218.86"/>
    <x v="7"/>
    <n v="252.35720430107531"/>
    <n v="269.19565217391306"/>
  </r>
  <r>
    <s v="PROD8"/>
    <s v="Wireless Bluetooth Earbuds"/>
    <x v="0"/>
    <x v="7"/>
    <x v="8"/>
    <n v="439.07"/>
    <x v="8"/>
    <n v="252.72130434782613"/>
    <n v="270.28571428571428"/>
  </r>
  <r>
    <s v="PROD9"/>
    <s v="Adjustable Dumbbell Set"/>
    <x v="4"/>
    <x v="8"/>
    <x v="9"/>
    <n v="495.72"/>
    <x v="9"/>
    <n v="250.67351648351652"/>
    <n v="271.71111111111111"/>
  </r>
  <r>
    <s v="PROD10"/>
    <s v="Ceramic Kitchen Bowl Set"/>
    <x v="3"/>
    <x v="9"/>
    <x v="10"/>
    <n v="298.86"/>
    <x v="10"/>
    <n v="247.9507777777778"/>
    <n v="271.13483146067415"/>
  </r>
  <r>
    <s v="PROD11"/>
    <s v="HD Smart TV Stick"/>
    <x v="0"/>
    <x v="4"/>
    <x v="11"/>
    <n v="449.4"/>
    <x v="11"/>
    <n v="247.37876404494386"/>
    <n v="270.71590909090907"/>
  </r>
  <r>
    <s v="PROD12"/>
    <s v="Hair Strengthening Shampoo"/>
    <x v="2"/>
    <x v="10"/>
    <x v="12"/>
    <n v="115.82"/>
    <x v="12"/>
    <n v="245.08306818181819"/>
    <n v="270.72413793103448"/>
  </r>
  <r>
    <s v="PROD13"/>
    <s v="USB-C Fast Charger"/>
    <x v="0"/>
    <x v="4"/>
    <x v="13"/>
    <n v="242.23"/>
    <x v="13"/>
    <n v="246.56885057471271"/>
    <n v="268.52325581395348"/>
  </r>
  <r>
    <s v="PROD14"/>
    <s v="Decorative Wall Mirror"/>
    <x v="3"/>
    <x v="11"/>
    <x v="14"/>
    <n v="48.01"/>
    <x v="14"/>
    <n v="246.61930232558143"/>
    <n v="266.35294117647061"/>
  </r>
  <r>
    <s v="PROD15"/>
    <s v="4K Home Projector"/>
    <x v="0"/>
    <x v="12"/>
    <x v="15"/>
    <n v="465.34"/>
    <x v="15"/>
    <n v="248.95588235294122"/>
    <n v="264.29761904761904"/>
  </r>
  <r>
    <s v="PROD16"/>
    <s v="Beard Grooming Kit"/>
    <x v="2"/>
    <x v="13"/>
    <x v="16"/>
    <n v="337.42"/>
    <x v="16"/>
    <n v="246.379880952381"/>
    <n v="263.85542168674698"/>
  </r>
  <r>
    <s v="PROD17"/>
    <s v="Soccer Training Cone Set"/>
    <x v="4"/>
    <x v="4"/>
    <x v="17"/>
    <n v="144.53"/>
    <x v="17"/>
    <n v="245.28301204819283"/>
    <n v="263.95121951219511"/>
  </r>
  <r>
    <s v="PROD18"/>
    <s v="Women's Denim Jeans"/>
    <x v="1"/>
    <x v="3"/>
    <x v="18"/>
    <n v="245.78"/>
    <x v="18"/>
    <n v="246.51170731707322"/>
    <n v="262.67901234567898"/>
  </r>
  <r>
    <s v="PROD19"/>
    <s v="Knee Support Brace"/>
    <x v="4"/>
    <x v="14"/>
    <x v="19"/>
    <n v="21.34"/>
    <x v="19"/>
    <n v="246.52074074074079"/>
    <n v="261.67500000000001"/>
  </r>
  <r>
    <s v="PROD20"/>
    <s v="Outdoor Sports Water Bottle"/>
    <x v="4"/>
    <x v="4"/>
    <x v="20"/>
    <n v="131.51"/>
    <x v="20"/>
    <n v="249.3355"/>
    <n v="264.1645569620253"/>
  </r>
  <r>
    <s v="PROD21"/>
    <s v="Multi-Purpose Storage Box"/>
    <x v="3"/>
    <x v="15"/>
    <x v="21"/>
    <n v="123.46"/>
    <x v="21"/>
    <n v="250.82696202531642"/>
    <n v="264.16666666666669"/>
  </r>
  <r>
    <s v="PROD22"/>
    <s v="Carbon Fiber Tennis Racket"/>
    <x v="4"/>
    <x v="14"/>
    <x v="22"/>
    <n v="484.62"/>
    <x v="22"/>
    <n v="252.45987179487179"/>
    <n v="266.61038961038963"/>
  </r>
  <r>
    <s v="PROD23"/>
    <s v="Men's Formal Shirt"/>
    <x v="1"/>
    <x v="1"/>
    <x v="23"/>
    <n v="248.82"/>
    <x v="23"/>
    <n v="249.44480519480518"/>
    <n v="264.43421052631578"/>
  </r>
  <r>
    <s v="PROD24"/>
    <s v="Foldable Camping Chair"/>
    <x v="4"/>
    <x v="16"/>
    <x v="24"/>
    <n v="166.06"/>
    <x v="24"/>
    <n v="249.45302631578949"/>
    <n v="263.16000000000003"/>
  </r>
  <r>
    <s v="PROD25"/>
    <s v="Women's Scarf Set"/>
    <x v="1"/>
    <x v="4"/>
    <x v="25"/>
    <n v="174.02"/>
    <x v="25"/>
    <n v="250.56493333333333"/>
    <n v="262.12162162162161"/>
  </r>
  <r>
    <s v="PROD26"/>
    <s v="Wireless Bluetooth Speaker"/>
    <x v="0"/>
    <x v="7"/>
    <x v="26"/>
    <n v="322.41000000000003"/>
    <x v="26"/>
    <n v="251.5993243243243"/>
    <n v="262.04109589041099"/>
  </r>
  <r>
    <s v="PROD27"/>
    <s v="Decorative Floor Vase"/>
    <x v="3"/>
    <x v="11"/>
    <x v="27"/>
    <n v="250.02"/>
    <x v="27"/>
    <n v="250.62931506849313"/>
    <n v="262.72222222222223"/>
  </r>
  <r>
    <s v="PROD28"/>
    <s v="Sports Stopwatch Timer"/>
    <x v="4"/>
    <x v="4"/>
    <x v="28"/>
    <n v="38.76"/>
    <x v="28"/>
    <n v="250.63777777777776"/>
    <n v="261.09859154929575"/>
  </r>
  <r>
    <s v="PROD29"/>
    <s v="Fabric Sofa Throw Blanket"/>
    <x v="3"/>
    <x v="11"/>
    <x v="29"/>
    <n v="218.48"/>
    <x v="29"/>
    <n v="253.62197183098587"/>
    <n v="262.87142857142857"/>
  </r>
  <r>
    <s v="PROD30"/>
    <s v="Stainless Steel Cutlery Set"/>
    <x v="3"/>
    <x v="9"/>
    <x v="30"/>
    <n v="19.52"/>
    <x v="30"/>
    <n v="254.12399999999994"/>
    <n v="262.68115942028987"/>
  </r>
  <r>
    <s v="PROD31"/>
    <s v="Basketball"/>
    <x v="4"/>
    <x v="17"/>
    <x v="31"/>
    <n v="204.39"/>
    <x v="31"/>
    <n v="257.52405797101449"/>
    <n v="265.70588235294116"/>
  </r>
  <r>
    <s v="PROD32"/>
    <s v="Vitamin C Face Serum"/>
    <x v="2"/>
    <x v="5"/>
    <x v="32"/>
    <n v="283.83"/>
    <x v="32"/>
    <n v="258.30544117647048"/>
    <n v="265.47761194029852"/>
  </r>
  <r>
    <s v="PROD33"/>
    <s v="Modern Wall Clock"/>
    <x v="3"/>
    <x v="11"/>
    <x v="33"/>
    <n v="179.77"/>
    <x v="33"/>
    <n v="257.92447761194023"/>
    <n v="265.80303030303031"/>
  </r>
  <r>
    <s v="PROD34"/>
    <s v="Gaming Mechanical Keyboard"/>
    <x v="0"/>
    <x v="0"/>
    <x v="34"/>
    <n v="419.28"/>
    <x v="34"/>
    <n v="259.10863636363626"/>
    <n v="265.2"/>
  </r>
  <r>
    <s v="PROD35"/>
    <s v="Bedroom Table Lamp"/>
    <x v="3"/>
    <x v="6"/>
    <x v="35"/>
    <n v="382.22"/>
    <x v="35"/>
    <n v="256.64446153846148"/>
    <n v="268"/>
  </r>
  <r>
    <s v="PROD36"/>
    <s v="Women's Summer Dress"/>
    <x v="1"/>
    <x v="1"/>
    <x v="36"/>
    <n v="223.43"/>
    <x v="36"/>
    <n v="254.68234374999997"/>
    <n v="267.03174603174602"/>
  </r>
  <r>
    <s v="PROD37"/>
    <s v="Men's Casual Sneakers"/>
    <x v="1"/>
    <x v="18"/>
    <x v="37"/>
    <n v="353.47"/>
    <x v="37"/>
    <n v="255.17841269841264"/>
    <n v="268.85483870967744"/>
  </r>
  <r>
    <s v="PROD38"/>
    <s v="Sports Water Hydration Pack"/>
    <x v="4"/>
    <x v="16"/>
    <x v="38"/>
    <n v="135.61000000000001"/>
    <x v="38"/>
    <n v="253.59306451612898"/>
    <n v="269.75409836065575"/>
  </r>
  <r>
    <s v="PROD39"/>
    <s v="Portable Power Bank"/>
    <x v="0"/>
    <x v="19"/>
    <x v="39"/>
    <n v="326.06"/>
    <x v="15"/>
    <n v="255.52721311475403"/>
    <n v="267.68333333333334"/>
  </r>
  <r>
    <s v="PROD40"/>
    <s v="Noise-Canceling Headphones"/>
    <x v="0"/>
    <x v="7"/>
    <x v="40"/>
    <n v="38.520000000000003"/>
    <x v="27"/>
    <n v="254.3516666666666"/>
    <n v="267.11864406779659"/>
  </r>
  <r>
    <s v="PROD41"/>
    <s v="Yoga Exercise Mat"/>
    <x v="4"/>
    <x v="8"/>
    <x v="41"/>
    <n v="313.26"/>
    <x v="39"/>
    <n v="258.00983050847452"/>
    <n v="265.20689655172413"/>
  </r>
  <r>
    <s v="PROD42"/>
    <s v="Smart Home WiFi Camera"/>
    <x v="0"/>
    <x v="4"/>
    <x v="42"/>
    <n v="450.71"/>
    <x v="40"/>
    <n v="257.05724137931031"/>
    <n v="263.38596491228071"/>
  </r>
  <r>
    <s v="PROD43"/>
    <s v="USB External Hard Drive"/>
    <x v="0"/>
    <x v="0"/>
    <x v="43"/>
    <n v="253.33"/>
    <x v="41"/>
    <n v="253.65982456140352"/>
    <n v="261.14285714285717"/>
  </r>
  <r>
    <s v="PROD44"/>
    <s v="Adjustable Jump Rope"/>
    <x v="4"/>
    <x v="8"/>
    <x v="44"/>
    <n v="167.12"/>
    <x v="42"/>
    <n v="253.66571428571427"/>
    <n v="261.05454545454546"/>
  </r>
  <r>
    <s v="PROD45"/>
    <s v="High-Grip Football"/>
    <x v="4"/>
    <x v="17"/>
    <x v="45"/>
    <n v="318.91000000000003"/>
    <x v="43"/>
    <n v="255.23927272727269"/>
    <n v="260.03703703703701"/>
  </r>
  <r>
    <s v="PROD46"/>
    <s v="Men's Winter Jacket"/>
    <x v="1"/>
    <x v="2"/>
    <x v="46"/>
    <n v="167.34"/>
    <x v="44"/>
    <n v="254.06018518518516"/>
    <n v="262.79245283018867"/>
  </r>
  <r>
    <s v="PROD47"/>
    <s v="Makeup Brush Set"/>
    <x v="2"/>
    <x v="20"/>
    <x v="47"/>
    <n v="255.05"/>
    <x v="45"/>
    <n v="255.69641509433959"/>
    <n v="262.15384615384613"/>
  </r>
  <r>
    <s v="PROD48"/>
    <s v="Car Dashboard Phone Holder"/>
    <x v="0"/>
    <x v="4"/>
    <x v="48"/>
    <n v="177.98"/>
    <x v="46"/>
    <n v="255.70884615384608"/>
    <n v="258.84313725490193"/>
  </r>
  <r>
    <s v="PROD49"/>
    <s v="Men's Roll-On Perfume"/>
    <x v="2"/>
    <x v="21"/>
    <x v="49"/>
    <n v="43.29"/>
    <x v="47"/>
    <n v="257.23294117647055"/>
    <n v="261.95999999999998"/>
  </r>
  <r>
    <s v="PROD50"/>
    <s v="Boxing Hand Wraps"/>
    <x v="4"/>
    <x v="8"/>
    <x v="50"/>
    <n v="190.29"/>
    <x v="48"/>
    <n v="261.51179999999994"/>
    <n v="261.85714285714283"/>
  </r>
  <r>
    <s v="PROD51"/>
    <s v="HDMI Cable – 2m"/>
    <x v="0"/>
    <x v="4"/>
    <x v="51"/>
    <n v="88.49"/>
    <x v="49"/>
    <n v="262.96530612244891"/>
    <n v="261.89583333333331"/>
  </r>
  <r>
    <s v="PROD52"/>
    <s v="Rugby Ball"/>
    <x v="4"/>
    <x v="17"/>
    <x v="52"/>
    <n v="212.26"/>
    <x v="50"/>
    <n v="266.60020833333328"/>
    <n v="262.2340425531915"/>
  </r>
  <r>
    <s v="PROD53"/>
    <s v="Men's Track Pants"/>
    <x v="1"/>
    <x v="3"/>
    <x v="53"/>
    <n v="386.56"/>
    <x v="51"/>
    <n v="267.75638297872337"/>
    <n v="266.1521739130435"/>
  </r>
  <r>
    <s v="PROD54"/>
    <s v="Sports Stopwatch Pro"/>
    <x v="4"/>
    <x v="4"/>
    <x v="54"/>
    <n v="434.84"/>
    <x v="52"/>
    <n v="265.17369565217388"/>
    <n v="269.28888888888889"/>
  </r>
  <r>
    <s v="PROD55"/>
    <s v="Ceramic Plant Pot"/>
    <x v="3"/>
    <x v="11"/>
    <x v="55"/>
    <n v="81.75"/>
    <x v="53"/>
    <n v="261.40333333333331"/>
    <n v="271.20454545454544"/>
  </r>
  <r>
    <s v="PROD56"/>
    <s v="Premium Blanket Throw"/>
    <x v="3"/>
    <x v="11"/>
    <x v="56"/>
    <n v="461.47"/>
    <x v="54"/>
    <n v="265.48636363636365"/>
    <n v="271.20454545454544"/>
  </r>
  <r>
    <s v="PROD57"/>
    <s v="Foam Roller"/>
    <x v="4"/>
    <x v="8"/>
    <x v="57"/>
    <n v="30.62"/>
    <x v="55"/>
    <n v="260.92860465116274"/>
    <n v="273.09302325581393"/>
  </r>
  <r>
    <s v="PROD58"/>
    <s v="Womens Cotton Scarf"/>
    <x v="1"/>
    <x v="4"/>
    <x v="58"/>
    <n v="113.83"/>
    <x v="56"/>
    <n v="266.41214285714278"/>
    <n v="276.3095238095238"/>
  </r>
  <r>
    <s v="PROD59"/>
    <s v="Men's Hair Styling Gel"/>
    <x v="2"/>
    <x v="10"/>
    <x v="59"/>
    <n v="17.309999999999999"/>
    <x v="57"/>
    <n v="270.13365853658536"/>
    <n v="271.21951219512198"/>
  </r>
  <r>
    <s v="PROD60"/>
    <s v="Luxury Perfume Spray"/>
    <x v="2"/>
    <x v="21"/>
    <x v="60"/>
    <n v="482.75"/>
    <x v="58"/>
    <n v="276.45424999999994"/>
    <n v="268.02499999999998"/>
  </r>
  <r>
    <s v="PROD61"/>
    <s v="Tennis Ball 3-Pack"/>
    <x v="4"/>
    <x v="14"/>
    <x v="61"/>
    <n v="103.45"/>
    <x v="59"/>
    <n v="271.16461538461533"/>
    <n v="263.5128205128205"/>
  </r>
  <r>
    <s v="PROD62"/>
    <s v="Laptop Cooling Pad"/>
    <x v="0"/>
    <x v="0"/>
    <x v="62"/>
    <n v="86.42"/>
    <x v="60"/>
    <n v="275.57815789473676"/>
    <n v="258.21052631578948"/>
  </r>
  <r>
    <s v="PROD63"/>
    <s v="Organic Sunscreen Lotion"/>
    <x v="2"/>
    <x v="5"/>
    <x v="63"/>
    <n v="266.86"/>
    <x v="61"/>
    <n v="280.6905405405405"/>
    <n v="259.18918918918916"/>
  </r>
  <r>
    <s v="PROD64"/>
    <s v="Matte Lipstick Set"/>
    <x v="2"/>
    <x v="20"/>
    <x v="64"/>
    <n v="299.11"/>
    <x v="62"/>
    <n v="281.07472222222214"/>
    <n v="253.66666666666666"/>
  </r>
  <r>
    <s v="PROD65"/>
    <s v="Adjustable Dumbbells 20kg"/>
    <x v="4"/>
    <x v="8"/>
    <x v="65"/>
    <n v="240.63"/>
    <x v="63"/>
    <n v="280.5594285714285"/>
    <n v="257.54285714285714"/>
  </r>
  <r>
    <s v="PROD66"/>
    <s v="Women's Hair Dryer Brush"/>
    <x v="2"/>
    <x v="10"/>
    <x v="66"/>
    <n v="340.39"/>
    <x v="64"/>
    <n v="281.73382352941167"/>
    <n v="252.6764705882353"/>
  </r>
  <r>
    <s v="PROD67"/>
    <s v="Smart LED Light Strip"/>
    <x v="0"/>
    <x v="4"/>
    <x v="67"/>
    <n v="349.17"/>
    <x v="65"/>
    <n v="279.95636363636362"/>
    <n v="254.96969696969697"/>
  </r>
  <r>
    <s v="PROD68"/>
    <s v="Wooden Nightstand"/>
    <x v="3"/>
    <x v="22"/>
    <x v="68"/>
    <n v="243.7"/>
    <x v="66"/>
    <n v="277.79343749999998"/>
    <n v="248.0625"/>
  </r>
  <r>
    <s v="PROD69"/>
    <s v="Men's Sports Shorts"/>
    <x v="1"/>
    <x v="3"/>
    <x v="69"/>
    <n v="218.22"/>
    <x v="67"/>
    <n v="278.8932258064516"/>
    <n v="251.87096774193549"/>
  </r>
  <r>
    <s v="PROD70"/>
    <s v="Kitchen Storage Rack"/>
    <x v="3"/>
    <x v="15"/>
    <x v="70"/>
    <n v="138.05000000000001"/>
    <x v="68"/>
    <n v="280.91566666666665"/>
    <n v="252.8"/>
  </r>
  <r>
    <s v="PROD71"/>
    <s v="Hair Repair Oil Treatment"/>
    <x v="2"/>
    <x v="10"/>
    <x v="71"/>
    <n v="214.32"/>
    <x v="69"/>
    <n v="285.84206896551723"/>
    <n v="258.44827586206895"/>
  </r>
  <r>
    <s v="PROD72"/>
    <s v="Professional Jump Rope"/>
    <x v="4"/>
    <x v="8"/>
    <x v="72"/>
    <n v="477.61"/>
    <x v="70"/>
    <n v="288.3964285714286"/>
    <n v="254"/>
  </r>
  <r>
    <s v="PROD73"/>
    <s v="Shin Guards – Adult"/>
    <x v="4"/>
    <x v="17"/>
    <x v="73"/>
    <n v="107.06"/>
    <x v="71"/>
    <n v="281.38851851851854"/>
    <n v="252.2962962962963"/>
  </r>
  <r>
    <s v="PROD74"/>
    <s v="Bluetooth Car Audio System"/>
    <x v="0"/>
    <x v="7"/>
    <x v="74"/>
    <n v="403.71"/>
    <x v="72"/>
    <n v="288.09346153846155"/>
    <n v="248.19230769230768"/>
  </r>
  <r>
    <s v="PROD75"/>
    <s v="Women's Ankle Boots"/>
    <x v="1"/>
    <x v="18"/>
    <x v="75"/>
    <n v="158.13999999999999"/>
    <x v="50"/>
    <n v="283.46880000000004"/>
    <n v="251.76"/>
  </r>
  <r>
    <s v="PROD76"/>
    <s v="Wireless Mouse"/>
    <x v="0"/>
    <x v="0"/>
    <x v="76"/>
    <n v="392.89"/>
    <x v="73"/>
    <n v="288.69083333333333"/>
    <n v="258.83333333333331"/>
  </r>
  <r>
    <s v="PROD77"/>
    <s v="WiFi Mesh Router"/>
    <x v="0"/>
    <x v="12"/>
    <x v="77"/>
    <n v="480.9"/>
    <x v="74"/>
    <n v="284.16043478260872"/>
    <n v="256.17391304347825"/>
  </r>
  <r>
    <s v="PROD78"/>
    <s v="Essential Oil Diffuser"/>
    <x v="3"/>
    <x v="11"/>
    <x v="78"/>
    <n v="325.26"/>
    <x v="75"/>
    <n v="275.21772727272725"/>
    <n v="263.09090909090907"/>
  </r>
  <r>
    <s v="PROD79"/>
    <s v="Decorative Lamp Shade"/>
    <x v="3"/>
    <x v="6"/>
    <x v="79"/>
    <n v="228.53"/>
    <x v="76"/>
    <n v="272.83476190476188"/>
    <n v="256.57142857142856"/>
  </r>
  <r>
    <s v="PROD80"/>
    <s v="Wall-Mounted Spice Rack"/>
    <x v="3"/>
    <x v="9"/>
    <x v="80"/>
    <n v="143.43"/>
    <x v="77"/>
    <n v="275.04999999999995"/>
    <n v="245.95"/>
  </r>
  <r>
    <s v="PROD81"/>
    <s v="Badminton Racket Set"/>
    <x v="4"/>
    <x v="14"/>
    <x v="81"/>
    <n v="285.54000000000002"/>
    <x v="78"/>
    <n v="281.97736842105257"/>
    <n v="255.84210526315789"/>
  </r>
  <r>
    <s v="PROD82"/>
    <s v="Fitness Resistance Bands"/>
    <x v="4"/>
    <x v="8"/>
    <x v="82"/>
    <n v="152.91999999999999"/>
    <x v="31"/>
    <n v="281.77944444444438"/>
    <n v="250.16666666666666"/>
  </r>
  <r>
    <s v="PROD83"/>
    <s v="Hydrating Face Cleanser"/>
    <x v="2"/>
    <x v="5"/>
    <x v="83"/>
    <n v="289.36"/>
    <x v="72"/>
    <n v="289.35941176470578"/>
    <n v="248.35294117647058"/>
  </r>
  <r>
    <s v="PROD84"/>
    <s v="Wooden Bookshelf"/>
    <x v="3"/>
    <x v="22"/>
    <x v="84"/>
    <n v="388.46"/>
    <x v="79"/>
    <n v="289.35937499999994"/>
    <n v="253.9375"/>
  </r>
  <r>
    <s v="PROD85"/>
    <s v="Women's Beanie Hat"/>
    <x v="1"/>
    <x v="4"/>
    <x v="85"/>
    <n v="119.57"/>
    <x v="80"/>
    <n v="282.75266666666664"/>
    <n v="257"/>
  </r>
  <r>
    <s v="PROD86"/>
    <s v="Kitchen Cutting Board"/>
    <x v="3"/>
    <x v="9"/>
    <x v="86"/>
    <n v="176.07"/>
    <x v="50"/>
    <n v="294.40857142857146"/>
    <n v="260.35714285714283"/>
  </r>
  <r>
    <s v="PROD87"/>
    <s v="LED Bedside Lamp"/>
    <x v="3"/>
    <x v="6"/>
    <x v="87"/>
    <n v="371.38"/>
    <x v="81"/>
    <n v="303.51153846153846"/>
    <n v="274.07692307692309"/>
  </r>
  <r>
    <s v="PROD88"/>
    <s v="Sports Wrist Sweatbands"/>
    <x v="4"/>
    <x v="4"/>
    <x v="88"/>
    <n v="131.24"/>
    <x v="82"/>
    <n v="297.85583333333335"/>
    <n v="278.58333333333331"/>
  </r>
  <r>
    <s v="PROD89"/>
    <s v="Face Foundation Kit"/>
    <x v="2"/>
    <x v="20"/>
    <x v="89"/>
    <n v="183.04"/>
    <x v="83"/>
    <n v="313.00272727272727"/>
    <n v="282.81818181818181"/>
  </r>
  <r>
    <s v="PROD90"/>
    <s v="Gaming Mouse Pad XL"/>
    <x v="0"/>
    <x v="4"/>
    <x v="90"/>
    <n v="340.14"/>
    <x v="84"/>
    <n v="325.99900000000002"/>
    <n v="265.39999999999998"/>
  </r>
  <r>
    <s v="PROD91"/>
    <s v="Women's High Heels"/>
    <x v="1"/>
    <x v="18"/>
    <x v="91"/>
    <n v="438.25"/>
    <x v="85"/>
    <n v="324.42777777777775"/>
    <n v="254.77777777777777"/>
  </r>
  <r>
    <s v="PROD92"/>
    <s v="Microwave Oven"/>
    <x v="3"/>
    <x v="12"/>
    <x v="92"/>
    <n v="447.43"/>
    <x v="86"/>
    <n v="310.2"/>
    <n v="224.625"/>
  </r>
  <r>
    <s v="PROD93"/>
    <s v="USB-C Laptop Charger"/>
    <x v="0"/>
    <x v="0"/>
    <x v="93"/>
    <n v="377.52"/>
    <x v="56"/>
    <n v="290.59571428571434"/>
    <n v="229.42857142857142"/>
  </r>
  <r>
    <s v="PROD94"/>
    <s v="Vitamin E Body Lotion"/>
    <x v="2"/>
    <x v="5"/>
    <x v="94"/>
    <n v="358.47"/>
    <x v="26"/>
    <n v="276.10833333333335"/>
    <n v="186.83333333333334"/>
  </r>
  <r>
    <s v="PROD95"/>
    <s v="Sports Stopwatch Basic"/>
    <x v="4"/>
    <x v="4"/>
    <x v="95"/>
    <n v="60.65"/>
    <x v="87"/>
    <n v="259.63600000000002"/>
    <n v="181.6"/>
  </r>
  <r>
    <s v="PROD96"/>
    <s v="Women's Formal Blazer"/>
    <x v="1"/>
    <x v="2"/>
    <x v="96"/>
    <n v="358.47"/>
    <x v="88"/>
    <n v="309.38250000000005"/>
    <n v="208.25"/>
  </r>
  <r>
    <s v="PROD97"/>
    <s v="Cricket Bat"/>
    <x v="4"/>
    <x v="17"/>
    <x v="97"/>
    <n v="245.98"/>
    <x v="89"/>
    <n v="293.02"/>
    <n v="230"/>
  </r>
  <r>
    <s v="PROD98"/>
    <s v="Portable Bluetooth Speaker"/>
    <x v="0"/>
    <x v="7"/>
    <x v="98"/>
    <n v="431.67"/>
    <x v="90"/>
    <n v="316.54000000000002"/>
    <n v="109.5"/>
  </r>
  <r>
    <s v="PROD99"/>
    <s v="Stainless Steel Cookware Set"/>
    <x v="3"/>
    <x v="9"/>
    <x v="99"/>
    <n v="201.41"/>
    <x v="91"/>
    <n v="201.41"/>
    <n v="1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6">
  <location ref="A3:E16" firstHeaderRow="0" firstDataRow="1" firstDataCol="1"/>
  <pivotFields count="18"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4">
        <item x="4"/>
        <item x="6"/>
        <item x="9"/>
        <item x="10"/>
        <item x="5"/>
        <item x="2"/>
        <item x="0"/>
        <item x="7"/>
        <item x="8"/>
        <item x="11"/>
        <item x="3"/>
        <item x="1"/>
        <item h="1" x="12"/>
        <item t="default"/>
      </items>
    </pivotField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Total_Amount" fld="9" subtotal="count" baseField="0" baseItem="0"/>
    <dataField name="Sum of unit price average" fld="15" baseField="17" baseItem="7"/>
    <dataField name="Sum of Unit_Price" fld="6" baseField="17" baseItem="2"/>
    <dataField name="Average of Quantity" fld="5" subtotal="average" baseField="17" baseItem="7"/>
  </dataFields>
  <chartFormats count="8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3">
  <location ref="A3:E9" firstHeaderRow="0" firstDataRow="1" firstDataCol="1"/>
  <pivotFields count="9"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>
      <items count="24">
        <item x="4"/>
        <item x="12"/>
        <item x="7"/>
        <item x="3"/>
        <item x="0"/>
        <item x="11"/>
        <item x="14"/>
        <item x="8"/>
        <item x="18"/>
        <item x="21"/>
        <item x="22"/>
        <item x="13"/>
        <item x="10"/>
        <item x="9"/>
        <item x="6"/>
        <item x="20"/>
        <item x="19"/>
        <item x="16"/>
        <item x="2"/>
        <item x="5"/>
        <item x="15"/>
        <item x="17"/>
        <item x="1"/>
        <item t="default"/>
      </items>
    </pivotField>
    <pivotField showAll="0">
      <items count="101">
        <item x="87"/>
        <item x="80"/>
        <item x="63"/>
        <item x="57"/>
        <item x="5"/>
        <item x="51"/>
        <item x="45"/>
        <item x="25"/>
        <item x="74"/>
        <item x="28"/>
        <item x="83"/>
        <item x="48"/>
        <item x="99"/>
        <item x="41"/>
        <item x="59"/>
        <item x="84"/>
        <item x="47"/>
        <item x="24"/>
        <item x="44"/>
        <item x="39"/>
        <item x="6"/>
        <item x="72"/>
        <item x="13"/>
        <item x="70"/>
        <item x="16"/>
        <item x="69"/>
        <item x="22"/>
        <item x="67"/>
        <item x="98"/>
        <item x="17"/>
        <item x="73"/>
        <item x="21"/>
        <item x="60"/>
        <item x="11"/>
        <item x="4"/>
        <item x="92"/>
        <item x="32"/>
        <item x="18"/>
        <item x="10"/>
        <item x="53"/>
        <item x="7"/>
        <item x="52"/>
        <item x="55"/>
        <item x="78"/>
        <item x="56"/>
        <item x="9"/>
        <item x="29"/>
        <item x="94"/>
        <item x="37"/>
        <item x="42"/>
        <item x="71"/>
        <item x="0"/>
        <item x="35"/>
        <item x="46"/>
        <item x="97"/>
        <item x="27"/>
        <item x="76"/>
        <item x="61"/>
        <item x="34"/>
        <item x="14"/>
        <item x="93"/>
        <item x="19"/>
        <item x="65"/>
        <item x="23"/>
        <item x="62"/>
        <item x="31"/>
        <item x="88"/>
        <item x="8"/>
        <item x="96"/>
        <item x="3"/>
        <item x="75"/>
        <item x="79"/>
        <item x="26"/>
        <item x="82"/>
        <item x="12"/>
        <item x="85"/>
        <item x="43"/>
        <item x="81"/>
        <item x="90"/>
        <item x="58"/>
        <item x="2"/>
        <item x="38"/>
        <item x="91"/>
        <item x="50"/>
        <item x="36"/>
        <item x="20"/>
        <item x="30"/>
        <item x="49"/>
        <item x="86"/>
        <item x="89"/>
        <item x="40"/>
        <item x="1"/>
        <item x="15"/>
        <item x="54"/>
        <item x="66"/>
        <item x="33"/>
        <item x="77"/>
        <item x="95"/>
        <item x="68"/>
        <item x="64"/>
        <item t="default"/>
      </items>
    </pivotField>
    <pivotField dataField="1" numFmtId="165" showAll="0"/>
    <pivotField dataField="1" showAll="0">
      <items count="93">
        <item x="30"/>
        <item x="77"/>
        <item x="5"/>
        <item x="19"/>
        <item x="90"/>
        <item x="87"/>
        <item x="21"/>
        <item x="50"/>
        <item x="34"/>
        <item x="68"/>
        <item x="46"/>
        <item x="74"/>
        <item x="43"/>
        <item x="62"/>
        <item x="51"/>
        <item x="66"/>
        <item x="28"/>
        <item x="55"/>
        <item x="8"/>
        <item x="88"/>
        <item x="91"/>
        <item x="36"/>
        <item x="72"/>
        <item x="7"/>
        <item x="64"/>
        <item x="1"/>
        <item x="52"/>
        <item x="54"/>
        <item x="86"/>
        <item x="79"/>
        <item x="80"/>
        <item x="26"/>
        <item x="37"/>
        <item x="81"/>
        <item x="60"/>
        <item x="67"/>
        <item x="82"/>
        <item x="32"/>
        <item x="49"/>
        <item x="16"/>
        <item x="48"/>
        <item x="20"/>
        <item x="41"/>
        <item x="47"/>
        <item x="25"/>
        <item x="11"/>
        <item x="29"/>
        <item x="31"/>
        <item x="44"/>
        <item x="70"/>
        <item x="15"/>
        <item x="33"/>
        <item x="10"/>
        <item x="42"/>
        <item x="73"/>
        <item x="9"/>
        <item x="35"/>
        <item x="24"/>
        <item x="18"/>
        <item x="6"/>
        <item x="2"/>
        <item x="78"/>
        <item x="71"/>
        <item x="23"/>
        <item x="84"/>
        <item x="17"/>
        <item x="39"/>
        <item x="27"/>
        <item x="69"/>
        <item x="40"/>
        <item x="38"/>
        <item x="57"/>
        <item x="75"/>
        <item x="0"/>
        <item x="63"/>
        <item x="45"/>
        <item x="22"/>
        <item x="14"/>
        <item x="58"/>
        <item x="3"/>
        <item x="13"/>
        <item x="83"/>
        <item x="61"/>
        <item x="12"/>
        <item x="59"/>
        <item x="76"/>
        <item x="89"/>
        <item x="65"/>
        <item x="56"/>
        <item x="4"/>
        <item x="85"/>
        <item x="53"/>
        <item t="default"/>
      </items>
    </pivotField>
    <pivotField dataField="1" numFmtId="165"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ost" fld="5" baseField="0" baseItem="0"/>
    <dataField name="Count of Stock" fld="6" subtotal="count" baseField="0" baseItem="0"/>
    <dataField name="Sum of Stock average" fld="8" baseField="0" baseItem="0"/>
    <dataField name="Sum of cost average" fld="7" baseField="0" baseItem="0"/>
  </dataFields>
  <chartFormats count="12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A3:C14" firstHeaderRow="0" firstDataRow="1" firstDataCol="1"/>
  <pivotFields count="9">
    <pivotField showAll="0">
      <items count="500">
        <item x="464"/>
        <item x="486"/>
        <item x="49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7"/>
        <item x="488"/>
        <item x="489"/>
        <item x="490"/>
        <item x="492"/>
        <item x="493"/>
        <item x="494"/>
        <item x="495"/>
        <item x="496"/>
        <item x="497"/>
        <item x="498"/>
        <item t="default"/>
      </items>
    </pivotField>
    <pivotField showAll="0"/>
    <pivotField dataField="1"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>
      <items count="498">
        <item x="353"/>
        <item x="279"/>
        <item x="443"/>
        <item x="17"/>
        <item x="272"/>
        <item x="222"/>
        <item x="394"/>
        <item x="324"/>
        <item x="396"/>
        <item x="226"/>
        <item x="59"/>
        <item x="485"/>
        <item x="491"/>
        <item x="26"/>
        <item x="6"/>
        <item x="67"/>
        <item x="95"/>
        <item x="109"/>
        <item x="171"/>
        <item x="476"/>
        <item x="197"/>
        <item x="71"/>
        <item x="384"/>
        <item x="325"/>
        <item x="306"/>
        <item x="341"/>
        <item x="200"/>
        <item x="195"/>
        <item x="224"/>
        <item x="116"/>
        <item x="210"/>
        <item x="280"/>
        <item x="167"/>
        <item x="48"/>
        <item x="453"/>
        <item x="276"/>
        <item x="358"/>
        <item x="14"/>
        <item x="194"/>
        <item x="110"/>
        <item x="451"/>
        <item x="474"/>
        <item x="259"/>
        <item x="461"/>
        <item x="212"/>
        <item x="365"/>
        <item x="395"/>
        <item x="307"/>
        <item x="185"/>
        <item x="159"/>
        <item x="270"/>
        <item x="243"/>
        <item x="139"/>
        <item x="11"/>
        <item x="20"/>
        <item x="422"/>
        <item x="281"/>
        <item x="98"/>
        <item x="283"/>
        <item x="480"/>
        <item x="425"/>
        <item x="145"/>
        <item x="355"/>
        <item x="143"/>
        <item x="199"/>
        <item x="261"/>
        <item x="337"/>
        <item x="4"/>
        <item x="228"/>
        <item x="319"/>
        <item x="402"/>
        <item x="377"/>
        <item x="350"/>
        <item x="397"/>
        <item x="290"/>
        <item x="444"/>
        <item x="58"/>
        <item x="364"/>
        <item x="202"/>
        <item x="457"/>
        <item x="5"/>
        <item x="73"/>
        <item x="37"/>
        <item x="257"/>
        <item x="494"/>
        <item x="170"/>
        <item x="104"/>
        <item x="34"/>
        <item x="190"/>
        <item x="56"/>
        <item x="232"/>
        <item x="84"/>
        <item x="93"/>
        <item x="78"/>
        <item x="66"/>
        <item x="101"/>
        <item x="117"/>
        <item x="141"/>
        <item x="263"/>
        <item x="295"/>
        <item x="155"/>
        <item x="177"/>
        <item x="389"/>
        <item x="161"/>
        <item x="465"/>
        <item x="266"/>
        <item x="287"/>
        <item x="271"/>
        <item x="441"/>
        <item x="255"/>
        <item x="189"/>
        <item x="390"/>
        <item x="7"/>
        <item x="168"/>
        <item x="345"/>
        <item x="164"/>
        <item x="490"/>
        <item x="321"/>
        <item x="29"/>
        <item x="97"/>
        <item x="112"/>
        <item x="406"/>
        <item x="94"/>
        <item x="463"/>
        <item x="193"/>
        <item x="404"/>
        <item x="38"/>
        <item x="52"/>
        <item x="470"/>
        <item x="149"/>
        <item x="360"/>
        <item x="44"/>
        <item x="25"/>
        <item x="100"/>
        <item x="10"/>
        <item x="124"/>
        <item x="91"/>
        <item x="285"/>
        <item x="247"/>
        <item x="253"/>
        <item x="2"/>
        <item x="60"/>
        <item x="332"/>
        <item x="187"/>
        <item x="420"/>
        <item x="478"/>
        <item x="118"/>
        <item x="477"/>
        <item x="302"/>
        <item x="113"/>
        <item x="146"/>
        <item x="424"/>
        <item x="475"/>
        <item x="314"/>
        <item x="313"/>
        <item x="363"/>
        <item x="225"/>
        <item x="374"/>
        <item x="340"/>
        <item x="448"/>
        <item x="484"/>
        <item x="70"/>
        <item x="214"/>
        <item x="40"/>
        <item x="405"/>
        <item x="107"/>
        <item x="381"/>
        <item x="123"/>
        <item x="181"/>
        <item x="1"/>
        <item x="344"/>
        <item x="378"/>
        <item x="445"/>
        <item x="220"/>
        <item x="82"/>
        <item x="47"/>
        <item x="293"/>
        <item x="369"/>
        <item x="467"/>
        <item x="227"/>
        <item x="133"/>
        <item x="24"/>
        <item x="349"/>
        <item x="391"/>
        <item x="421"/>
        <item x="106"/>
        <item x="284"/>
        <item x="408"/>
        <item x="410"/>
        <item x="120"/>
        <item x="192"/>
        <item x="372"/>
        <item x="207"/>
        <item x="392"/>
        <item x="62"/>
        <item x="493"/>
        <item x="468"/>
        <item x="41"/>
        <item x="370"/>
        <item x="373"/>
        <item x="291"/>
        <item x="126"/>
        <item x="130"/>
        <item x="89"/>
        <item x="296"/>
        <item x="338"/>
        <item x="312"/>
        <item x="165"/>
        <item x="57"/>
        <item x="426"/>
        <item x="21"/>
        <item x="452"/>
        <item x="277"/>
        <item x="351"/>
        <item x="297"/>
        <item x="289"/>
        <item x="80"/>
        <item x="398"/>
        <item x="416"/>
        <item x="186"/>
        <item x="335"/>
        <item x="308"/>
        <item x="3"/>
        <item x="30"/>
        <item x="482"/>
        <item x="320"/>
        <item x="129"/>
        <item x="209"/>
        <item x="121"/>
        <item x="454"/>
        <item x="176"/>
        <item x="439"/>
        <item x="399"/>
        <item x="336"/>
        <item x="346"/>
        <item x="160"/>
        <item x="74"/>
        <item x="252"/>
        <item x="127"/>
        <item x="208"/>
        <item x="16"/>
        <item x="303"/>
        <item x="431"/>
        <item x="235"/>
        <item x="23"/>
        <item x="45"/>
        <item x="479"/>
        <item x="219"/>
        <item x="427"/>
        <item x="153"/>
        <item x="163"/>
        <item x="407"/>
        <item x="131"/>
        <item x="43"/>
        <item x="375"/>
        <item x="473"/>
        <item x="28"/>
        <item x="362"/>
        <item x="236"/>
        <item x="218"/>
        <item x="111"/>
        <item x="154"/>
        <item x="456"/>
        <item x="144"/>
        <item x="403"/>
        <item x="459"/>
        <item x="492"/>
        <item x="347"/>
        <item x="489"/>
        <item x="310"/>
        <item x="417"/>
        <item x="262"/>
        <item x="54"/>
        <item x="77"/>
        <item x="216"/>
        <item x="217"/>
        <item x="411"/>
        <item x="125"/>
        <item x="442"/>
        <item x="458"/>
        <item x="12"/>
        <item x="311"/>
        <item x="268"/>
        <item x="188"/>
        <item x="430"/>
        <item x="256"/>
        <item x="282"/>
        <item x="61"/>
        <item x="383"/>
        <item x="323"/>
        <item x="81"/>
        <item x="105"/>
        <item x="15"/>
        <item x="472"/>
        <item x="245"/>
        <item x="249"/>
        <item x="184"/>
        <item x="27"/>
        <item x="254"/>
        <item x="435"/>
        <item x="294"/>
        <item x="221"/>
        <item x="418"/>
        <item x="318"/>
        <item x="366"/>
        <item x="357"/>
        <item x="469"/>
        <item x="174"/>
        <item x="239"/>
        <item x="331"/>
        <item x="142"/>
        <item x="156"/>
        <item x="162"/>
        <item x="328"/>
        <item x="183"/>
        <item x="400"/>
        <item x="382"/>
        <item x="201"/>
        <item x="246"/>
        <item x="300"/>
        <item x="135"/>
        <item x="50"/>
        <item x="264"/>
        <item x="196"/>
        <item x="413"/>
        <item x="359"/>
        <item x="386"/>
        <item x="367"/>
        <item x="437"/>
        <item x="487"/>
        <item x="87"/>
        <item x="182"/>
        <item x="8"/>
        <item x="414"/>
        <item x="122"/>
        <item x="63"/>
        <item x="151"/>
        <item x="466"/>
        <item x="371"/>
        <item x="352"/>
        <item x="119"/>
        <item x="393"/>
        <item x="65"/>
        <item x="19"/>
        <item x="376"/>
        <item x="205"/>
        <item x="342"/>
        <item x="46"/>
        <item x="233"/>
        <item x="178"/>
        <item x="175"/>
        <item x="132"/>
        <item x="32"/>
        <item x="368"/>
        <item x="304"/>
        <item x="288"/>
        <item x="79"/>
        <item x="438"/>
        <item x="419"/>
        <item x="447"/>
        <item x="434"/>
        <item x="134"/>
        <item x="334"/>
        <item x="68"/>
        <item x="64"/>
        <item x="241"/>
        <item x="339"/>
        <item x="9"/>
        <item x="244"/>
        <item x="361"/>
        <item x="76"/>
        <item x="13"/>
        <item x="234"/>
        <item x="179"/>
        <item x="248"/>
        <item x="90"/>
        <item x="330"/>
        <item x="166"/>
        <item x="136"/>
        <item x="152"/>
        <item x="140"/>
        <item x="460"/>
        <item x="22"/>
        <item x="157"/>
        <item x="471"/>
        <item x="35"/>
        <item x="423"/>
        <item x="327"/>
        <item x="75"/>
        <item x="18"/>
        <item x="147"/>
        <item x="292"/>
        <item x="85"/>
        <item x="137"/>
        <item x="223"/>
        <item x="316"/>
        <item x="92"/>
        <item x="33"/>
        <item x="326"/>
        <item x="305"/>
        <item x="211"/>
        <item x="206"/>
        <item x="464"/>
        <item x="69"/>
        <item x="260"/>
        <item x="114"/>
        <item x="301"/>
        <item x="343"/>
        <item x="354"/>
        <item x="462"/>
        <item x="273"/>
        <item x="96"/>
        <item x="322"/>
        <item x="428"/>
        <item x="483"/>
        <item x="203"/>
        <item x="274"/>
        <item x="495"/>
        <item x="51"/>
        <item x="102"/>
        <item x="409"/>
        <item x="258"/>
        <item x="31"/>
        <item x="488"/>
        <item x="158"/>
        <item x="138"/>
        <item x="429"/>
        <item x="412"/>
        <item x="450"/>
        <item x="275"/>
        <item x="446"/>
        <item x="53"/>
        <item x="436"/>
        <item x="0"/>
        <item x="99"/>
        <item x="380"/>
        <item x="481"/>
        <item x="348"/>
        <item x="309"/>
        <item x="150"/>
        <item x="299"/>
        <item x="278"/>
        <item x="356"/>
        <item x="169"/>
        <item x="215"/>
        <item x="238"/>
        <item x="103"/>
        <item x="213"/>
        <item x="432"/>
        <item x="128"/>
        <item x="385"/>
        <item x="86"/>
        <item x="440"/>
        <item x="229"/>
        <item x="379"/>
        <item x="333"/>
        <item x="173"/>
        <item x="401"/>
        <item x="148"/>
        <item x="433"/>
        <item x="36"/>
        <item x="172"/>
        <item x="83"/>
        <item x="204"/>
        <item x="317"/>
        <item x="387"/>
        <item x="231"/>
        <item x="230"/>
        <item x="388"/>
        <item x="49"/>
        <item x="88"/>
        <item x="191"/>
        <item x="286"/>
        <item x="72"/>
        <item x="39"/>
        <item x="496"/>
        <item x="265"/>
        <item x="298"/>
        <item x="108"/>
        <item x="115"/>
        <item x="415"/>
        <item x="251"/>
        <item x="455"/>
        <item x="269"/>
        <item x="250"/>
        <item x="329"/>
        <item x="198"/>
        <item x="55"/>
        <item x="237"/>
        <item x="180"/>
        <item x="449"/>
        <item x="240"/>
        <item x="242"/>
        <item x="42"/>
        <item x="315"/>
        <item x="486"/>
        <item x="267"/>
        <item t="default"/>
      </items>
    </pivotField>
  </pivotFields>
  <rowFields count="2">
    <field x="3"/>
    <field x="7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ity" fld="4" subtotal="count" baseField="0" baseItem="0"/>
    <dataField name="Sum of Age" fld="2" baseField="0" baseItem="0"/>
  </dataFields>
  <chartFormats count="20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</references>
      </pivotArea>
    </chartFormat>
    <chartFormat chart="12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</references>
      </pivotArea>
    </chartFormat>
    <chartFormat chart="12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2"/>
          </reference>
        </references>
      </pivotArea>
    </chartFormat>
    <chartFormat chart="12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3"/>
          </reference>
        </references>
      </pivotArea>
    </chartFormat>
    <chartFormat chart="12" format="2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</references>
      </pivotArea>
    </chartFormat>
    <chartFormat chart="12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</references>
      </pivotArea>
    </chartFormat>
    <chartFormat chart="12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2"/>
          </reference>
        </references>
      </pivotArea>
    </chartFormat>
    <chartFormat chart="12" format="2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3"/>
          </reference>
        </references>
      </pivotArea>
    </chartFormat>
    <chartFormat chart="12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30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</references>
      </pivotArea>
    </chartFormat>
    <chartFormat chart="12" format="31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</references>
      </pivotArea>
    </chartFormat>
    <chartFormat chart="12" format="32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7" count="1" selected="0">
            <x v="2"/>
          </reference>
        </references>
      </pivotArea>
    </chartFormat>
    <chartFormat chart="12" format="33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7" count="1" selected="0">
            <x v="3"/>
          </reference>
        </references>
      </pivotArea>
    </chartFormat>
    <chartFormat chart="12" format="34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</references>
      </pivotArea>
    </chartFormat>
    <chartFormat chart="12" format="35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</references>
      </pivotArea>
    </chartFormat>
    <chartFormat chart="12" format="36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2"/>
          </reference>
        </references>
      </pivotArea>
    </chartFormat>
    <chartFormat chart="12" format="37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4" name="Table4" displayName="Table4" ref="A1:I101" totalsRowShown="0" headerRowDxfId="0" headerRowBorderDxfId="9">
  <autoFilter ref="A1:I101"/>
  <tableColumns count="9">
    <tableColumn id="1" name="Product_ID" dataDxfId="8"/>
    <tableColumn id="2" name="Product_Name" dataDxfId="7"/>
    <tableColumn id="3" name="Category" dataDxfId="6"/>
    <tableColumn id="4" name="Sub_Category" dataDxfId="5"/>
    <tableColumn id="5" name="Brand" dataDxfId="4"/>
    <tableColumn id="6" name="Cost" dataDxfId="3"/>
    <tableColumn id="7" name="Stock" dataDxfId="2"/>
    <tableColumn id="8" name="cost average" dataDxfId="1">
      <calculatedColumnFormula>AVERAGE(F2:F101)</calculatedColumnFormula>
    </tableColumn>
    <tableColumn id="9" name="Stock average">
      <calculatedColumnFormula>AVERAGE(G2:G101)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2001" totalsRowShown="0">
  <autoFilter ref="A1:R2001"/>
  <tableColumns count="18">
    <tableColumn id="1" name="Sales_ID"/>
    <tableColumn id="2" name="Order_Date" dataDxfId="30"/>
    <tableColumn id="3" name="Customer_ID"/>
    <tableColumn id="4" name="Product_ID"/>
    <tableColumn id="5" name="Store_ID"/>
    <tableColumn id="6" name="Quantity"/>
    <tableColumn id="7" name="Unit_Price" dataDxfId="29"/>
    <tableColumn id="8" name="Discount" dataDxfId="28"/>
    <tableColumn id="9" name="Payment_Type"/>
    <tableColumn id="10" name="Total_Amount" dataDxfId="27"/>
    <tableColumn id="11" name="sumif " dataDxfId="26">
      <calculatedColumnFormula>SUMIF(I2:I2001,"Credit Card",J2:J2001)</calculatedColumnFormula>
    </tableColumn>
    <tableColumn id="12" name="countif" dataDxfId="25">
      <calculatedColumnFormula>COUNTIF(I2:I2001,"Credit Card")</calculatedColumnFormula>
    </tableColumn>
    <tableColumn id="13" name="order date" dataDxfId="24">
      <calculatedColumnFormula>TEXT(B2:B2001,"dd-mm-yyyy")</calculatedColumnFormula>
    </tableColumn>
    <tableColumn id="14" name="average Discount" dataDxfId="23">
      <calculatedColumnFormula>AVERAGE(H2:H2001)</calculatedColumnFormula>
    </tableColumn>
    <tableColumn id="15" name="Quantity Avg" dataDxfId="22">
      <calculatedColumnFormula>AVERAGE(F2:F2001)</calculatedColumnFormula>
    </tableColumn>
    <tableColumn id="16" name="unit price average" dataDxfId="21">
      <calculatedColumnFormula>AVERAGE(G2:G2001)</calculatedColumnFormula>
    </tableColumn>
    <tableColumn id="17" name="mean" dataDxfId="20">
      <calculatedColumnFormula>AVERAGE(F2,G2,H2,J2)</calculatedColumnFormula>
    </tableColumn>
    <tableColumn id="18" name="month" dataDxfId="19">
      <calculatedColumnFormula>TEXT(M2,"mmm")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01" totalsRowShown="0" headerRowDxfId="18">
  <autoFilter ref="A1:I501"/>
  <tableColumns count="9">
    <tableColumn id="1" name="Customer_ID"/>
    <tableColumn id="2" name="Name"/>
    <tableColumn id="3" name="Age"/>
    <tableColumn id="4" name="Gender"/>
    <tableColumn id="5" name="City"/>
    <tableColumn id="6" name="State"/>
    <tableColumn id="7" name="Country"/>
    <tableColumn id="8" name="Loyalty_Level"/>
    <tableColumn id="9" name="Name2">
      <calculatedColumnFormula>PROPER(B2)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A1:E21" totalsRowShown="0" headerRowDxfId="17" headerRowBorderDxfId="16" totalsRowBorderDxfId="15">
  <autoFilter ref="A1:E21"/>
  <tableColumns count="5">
    <tableColumn id="1" name="Store_ID" dataDxfId="14"/>
    <tableColumn id="2" name="Store_Name" dataDxfId="13"/>
    <tableColumn id="3" name="Region" dataDxfId="12"/>
    <tableColumn id="4" name="City" dataDxfId="11"/>
    <tableColumn id="5" name="Store_Type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9"/>
  <sheetViews>
    <sheetView workbookViewId="0">
      <selection activeCell="J1" sqref="J1"/>
    </sheetView>
  </sheetViews>
  <sheetFormatPr defaultRowHeight="14.4" x14ac:dyDescent="0.3"/>
  <cols>
    <col min="1" max="1" width="12.33203125" customWidth="1"/>
    <col min="2" max="2" width="19.6640625" customWidth="1"/>
    <col min="3" max="3" width="10.44140625" customWidth="1"/>
    <col min="4" max="4" width="14.6640625" customWidth="1"/>
    <col min="5" max="5" width="12.5546875" customWidth="1"/>
    <col min="8" max="8" width="13.44140625" customWidth="1"/>
    <col min="9" max="9" width="14.6640625" customWidth="1"/>
  </cols>
  <sheetData>
    <row r="1" spans="1:21" x14ac:dyDescent="0.3">
      <c r="A1" s="3" t="s">
        <v>1321</v>
      </c>
      <c r="B1" s="2" t="s">
        <v>1322</v>
      </c>
      <c r="C1" s="2" t="s">
        <v>1323</v>
      </c>
      <c r="D1" s="2" t="s">
        <v>1324</v>
      </c>
      <c r="E1" s="2" t="s">
        <v>1325</v>
      </c>
      <c r="F1" s="11" t="s">
        <v>1326</v>
      </c>
      <c r="G1" s="4" t="s">
        <v>1327</v>
      </c>
      <c r="H1" s="2" t="s">
        <v>3747</v>
      </c>
      <c r="I1" s="2" t="s">
        <v>3748</v>
      </c>
      <c r="M1" t="s">
        <v>3776</v>
      </c>
    </row>
    <row r="2" spans="1:21" x14ac:dyDescent="0.3">
      <c r="A2" s="5" t="s">
        <v>1328</v>
      </c>
      <c r="B2" s="6" t="s">
        <v>3619</v>
      </c>
      <c r="C2" s="6" t="s">
        <v>1348</v>
      </c>
      <c r="D2" s="6" t="s">
        <v>3620</v>
      </c>
      <c r="E2" s="6" t="s">
        <v>1330</v>
      </c>
      <c r="F2" s="12">
        <v>112.42</v>
      </c>
      <c r="G2" s="7">
        <v>416</v>
      </c>
      <c r="H2" s="15">
        <f t="shared" ref="H2:H33" si="0">AVERAGE(F2:F101)</f>
        <v>254.23750000000004</v>
      </c>
      <c r="I2">
        <f t="shared" ref="I2:I33" si="1">AVERAGE(G2:G101)</f>
        <v>273.36363636363637</v>
      </c>
    </row>
    <row r="3" spans="1:21" x14ac:dyDescent="0.3">
      <c r="A3" s="5" t="s">
        <v>1331</v>
      </c>
      <c r="B3" s="6" t="s">
        <v>3621</v>
      </c>
      <c r="C3" s="6" t="s">
        <v>1332</v>
      </c>
      <c r="D3" s="6" t="s">
        <v>3622</v>
      </c>
      <c r="E3" s="6" t="s">
        <v>1333</v>
      </c>
      <c r="F3" s="12">
        <v>342.56</v>
      </c>
      <c r="G3" s="7">
        <v>181</v>
      </c>
      <c r="H3" s="12">
        <f t="shared" si="0"/>
        <v>255.67000000000004</v>
      </c>
      <c r="I3">
        <f t="shared" si="1"/>
        <v>271.90816326530614</v>
      </c>
      <c r="K3" t="s">
        <v>3780</v>
      </c>
    </row>
    <row r="4" spans="1:21" x14ac:dyDescent="0.3">
      <c r="A4" s="5" t="s">
        <v>1334</v>
      </c>
      <c r="B4" s="6" t="s">
        <v>3623</v>
      </c>
      <c r="C4" s="6" t="s">
        <v>1332</v>
      </c>
      <c r="D4" s="6" t="s">
        <v>3624</v>
      </c>
      <c r="E4" s="6" t="s">
        <v>1335</v>
      </c>
      <c r="F4" s="12">
        <v>254.62</v>
      </c>
      <c r="G4" s="7">
        <v>352</v>
      </c>
      <c r="H4" s="12">
        <f t="shared" si="0"/>
        <v>254.7833673469388</v>
      </c>
      <c r="I4">
        <f t="shared" si="1"/>
        <v>272.84536082474227</v>
      </c>
      <c r="K4" t="s">
        <v>3781</v>
      </c>
    </row>
    <row r="5" spans="1:21" x14ac:dyDescent="0.3">
      <c r="A5" s="5" t="s">
        <v>1336</v>
      </c>
      <c r="B5" s="6" t="s">
        <v>3625</v>
      </c>
      <c r="C5" s="6" t="s">
        <v>1332</v>
      </c>
      <c r="D5" s="6" t="s">
        <v>3624</v>
      </c>
      <c r="E5" s="6" t="s">
        <v>1337</v>
      </c>
      <c r="F5" s="12">
        <v>364.67</v>
      </c>
      <c r="G5" s="7">
        <v>452</v>
      </c>
      <c r="H5" s="12">
        <f t="shared" si="0"/>
        <v>254.7850515463918</v>
      </c>
      <c r="I5">
        <f t="shared" si="1"/>
        <v>272.02083333333331</v>
      </c>
      <c r="K5" t="s">
        <v>3782</v>
      </c>
      <c r="M5" t="s">
        <v>3783</v>
      </c>
    </row>
    <row r="6" spans="1:21" x14ac:dyDescent="0.3">
      <c r="A6" s="5" t="s">
        <v>1338</v>
      </c>
      <c r="B6" s="6" t="s">
        <v>3626</v>
      </c>
      <c r="C6" s="6" t="s">
        <v>1332</v>
      </c>
      <c r="D6" s="6" t="s">
        <v>3627</v>
      </c>
      <c r="E6" s="6" t="s">
        <v>1339</v>
      </c>
      <c r="F6" s="12">
        <v>306.45999999999998</v>
      </c>
      <c r="G6" s="7">
        <v>487</v>
      </c>
      <c r="H6" s="12">
        <f t="shared" si="0"/>
        <v>253.64041666666671</v>
      </c>
      <c r="I6">
        <f t="shared" si="1"/>
        <v>270.12631578947367</v>
      </c>
      <c r="K6" t="s">
        <v>3784</v>
      </c>
    </row>
    <row r="7" spans="1:21" x14ac:dyDescent="0.3">
      <c r="A7" s="5" t="s">
        <v>1340</v>
      </c>
      <c r="B7" s="6" t="s">
        <v>3628</v>
      </c>
      <c r="C7" s="6" t="s">
        <v>1332</v>
      </c>
      <c r="D7" s="6" t="s">
        <v>3629</v>
      </c>
      <c r="E7" s="6" t="s">
        <v>1341</v>
      </c>
      <c r="F7" s="12">
        <v>261</v>
      </c>
      <c r="G7" s="7">
        <v>59</v>
      </c>
      <c r="H7" s="12">
        <f t="shared" si="0"/>
        <v>253.08442105263163</v>
      </c>
      <c r="I7">
        <f t="shared" si="1"/>
        <v>267.81914893617022</v>
      </c>
      <c r="K7" t="s">
        <v>3785</v>
      </c>
    </row>
    <row r="8" spans="1:21" x14ac:dyDescent="0.3">
      <c r="A8" s="5" t="s">
        <v>1342</v>
      </c>
      <c r="B8" s="6" t="s">
        <v>3630</v>
      </c>
      <c r="C8" s="6" t="s">
        <v>1343</v>
      </c>
      <c r="D8" s="6" t="s">
        <v>3631</v>
      </c>
      <c r="E8" s="6" t="s">
        <v>1344</v>
      </c>
      <c r="F8" s="12">
        <v>312.8</v>
      </c>
      <c r="G8" s="7">
        <v>350</v>
      </c>
      <c r="H8" s="12">
        <f t="shared" si="0"/>
        <v>253.00021276595749</v>
      </c>
      <c r="I8">
        <f t="shared" si="1"/>
        <v>270.06451612903226</v>
      </c>
    </row>
    <row r="9" spans="1:21" x14ac:dyDescent="0.3">
      <c r="A9" s="5" t="s">
        <v>1345</v>
      </c>
      <c r="B9" s="6" t="s">
        <v>3632</v>
      </c>
      <c r="C9" s="6" t="s">
        <v>1329</v>
      </c>
      <c r="D9" s="6" t="s">
        <v>3633</v>
      </c>
      <c r="E9" s="6" t="s">
        <v>1346</v>
      </c>
      <c r="F9" s="12">
        <v>218.86</v>
      </c>
      <c r="G9" s="7">
        <v>170</v>
      </c>
      <c r="H9" s="12">
        <f t="shared" si="0"/>
        <v>252.35720430107531</v>
      </c>
      <c r="I9">
        <f t="shared" si="1"/>
        <v>269.19565217391306</v>
      </c>
    </row>
    <row r="10" spans="1:21" x14ac:dyDescent="0.3">
      <c r="A10" s="5" t="s">
        <v>1347</v>
      </c>
      <c r="B10" s="6" t="s">
        <v>3634</v>
      </c>
      <c r="C10" s="6" t="s">
        <v>1348</v>
      </c>
      <c r="D10" s="6" t="s">
        <v>3635</v>
      </c>
      <c r="E10" s="6" t="s">
        <v>1349</v>
      </c>
      <c r="F10" s="12">
        <v>439.07</v>
      </c>
      <c r="G10" s="7">
        <v>142</v>
      </c>
      <c r="H10" s="12">
        <f t="shared" si="0"/>
        <v>252.72130434782613</v>
      </c>
      <c r="I10">
        <f t="shared" si="1"/>
        <v>270.28571428571428</v>
      </c>
    </row>
    <row r="11" spans="1:21" x14ac:dyDescent="0.3">
      <c r="A11" s="5" t="s">
        <v>1350</v>
      </c>
      <c r="B11" s="6" t="s">
        <v>3636</v>
      </c>
      <c r="C11" s="6" t="s">
        <v>1351</v>
      </c>
      <c r="D11" s="6" t="s">
        <v>3637</v>
      </c>
      <c r="E11" s="6" t="s">
        <v>1352</v>
      </c>
      <c r="F11" s="12">
        <v>495.72</v>
      </c>
      <c r="G11" s="7">
        <v>323</v>
      </c>
      <c r="H11" s="12">
        <f t="shared" si="0"/>
        <v>250.67351648351652</v>
      </c>
      <c r="I11">
        <f t="shared" si="1"/>
        <v>271.71111111111111</v>
      </c>
    </row>
    <row r="12" spans="1:21" x14ac:dyDescent="0.3">
      <c r="A12" s="5" t="s">
        <v>1353</v>
      </c>
      <c r="B12" s="6" t="s">
        <v>3638</v>
      </c>
      <c r="C12" s="6" t="s">
        <v>1329</v>
      </c>
      <c r="D12" s="6" t="s">
        <v>3639</v>
      </c>
      <c r="E12" s="6" t="s">
        <v>1354</v>
      </c>
      <c r="F12" s="12">
        <v>298.86</v>
      </c>
      <c r="G12" s="7">
        <v>308</v>
      </c>
      <c r="H12" s="12">
        <f t="shared" si="0"/>
        <v>247.9507777777778</v>
      </c>
      <c r="I12">
        <f t="shared" si="1"/>
        <v>271.13483146067415</v>
      </c>
    </row>
    <row r="13" spans="1:21" x14ac:dyDescent="0.3">
      <c r="A13" s="5" t="s">
        <v>1355</v>
      </c>
      <c r="B13" s="6" t="s">
        <v>3640</v>
      </c>
      <c r="C13" s="6" t="s">
        <v>1348</v>
      </c>
      <c r="D13" s="6" t="s">
        <v>3629</v>
      </c>
      <c r="E13" s="6" t="s">
        <v>1356</v>
      </c>
      <c r="F13" s="12">
        <v>449.4</v>
      </c>
      <c r="G13" s="7">
        <v>270</v>
      </c>
      <c r="H13" s="12">
        <f t="shared" si="0"/>
        <v>247.37876404494386</v>
      </c>
      <c r="I13">
        <f t="shared" si="1"/>
        <v>270.71590909090907</v>
      </c>
    </row>
    <row r="14" spans="1:21" x14ac:dyDescent="0.3">
      <c r="A14" s="5" t="s">
        <v>1357</v>
      </c>
      <c r="B14" s="6" t="s">
        <v>3641</v>
      </c>
      <c r="C14" s="6" t="s">
        <v>1343</v>
      </c>
      <c r="D14" s="6" t="s">
        <v>3642</v>
      </c>
      <c r="E14" s="6" t="s">
        <v>1358</v>
      </c>
      <c r="F14" s="12">
        <v>115.82</v>
      </c>
      <c r="G14" s="7">
        <v>460</v>
      </c>
      <c r="H14" s="12">
        <f t="shared" si="0"/>
        <v>245.08306818181819</v>
      </c>
      <c r="I14">
        <f t="shared" si="1"/>
        <v>270.72413793103448</v>
      </c>
    </row>
    <row r="15" spans="1:21" x14ac:dyDescent="0.3">
      <c r="A15" s="5" t="s">
        <v>1359</v>
      </c>
      <c r="B15" s="6" t="s">
        <v>3643</v>
      </c>
      <c r="C15" s="6" t="s">
        <v>1348</v>
      </c>
      <c r="D15" s="6" t="s">
        <v>3629</v>
      </c>
      <c r="E15" s="6" t="s">
        <v>1360</v>
      </c>
      <c r="F15" s="12">
        <v>242.23</v>
      </c>
      <c r="G15" s="7">
        <v>453</v>
      </c>
      <c r="H15" s="12">
        <f t="shared" si="0"/>
        <v>246.56885057471271</v>
      </c>
      <c r="I15">
        <f t="shared" si="1"/>
        <v>268.52325581395348</v>
      </c>
      <c r="L15" s="22" t="s">
        <v>1327</v>
      </c>
      <c r="M15" s="22"/>
      <c r="N15" s="22" t="s">
        <v>3747</v>
      </c>
      <c r="O15" s="22"/>
      <c r="P15" s="22" t="s">
        <v>3748</v>
      </c>
      <c r="Q15" s="22"/>
      <c r="R15" s="22"/>
      <c r="S15" s="22"/>
      <c r="T15" s="22"/>
      <c r="U15" s="22"/>
    </row>
    <row r="16" spans="1:21" x14ac:dyDescent="0.3">
      <c r="A16" s="5" t="s">
        <v>1361</v>
      </c>
      <c r="B16" s="6" t="s">
        <v>3644</v>
      </c>
      <c r="C16" s="6" t="s">
        <v>1329</v>
      </c>
      <c r="D16" s="6" t="s">
        <v>3645</v>
      </c>
      <c r="E16" s="6" t="s">
        <v>1362</v>
      </c>
      <c r="F16" s="12">
        <v>48.01</v>
      </c>
      <c r="G16" s="7">
        <v>439</v>
      </c>
      <c r="H16" s="12">
        <f t="shared" si="0"/>
        <v>246.61930232558143</v>
      </c>
      <c r="I16">
        <f t="shared" si="1"/>
        <v>266.35294117647061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</row>
    <row r="17" spans="1:21" x14ac:dyDescent="0.3">
      <c r="A17" s="5" t="s">
        <v>1363</v>
      </c>
      <c r="B17" s="6" t="s">
        <v>3646</v>
      </c>
      <c r="C17" s="6" t="s">
        <v>1348</v>
      </c>
      <c r="D17" s="6" t="s">
        <v>3647</v>
      </c>
      <c r="E17" s="6" t="s">
        <v>1364</v>
      </c>
      <c r="F17" s="12">
        <v>465.34</v>
      </c>
      <c r="G17" s="7">
        <v>301</v>
      </c>
      <c r="H17" s="12">
        <f t="shared" si="0"/>
        <v>248.95588235294122</v>
      </c>
      <c r="I17">
        <f t="shared" si="1"/>
        <v>264.29761904761904</v>
      </c>
      <c r="L17" s="23" t="s">
        <v>3757</v>
      </c>
      <c r="M17" s="23">
        <v>319.46153846153845</v>
      </c>
      <c r="N17" s="23" t="s">
        <v>3757</v>
      </c>
      <c r="O17" s="23">
        <v>251.56674679216115</v>
      </c>
      <c r="P17" s="23" t="s">
        <v>3757</v>
      </c>
      <c r="Q17" s="23">
        <v>270.82834995201546</v>
      </c>
      <c r="R17" s="23" t="s">
        <v>3757</v>
      </c>
      <c r="S17" s="23" t="e">
        <v>#DIV/0!</v>
      </c>
      <c r="T17" s="23" t="s">
        <v>3757</v>
      </c>
      <c r="U17" s="23" t="e">
        <v>#NUM!</v>
      </c>
    </row>
    <row r="18" spans="1:21" x14ac:dyDescent="0.3">
      <c r="A18" s="5" t="s">
        <v>1365</v>
      </c>
      <c r="B18" s="6" t="s">
        <v>3648</v>
      </c>
      <c r="C18" s="6" t="s">
        <v>1343</v>
      </c>
      <c r="D18" s="6" t="s">
        <v>3649</v>
      </c>
      <c r="E18" s="6" t="s">
        <v>1366</v>
      </c>
      <c r="F18" s="12">
        <v>337.42</v>
      </c>
      <c r="G18" s="7">
        <v>256</v>
      </c>
      <c r="H18" s="12">
        <f t="shared" si="0"/>
        <v>246.379880952381</v>
      </c>
      <c r="I18">
        <f t="shared" si="1"/>
        <v>263.85542168674698</v>
      </c>
      <c r="L18" s="23" t="s">
        <v>3758</v>
      </c>
      <c r="M18" s="23">
        <v>38.855190621901464</v>
      </c>
      <c r="N18" s="23" t="s">
        <v>3758</v>
      </c>
      <c r="O18" s="23">
        <v>0.91902714451983591</v>
      </c>
      <c r="P18" s="23" t="s">
        <v>3758</v>
      </c>
      <c r="Q18" s="23">
        <v>0.42937423285740067</v>
      </c>
      <c r="R18" s="23" t="s">
        <v>3758</v>
      </c>
      <c r="S18" s="23">
        <v>65535</v>
      </c>
      <c r="T18" s="23" t="s">
        <v>3758</v>
      </c>
      <c r="U18" s="23">
        <v>65535</v>
      </c>
    </row>
    <row r="19" spans="1:21" x14ac:dyDescent="0.3">
      <c r="A19" s="5" t="s">
        <v>1367</v>
      </c>
      <c r="B19" s="6" t="s">
        <v>3650</v>
      </c>
      <c r="C19" s="6" t="s">
        <v>1351</v>
      </c>
      <c r="D19" s="6" t="s">
        <v>3629</v>
      </c>
      <c r="E19" s="6" t="s">
        <v>1368</v>
      </c>
      <c r="F19" s="12">
        <v>144.53</v>
      </c>
      <c r="G19" s="7">
        <v>367</v>
      </c>
      <c r="H19" s="12">
        <f t="shared" si="0"/>
        <v>245.28301204819283</v>
      </c>
      <c r="I19">
        <f t="shared" si="1"/>
        <v>263.95121951219511</v>
      </c>
      <c r="L19" s="23" t="s">
        <v>3759</v>
      </c>
      <c r="M19" s="23">
        <v>350</v>
      </c>
      <c r="N19" s="23" t="s">
        <v>3759</v>
      </c>
      <c r="O19" s="23">
        <v>252.86075855689182</v>
      </c>
      <c r="P19" s="23" t="s">
        <v>3759</v>
      </c>
      <c r="Q19" s="23">
        <v>270.80232558139534</v>
      </c>
      <c r="R19" s="23" t="s">
        <v>3759</v>
      </c>
      <c r="S19" s="23" t="e">
        <v>#NUM!</v>
      </c>
      <c r="T19" s="23" t="s">
        <v>3759</v>
      </c>
      <c r="U19" s="23" t="e">
        <v>#NUM!</v>
      </c>
    </row>
    <row r="20" spans="1:21" x14ac:dyDescent="0.3">
      <c r="A20" s="5" t="s">
        <v>1369</v>
      </c>
      <c r="B20" s="6" t="s">
        <v>3651</v>
      </c>
      <c r="C20" s="6" t="s">
        <v>1332</v>
      </c>
      <c r="D20" s="6" t="s">
        <v>3627</v>
      </c>
      <c r="E20" s="6" t="s">
        <v>1370</v>
      </c>
      <c r="F20" s="12">
        <v>245.78</v>
      </c>
      <c r="G20" s="7">
        <v>343</v>
      </c>
      <c r="H20" s="12">
        <f t="shared" si="0"/>
        <v>246.51170731707322</v>
      </c>
      <c r="I20">
        <f t="shared" si="1"/>
        <v>262.67901234567898</v>
      </c>
      <c r="L20" s="23" t="s">
        <v>3760</v>
      </c>
      <c r="M20" s="23" t="e">
        <v>#N/A</v>
      </c>
      <c r="N20" s="23" t="s">
        <v>3760</v>
      </c>
      <c r="O20" s="23" t="e">
        <v>#N/A</v>
      </c>
      <c r="P20" s="23" t="s">
        <v>3760</v>
      </c>
      <c r="Q20" s="23">
        <v>270.80232558139534</v>
      </c>
      <c r="R20" s="23" t="s">
        <v>3760</v>
      </c>
      <c r="S20" s="23" t="e">
        <v>#N/A</v>
      </c>
      <c r="T20" s="23" t="s">
        <v>3760</v>
      </c>
      <c r="U20" s="23" t="e">
        <v>#N/A</v>
      </c>
    </row>
    <row r="21" spans="1:21" x14ac:dyDescent="0.3">
      <c r="A21" s="5" t="s">
        <v>1371</v>
      </c>
      <c r="B21" s="6" t="s">
        <v>3652</v>
      </c>
      <c r="C21" s="6" t="s">
        <v>1351</v>
      </c>
      <c r="D21" s="6" t="s">
        <v>3653</v>
      </c>
      <c r="E21" s="6" t="s">
        <v>1372</v>
      </c>
      <c r="F21" s="12">
        <v>21.34</v>
      </c>
      <c r="G21" s="7">
        <v>65</v>
      </c>
      <c r="H21" s="12">
        <f t="shared" si="0"/>
        <v>246.52074074074079</v>
      </c>
      <c r="I21">
        <f t="shared" si="1"/>
        <v>261.67500000000001</v>
      </c>
      <c r="L21" s="23" t="s">
        <v>3761</v>
      </c>
      <c r="M21" s="23">
        <v>140.09438210519326</v>
      </c>
      <c r="N21" s="23" t="s">
        <v>3761</v>
      </c>
      <c r="O21" s="23">
        <v>3.4386847039384065</v>
      </c>
      <c r="P21" s="23" t="s">
        <v>3761</v>
      </c>
      <c r="Q21" s="23">
        <v>1.6065712700612875</v>
      </c>
      <c r="R21" s="23" t="s">
        <v>3761</v>
      </c>
      <c r="S21" s="23" t="e">
        <v>#DIV/0!</v>
      </c>
      <c r="T21" s="23" t="s">
        <v>3761</v>
      </c>
      <c r="U21" s="23" t="e">
        <v>#DIV/0!</v>
      </c>
    </row>
    <row r="22" spans="1:21" x14ac:dyDescent="0.3">
      <c r="A22" s="5" t="s">
        <v>1373</v>
      </c>
      <c r="B22" s="6" t="s">
        <v>3654</v>
      </c>
      <c r="C22" s="6" t="s">
        <v>1351</v>
      </c>
      <c r="D22" s="6" t="s">
        <v>3629</v>
      </c>
      <c r="E22" s="6" t="s">
        <v>1374</v>
      </c>
      <c r="F22" s="12">
        <v>131.51</v>
      </c>
      <c r="G22" s="7">
        <v>264</v>
      </c>
      <c r="H22" s="12">
        <f t="shared" si="0"/>
        <v>249.3355</v>
      </c>
      <c r="I22">
        <f t="shared" si="1"/>
        <v>264.1645569620253</v>
      </c>
      <c r="L22" s="23" t="s">
        <v>3762</v>
      </c>
      <c r="M22" s="23">
        <v>19626.435897435895</v>
      </c>
      <c r="N22" s="23" t="s">
        <v>3762</v>
      </c>
      <c r="O22" s="23">
        <v>11.824552493099965</v>
      </c>
      <c r="P22" s="23" t="s">
        <v>3762</v>
      </c>
      <c r="Q22" s="23">
        <v>2.5810712457863385</v>
      </c>
      <c r="R22" s="23" t="s">
        <v>3762</v>
      </c>
      <c r="S22" s="23" t="e">
        <v>#DIV/0!</v>
      </c>
      <c r="T22" s="23" t="s">
        <v>3762</v>
      </c>
      <c r="U22" s="23" t="e">
        <v>#DIV/0!</v>
      </c>
    </row>
    <row r="23" spans="1:21" x14ac:dyDescent="0.3">
      <c r="A23" s="5" t="s">
        <v>1375</v>
      </c>
      <c r="B23" s="6" t="s">
        <v>3655</v>
      </c>
      <c r="C23" s="6" t="s">
        <v>1329</v>
      </c>
      <c r="D23" s="6" t="s">
        <v>3656</v>
      </c>
      <c r="E23" s="6" t="s">
        <v>1376</v>
      </c>
      <c r="F23" s="12">
        <v>123.46</v>
      </c>
      <c r="G23" s="7">
        <v>76</v>
      </c>
      <c r="H23" s="12">
        <f t="shared" si="0"/>
        <v>250.82696202531642</v>
      </c>
      <c r="I23">
        <f t="shared" si="1"/>
        <v>264.16666666666669</v>
      </c>
      <c r="L23" s="23" t="s">
        <v>3763</v>
      </c>
      <c r="M23" s="23">
        <v>-0.93698625746270325</v>
      </c>
      <c r="N23" s="23" t="s">
        <v>3763</v>
      </c>
      <c r="O23" s="23">
        <v>-0.82195807324982484</v>
      </c>
      <c r="P23" s="23" t="s">
        <v>3763</v>
      </c>
      <c r="Q23" s="23">
        <v>-0.35346242600659394</v>
      </c>
      <c r="R23" s="23" t="s">
        <v>3763</v>
      </c>
      <c r="S23" s="23" t="e">
        <v>#DIV/0!</v>
      </c>
      <c r="T23" s="23" t="s">
        <v>3763</v>
      </c>
      <c r="U23" s="23" t="e">
        <v>#DIV/0!</v>
      </c>
    </row>
    <row r="24" spans="1:21" x14ac:dyDescent="0.3">
      <c r="A24" s="5" t="s">
        <v>1377</v>
      </c>
      <c r="B24" s="6" t="s">
        <v>3657</v>
      </c>
      <c r="C24" s="6" t="s">
        <v>1351</v>
      </c>
      <c r="D24" s="6" t="s">
        <v>3653</v>
      </c>
      <c r="E24" s="6" t="s">
        <v>1378</v>
      </c>
      <c r="F24" s="12">
        <v>484.62</v>
      </c>
      <c r="G24" s="7">
        <v>432</v>
      </c>
      <c r="H24" s="12">
        <f t="shared" si="0"/>
        <v>252.45987179487179</v>
      </c>
      <c r="I24">
        <f t="shared" si="1"/>
        <v>266.61038961038963</v>
      </c>
      <c r="L24" s="23" t="s">
        <v>3764</v>
      </c>
      <c r="M24" s="23">
        <v>-0.57677180550851836</v>
      </c>
      <c r="N24" s="23" t="s">
        <v>3764</v>
      </c>
      <c r="O24" s="23">
        <v>-0.76522799969830035</v>
      </c>
      <c r="P24" s="23" t="s">
        <v>3764</v>
      </c>
      <c r="Q24" s="23">
        <v>-0.19948756504675802</v>
      </c>
      <c r="R24" s="23" t="s">
        <v>3764</v>
      </c>
      <c r="S24" s="23" t="e">
        <v>#DIV/0!</v>
      </c>
      <c r="T24" s="23" t="s">
        <v>3764</v>
      </c>
      <c r="U24" s="23" t="e">
        <v>#DIV/0!</v>
      </c>
    </row>
    <row r="25" spans="1:21" x14ac:dyDescent="0.3">
      <c r="A25" s="5" t="s">
        <v>1379</v>
      </c>
      <c r="B25" s="6" t="s">
        <v>3658</v>
      </c>
      <c r="C25" s="6" t="s">
        <v>1332</v>
      </c>
      <c r="D25" s="6" t="s">
        <v>3622</v>
      </c>
      <c r="E25" s="6" t="s">
        <v>1380</v>
      </c>
      <c r="F25" s="12">
        <v>248.82</v>
      </c>
      <c r="G25" s="7">
        <v>360</v>
      </c>
      <c r="H25" s="12">
        <f t="shared" si="0"/>
        <v>249.44480519480518</v>
      </c>
      <c r="I25">
        <f t="shared" si="1"/>
        <v>264.43421052631578</v>
      </c>
      <c r="L25" s="23" t="s">
        <v>3765</v>
      </c>
      <c r="M25" s="23">
        <v>428</v>
      </c>
      <c r="N25" s="23" t="s">
        <v>3765</v>
      </c>
      <c r="O25" s="23">
        <v>10.586931818181853</v>
      </c>
      <c r="P25" s="23" t="s">
        <v>3765</v>
      </c>
      <c r="Q25" s="23">
        <v>5.657888839085615</v>
      </c>
      <c r="R25" s="23" t="s">
        <v>3765</v>
      </c>
      <c r="S25" s="23">
        <v>0</v>
      </c>
      <c r="T25" s="23" t="s">
        <v>3765</v>
      </c>
      <c r="U25" s="23">
        <v>0</v>
      </c>
    </row>
    <row r="26" spans="1:21" x14ac:dyDescent="0.3">
      <c r="A26" s="5" t="s">
        <v>1381</v>
      </c>
      <c r="B26" s="6" t="s">
        <v>3659</v>
      </c>
      <c r="C26" s="6" t="s">
        <v>1351</v>
      </c>
      <c r="D26" s="6" t="s">
        <v>3660</v>
      </c>
      <c r="E26" s="6" t="s">
        <v>1382</v>
      </c>
      <c r="F26" s="12">
        <v>166.06</v>
      </c>
      <c r="G26" s="7">
        <v>340</v>
      </c>
      <c r="H26" s="12">
        <f t="shared" si="0"/>
        <v>249.45302631578949</v>
      </c>
      <c r="I26">
        <f t="shared" si="1"/>
        <v>263.16000000000003</v>
      </c>
      <c r="L26" s="23" t="s">
        <v>3766</v>
      </c>
      <c r="M26" s="23">
        <v>59</v>
      </c>
      <c r="N26" s="23" t="s">
        <v>3766</v>
      </c>
      <c r="O26" s="23">
        <v>245.08306818181819</v>
      </c>
      <c r="P26" s="23" t="s">
        <v>3766</v>
      </c>
      <c r="Q26" s="23">
        <v>267.83695652173913</v>
      </c>
      <c r="R26" s="23" t="s">
        <v>3766</v>
      </c>
      <c r="S26" s="23">
        <v>0</v>
      </c>
      <c r="T26" s="23" t="s">
        <v>3766</v>
      </c>
      <c r="U26" s="23">
        <v>0</v>
      </c>
    </row>
    <row r="27" spans="1:21" x14ac:dyDescent="0.3">
      <c r="A27" s="5" t="s">
        <v>1383</v>
      </c>
      <c r="B27" s="6" t="s">
        <v>3661</v>
      </c>
      <c r="C27" s="6" t="s">
        <v>1332</v>
      </c>
      <c r="D27" s="6" t="s">
        <v>3629</v>
      </c>
      <c r="E27" s="6" t="s">
        <v>1384</v>
      </c>
      <c r="F27" s="12">
        <v>174.02</v>
      </c>
      <c r="G27" s="7">
        <v>268</v>
      </c>
      <c r="H27" s="12">
        <f t="shared" si="0"/>
        <v>250.56493333333333</v>
      </c>
      <c r="I27">
        <f t="shared" si="1"/>
        <v>262.12162162162161</v>
      </c>
      <c r="L27" s="23" t="s">
        <v>3767</v>
      </c>
      <c r="M27" s="23">
        <v>487</v>
      </c>
      <c r="N27" s="23" t="s">
        <v>3767</v>
      </c>
      <c r="O27" s="23">
        <v>255.67000000000004</v>
      </c>
      <c r="P27" s="23" t="s">
        <v>3767</v>
      </c>
      <c r="Q27" s="23">
        <v>273.49484536082474</v>
      </c>
      <c r="R27" s="23" t="s">
        <v>3767</v>
      </c>
      <c r="S27" s="23">
        <v>0</v>
      </c>
      <c r="T27" s="23" t="s">
        <v>3767</v>
      </c>
      <c r="U27" s="23">
        <v>0</v>
      </c>
    </row>
    <row r="28" spans="1:21" x14ac:dyDescent="0.3">
      <c r="A28" s="5" t="s">
        <v>1385</v>
      </c>
      <c r="B28" s="6" t="s">
        <v>3662</v>
      </c>
      <c r="C28" s="6" t="s">
        <v>1348</v>
      </c>
      <c r="D28" s="6" t="s">
        <v>3635</v>
      </c>
      <c r="E28" s="6" t="s">
        <v>1386</v>
      </c>
      <c r="F28" s="12">
        <v>322.41000000000003</v>
      </c>
      <c r="G28" s="7">
        <v>213</v>
      </c>
      <c r="H28" s="12">
        <f t="shared" si="0"/>
        <v>251.5993243243243</v>
      </c>
      <c r="I28">
        <f t="shared" si="1"/>
        <v>262.04109589041099</v>
      </c>
      <c r="L28" s="23" t="s">
        <v>3768</v>
      </c>
      <c r="M28" s="23">
        <v>4153</v>
      </c>
      <c r="N28" s="23" t="s">
        <v>3768</v>
      </c>
      <c r="O28" s="23">
        <v>3521.9344550902561</v>
      </c>
      <c r="P28" s="23" t="s">
        <v>3768</v>
      </c>
      <c r="Q28" s="23">
        <v>3791.5968993282168</v>
      </c>
      <c r="R28" s="23" t="s">
        <v>3768</v>
      </c>
      <c r="S28" s="23">
        <v>0</v>
      </c>
      <c r="T28" s="23" t="s">
        <v>3768</v>
      </c>
      <c r="U28" s="23">
        <v>0</v>
      </c>
    </row>
    <row r="29" spans="1:21" x14ac:dyDescent="0.3">
      <c r="A29" s="5" t="s">
        <v>1387</v>
      </c>
      <c r="B29" s="6" t="s">
        <v>3663</v>
      </c>
      <c r="C29" s="6" t="s">
        <v>1329</v>
      </c>
      <c r="D29" s="6" t="s">
        <v>3645</v>
      </c>
      <c r="E29" s="6" t="s">
        <v>1388</v>
      </c>
      <c r="F29" s="12">
        <v>250.02</v>
      </c>
      <c r="G29" s="7">
        <v>378</v>
      </c>
      <c r="H29" s="12">
        <f t="shared" si="0"/>
        <v>250.62931506849313</v>
      </c>
      <c r="I29">
        <f t="shared" si="1"/>
        <v>262.72222222222223</v>
      </c>
      <c r="L29" s="23" t="s">
        <v>3769</v>
      </c>
      <c r="M29" s="23">
        <v>13</v>
      </c>
      <c r="N29" s="23" t="s">
        <v>3769</v>
      </c>
      <c r="O29" s="23">
        <v>14</v>
      </c>
      <c r="P29" s="23" t="s">
        <v>3769</v>
      </c>
      <c r="Q29" s="23">
        <v>14</v>
      </c>
      <c r="R29" s="23" t="s">
        <v>3769</v>
      </c>
      <c r="S29" s="23">
        <v>0</v>
      </c>
      <c r="T29" s="23" t="s">
        <v>3769</v>
      </c>
      <c r="U29" s="23">
        <v>0</v>
      </c>
    </row>
    <row r="30" spans="1:21" x14ac:dyDescent="0.3">
      <c r="A30" s="5" t="s">
        <v>1389</v>
      </c>
      <c r="B30" s="6" t="s">
        <v>3664</v>
      </c>
      <c r="C30" s="6" t="s">
        <v>1351</v>
      </c>
      <c r="D30" s="6" t="s">
        <v>3629</v>
      </c>
      <c r="E30" s="6" t="s">
        <v>1390</v>
      </c>
      <c r="F30" s="12">
        <v>38.76</v>
      </c>
      <c r="G30" s="7">
        <v>137</v>
      </c>
      <c r="H30" s="12">
        <f t="shared" si="0"/>
        <v>250.63777777777776</v>
      </c>
      <c r="I30">
        <f t="shared" si="1"/>
        <v>261.09859154929575</v>
      </c>
    </row>
    <row r="31" spans="1:21" x14ac:dyDescent="0.3">
      <c r="A31" s="5" t="s">
        <v>1391</v>
      </c>
      <c r="B31" s="6" t="s">
        <v>3665</v>
      </c>
      <c r="C31" s="6" t="s">
        <v>1329</v>
      </c>
      <c r="D31" s="6" t="s">
        <v>3645</v>
      </c>
      <c r="E31" s="6" t="s">
        <v>1392</v>
      </c>
      <c r="F31" s="12">
        <v>218.48</v>
      </c>
      <c r="G31" s="7">
        <v>276</v>
      </c>
      <c r="H31" s="12">
        <f t="shared" si="0"/>
        <v>253.62197183098587</v>
      </c>
      <c r="I31">
        <f t="shared" si="1"/>
        <v>262.87142857142857</v>
      </c>
    </row>
    <row r="32" spans="1:21" x14ac:dyDescent="0.3">
      <c r="A32" s="5" t="s">
        <v>1393</v>
      </c>
      <c r="B32" s="6" t="s">
        <v>3666</v>
      </c>
      <c r="C32" s="6" t="s">
        <v>1329</v>
      </c>
      <c r="D32" s="6" t="s">
        <v>3639</v>
      </c>
      <c r="E32" s="6" t="s">
        <v>1394</v>
      </c>
      <c r="F32" s="12">
        <v>19.52</v>
      </c>
      <c r="G32" s="7">
        <v>57</v>
      </c>
      <c r="H32" s="12">
        <f t="shared" si="0"/>
        <v>254.12399999999994</v>
      </c>
      <c r="I32">
        <f t="shared" si="1"/>
        <v>262.68115942028987</v>
      </c>
    </row>
    <row r="33" spans="1:9" x14ac:dyDescent="0.3">
      <c r="A33" s="5" t="s">
        <v>1395</v>
      </c>
      <c r="B33" s="6" t="s">
        <v>3667</v>
      </c>
      <c r="C33" s="6" t="s">
        <v>1351</v>
      </c>
      <c r="D33" s="6" t="s">
        <v>3668</v>
      </c>
      <c r="E33" s="6" t="s">
        <v>1396</v>
      </c>
      <c r="F33" s="12">
        <v>204.39</v>
      </c>
      <c r="G33" s="7">
        <v>281</v>
      </c>
      <c r="H33" s="12">
        <f t="shared" si="0"/>
        <v>257.52405797101449</v>
      </c>
      <c r="I33">
        <f t="shared" si="1"/>
        <v>265.70588235294116</v>
      </c>
    </row>
    <row r="34" spans="1:9" x14ac:dyDescent="0.3">
      <c r="A34" s="5" t="s">
        <v>1397</v>
      </c>
      <c r="B34" s="6" t="s">
        <v>3669</v>
      </c>
      <c r="C34" s="6" t="s">
        <v>1343</v>
      </c>
      <c r="D34" s="6" t="s">
        <v>3631</v>
      </c>
      <c r="E34" s="6" t="s">
        <v>1398</v>
      </c>
      <c r="F34" s="12">
        <v>283.83</v>
      </c>
      <c r="G34" s="7">
        <v>244</v>
      </c>
      <c r="H34" s="12">
        <f t="shared" ref="H34:H65" si="2">AVERAGE(F34:F133)</f>
        <v>258.30544117647048</v>
      </c>
      <c r="I34">
        <f t="shared" ref="I34:I65" si="3">AVERAGE(G34:G133)</f>
        <v>265.47761194029852</v>
      </c>
    </row>
    <row r="35" spans="1:9" x14ac:dyDescent="0.3">
      <c r="A35" s="5" t="s">
        <v>1399</v>
      </c>
      <c r="B35" s="6" t="s">
        <v>3670</v>
      </c>
      <c r="C35" s="6" t="s">
        <v>1329</v>
      </c>
      <c r="D35" s="6" t="s">
        <v>3645</v>
      </c>
      <c r="E35" s="6" t="s">
        <v>1400</v>
      </c>
      <c r="F35" s="12">
        <v>179.77</v>
      </c>
      <c r="G35" s="7">
        <v>305</v>
      </c>
      <c r="H35" s="12">
        <f t="shared" si="2"/>
        <v>257.92447761194023</v>
      </c>
      <c r="I35">
        <f t="shared" si="3"/>
        <v>265.80303030303031</v>
      </c>
    </row>
    <row r="36" spans="1:9" x14ac:dyDescent="0.3">
      <c r="A36" s="5" t="s">
        <v>1401</v>
      </c>
      <c r="B36" s="6" t="s">
        <v>3671</v>
      </c>
      <c r="C36" s="6" t="s">
        <v>1348</v>
      </c>
      <c r="D36" s="6" t="s">
        <v>3620</v>
      </c>
      <c r="E36" s="6" t="s">
        <v>1402</v>
      </c>
      <c r="F36" s="12">
        <v>419.28</v>
      </c>
      <c r="G36" s="7">
        <v>86</v>
      </c>
      <c r="H36" s="12">
        <f t="shared" si="2"/>
        <v>259.10863636363626</v>
      </c>
      <c r="I36">
        <f t="shared" si="3"/>
        <v>265.2</v>
      </c>
    </row>
    <row r="37" spans="1:9" x14ac:dyDescent="0.3">
      <c r="A37" s="5" t="s">
        <v>1403</v>
      </c>
      <c r="B37" s="6" t="s">
        <v>3672</v>
      </c>
      <c r="C37" s="6" t="s">
        <v>1329</v>
      </c>
      <c r="D37" s="6" t="s">
        <v>3633</v>
      </c>
      <c r="E37" s="6" t="s">
        <v>1404</v>
      </c>
      <c r="F37" s="12">
        <v>382.22</v>
      </c>
      <c r="G37" s="7">
        <v>329</v>
      </c>
      <c r="H37" s="12">
        <f t="shared" si="2"/>
        <v>256.64446153846148</v>
      </c>
      <c r="I37">
        <f t="shared" si="3"/>
        <v>268</v>
      </c>
    </row>
    <row r="38" spans="1:9" x14ac:dyDescent="0.3">
      <c r="A38" s="5" t="s">
        <v>1405</v>
      </c>
      <c r="B38" s="6" t="s">
        <v>3673</v>
      </c>
      <c r="C38" s="6" t="s">
        <v>1332</v>
      </c>
      <c r="D38" s="6" t="s">
        <v>3622</v>
      </c>
      <c r="E38" s="6" t="s">
        <v>1406</v>
      </c>
      <c r="F38" s="12">
        <v>223.43</v>
      </c>
      <c r="G38" s="7">
        <v>154</v>
      </c>
      <c r="H38" s="12">
        <f t="shared" si="2"/>
        <v>254.68234374999997</v>
      </c>
      <c r="I38">
        <f t="shared" si="3"/>
        <v>267.03174603174602</v>
      </c>
    </row>
    <row r="39" spans="1:9" x14ac:dyDescent="0.3">
      <c r="A39" s="5" t="s">
        <v>1407</v>
      </c>
      <c r="B39" s="6" t="s">
        <v>3674</v>
      </c>
      <c r="C39" s="6" t="s">
        <v>1332</v>
      </c>
      <c r="D39" s="6" t="s">
        <v>3675</v>
      </c>
      <c r="E39" s="6" t="s">
        <v>1408</v>
      </c>
      <c r="F39" s="12">
        <v>353.47</v>
      </c>
      <c r="G39" s="7">
        <v>214</v>
      </c>
      <c r="H39" s="12">
        <f t="shared" si="2"/>
        <v>255.17841269841264</v>
      </c>
      <c r="I39">
        <f t="shared" si="3"/>
        <v>268.85483870967744</v>
      </c>
    </row>
    <row r="40" spans="1:9" x14ac:dyDescent="0.3">
      <c r="A40" s="5" t="s">
        <v>1409</v>
      </c>
      <c r="B40" s="6" t="s">
        <v>3676</v>
      </c>
      <c r="C40" s="6" t="s">
        <v>1351</v>
      </c>
      <c r="D40" s="6" t="s">
        <v>3660</v>
      </c>
      <c r="E40" s="6" t="s">
        <v>1410</v>
      </c>
      <c r="F40" s="12">
        <v>135.61000000000001</v>
      </c>
      <c r="G40" s="7">
        <v>394</v>
      </c>
      <c r="H40" s="12">
        <f t="shared" si="2"/>
        <v>253.59306451612898</v>
      </c>
      <c r="I40">
        <f t="shared" si="3"/>
        <v>269.75409836065575</v>
      </c>
    </row>
    <row r="41" spans="1:9" x14ac:dyDescent="0.3">
      <c r="A41" s="5" t="s">
        <v>1411</v>
      </c>
      <c r="B41" s="6" t="s">
        <v>3677</v>
      </c>
      <c r="C41" s="6" t="s">
        <v>1348</v>
      </c>
      <c r="D41" s="6" t="s">
        <v>3678</v>
      </c>
      <c r="E41" s="6" t="s">
        <v>1412</v>
      </c>
      <c r="F41" s="12">
        <v>326.06</v>
      </c>
      <c r="G41" s="7">
        <v>301</v>
      </c>
      <c r="H41" s="12">
        <f t="shared" si="2"/>
        <v>255.52721311475403</v>
      </c>
      <c r="I41">
        <f t="shared" si="3"/>
        <v>267.68333333333334</v>
      </c>
    </row>
    <row r="42" spans="1:9" x14ac:dyDescent="0.3">
      <c r="A42" s="5" t="s">
        <v>1413</v>
      </c>
      <c r="B42" s="6" t="s">
        <v>3679</v>
      </c>
      <c r="C42" s="6" t="s">
        <v>1348</v>
      </c>
      <c r="D42" s="6" t="s">
        <v>3635</v>
      </c>
      <c r="E42" s="6" t="s">
        <v>1414</v>
      </c>
      <c r="F42" s="12">
        <v>38.520000000000003</v>
      </c>
      <c r="G42" s="7">
        <v>378</v>
      </c>
      <c r="H42" s="12">
        <f t="shared" si="2"/>
        <v>254.3516666666666</v>
      </c>
      <c r="I42">
        <f t="shared" si="3"/>
        <v>267.11864406779659</v>
      </c>
    </row>
    <row r="43" spans="1:9" x14ac:dyDescent="0.3">
      <c r="A43" s="5" t="s">
        <v>1415</v>
      </c>
      <c r="B43" s="6" t="s">
        <v>3680</v>
      </c>
      <c r="C43" s="6" t="s">
        <v>1351</v>
      </c>
      <c r="D43" s="6" t="s">
        <v>3637</v>
      </c>
      <c r="E43" s="6" t="s">
        <v>1416</v>
      </c>
      <c r="F43" s="12">
        <v>313.26</v>
      </c>
      <c r="G43" s="7">
        <v>369</v>
      </c>
      <c r="H43" s="12">
        <f t="shared" si="2"/>
        <v>258.00983050847452</v>
      </c>
      <c r="I43">
        <f t="shared" si="3"/>
        <v>265.20689655172413</v>
      </c>
    </row>
    <row r="44" spans="1:9" x14ac:dyDescent="0.3">
      <c r="A44" s="5" t="s">
        <v>1417</v>
      </c>
      <c r="B44" s="6" t="s">
        <v>3681</v>
      </c>
      <c r="C44" s="6" t="s">
        <v>1348</v>
      </c>
      <c r="D44" s="6" t="s">
        <v>3629</v>
      </c>
      <c r="E44" s="6" t="s">
        <v>1418</v>
      </c>
      <c r="F44" s="12">
        <v>450.71</v>
      </c>
      <c r="G44" s="7">
        <v>389</v>
      </c>
      <c r="H44" s="12">
        <f t="shared" si="2"/>
        <v>257.05724137931031</v>
      </c>
      <c r="I44">
        <f t="shared" si="3"/>
        <v>263.38596491228071</v>
      </c>
    </row>
    <row r="45" spans="1:9" x14ac:dyDescent="0.3">
      <c r="A45" s="5" t="s">
        <v>1419</v>
      </c>
      <c r="B45" s="6" t="s">
        <v>3682</v>
      </c>
      <c r="C45" s="6" t="s">
        <v>1348</v>
      </c>
      <c r="D45" s="6" t="s">
        <v>3620</v>
      </c>
      <c r="E45" s="6" t="s">
        <v>1420</v>
      </c>
      <c r="F45" s="12">
        <v>253.33</v>
      </c>
      <c r="G45" s="7">
        <v>266</v>
      </c>
      <c r="H45" s="12">
        <f t="shared" si="2"/>
        <v>253.65982456140352</v>
      </c>
      <c r="I45">
        <f t="shared" si="3"/>
        <v>261.14285714285717</v>
      </c>
    </row>
    <row r="46" spans="1:9" x14ac:dyDescent="0.3">
      <c r="A46" s="5" t="s">
        <v>1421</v>
      </c>
      <c r="B46" s="6" t="s">
        <v>3683</v>
      </c>
      <c r="C46" s="6" t="s">
        <v>1351</v>
      </c>
      <c r="D46" s="6" t="s">
        <v>3637</v>
      </c>
      <c r="E46" s="6" t="s">
        <v>1422</v>
      </c>
      <c r="F46" s="12">
        <v>167.12</v>
      </c>
      <c r="G46" s="7">
        <v>316</v>
      </c>
      <c r="H46" s="12">
        <f t="shared" si="2"/>
        <v>253.66571428571427</v>
      </c>
      <c r="I46">
        <f t="shared" si="3"/>
        <v>261.05454545454546</v>
      </c>
    </row>
    <row r="47" spans="1:9" x14ac:dyDescent="0.3">
      <c r="A47" s="5" t="s">
        <v>1423</v>
      </c>
      <c r="B47" s="6" t="s">
        <v>3684</v>
      </c>
      <c r="C47" s="6" t="s">
        <v>1351</v>
      </c>
      <c r="D47" s="6" t="s">
        <v>3668</v>
      </c>
      <c r="E47" s="6" t="s">
        <v>1424</v>
      </c>
      <c r="F47" s="12">
        <v>318.91000000000003</v>
      </c>
      <c r="G47" s="7">
        <v>114</v>
      </c>
      <c r="H47" s="12">
        <f t="shared" si="2"/>
        <v>255.23927272727269</v>
      </c>
      <c r="I47">
        <f t="shared" si="3"/>
        <v>260.03703703703701</v>
      </c>
    </row>
    <row r="48" spans="1:9" x14ac:dyDescent="0.3">
      <c r="A48" s="5" t="s">
        <v>1425</v>
      </c>
      <c r="B48" s="6" t="s">
        <v>3685</v>
      </c>
      <c r="C48" s="6" t="s">
        <v>1332</v>
      </c>
      <c r="D48" s="6" t="s">
        <v>3624</v>
      </c>
      <c r="E48" s="6" t="s">
        <v>1426</v>
      </c>
      <c r="F48" s="12">
        <v>167.34</v>
      </c>
      <c r="G48" s="7">
        <v>296</v>
      </c>
      <c r="H48" s="12">
        <f t="shared" si="2"/>
        <v>254.06018518518516</v>
      </c>
      <c r="I48">
        <f t="shared" si="3"/>
        <v>262.79245283018867</v>
      </c>
    </row>
    <row r="49" spans="1:9" x14ac:dyDescent="0.3">
      <c r="A49" s="5" t="s">
        <v>1427</v>
      </c>
      <c r="B49" s="6" t="s">
        <v>3686</v>
      </c>
      <c r="C49" s="6" t="s">
        <v>1343</v>
      </c>
      <c r="D49" s="6" t="s">
        <v>3687</v>
      </c>
      <c r="E49" s="6" t="s">
        <v>1428</v>
      </c>
      <c r="F49" s="12">
        <v>255.05</v>
      </c>
      <c r="G49" s="7">
        <v>431</v>
      </c>
      <c r="H49" s="12">
        <f t="shared" si="2"/>
        <v>255.69641509433959</v>
      </c>
      <c r="I49">
        <f t="shared" si="3"/>
        <v>262.15384615384613</v>
      </c>
    </row>
    <row r="50" spans="1:9" x14ac:dyDescent="0.3">
      <c r="A50" s="5" t="s">
        <v>1429</v>
      </c>
      <c r="B50" s="6" t="s">
        <v>3688</v>
      </c>
      <c r="C50" s="6" t="s">
        <v>1348</v>
      </c>
      <c r="D50" s="6" t="s">
        <v>3629</v>
      </c>
      <c r="E50" s="6" t="s">
        <v>1430</v>
      </c>
      <c r="F50" s="12">
        <v>177.98</v>
      </c>
      <c r="G50" s="7">
        <v>103</v>
      </c>
      <c r="H50" s="12">
        <f t="shared" si="2"/>
        <v>255.70884615384608</v>
      </c>
      <c r="I50">
        <f t="shared" si="3"/>
        <v>258.84313725490193</v>
      </c>
    </row>
    <row r="51" spans="1:9" x14ac:dyDescent="0.3">
      <c r="A51" s="5" t="s">
        <v>1431</v>
      </c>
      <c r="B51" s="6" t="s">
        <v>3689</v>
      </c>
      <c r="C51" s="6" t="s">
        <v>1343</v>
      </c>
      <c r="D51" s="6" t="s">
        <v>3690</v>
      </c>
      <c r="E51" s="6" t="s">
        <v>1432</v>
      </c>
      <c r="F51" s="12">
        <v>43.29</v>
      </c>
      <c r="G51" s="7">
        <v>267</v>
      </c>
      <c r="H51" s="12">
        <f t="shared" si="2"/>
        <v>257.23294117647055</v>
      </c>
      <c r="I51">
        <f t="shared" si="3"/>
        <v>261.95999999999998</v>
      </c>
    </row>
    <row r="52" spans="1:9" x14ac:dyDescent="0.3">
      <c r="A52" s="5" t="s">
        <v>1433</v>
      </c>
      <c r="B52" s="6" t="s">
        <v>3691</v>
      </c>
      <c r="C52" s="6" t="s">
        <v>1351</v>
      </c>
      <c r="D52" s="6" t="s">
        <v>3637</v>
      </c>
      <c r="E52" s="6" t="s">
        <v>1434</v>
      </c>
      <c r="F52" s="12">
        <v>190.29</v>
      </c>
      <c r="G52" s="7">
        <v>260</v>
      </c>
      <c r="H52" s="12">
        <f t="shared" si="2"/>
        <v>261.51179999999994</v>
      </c>
      <c r="I52">
        <f t="shared" si="3"/>
        <v>261.85714285714283</v>
      </c>
    </row>
    <row r="53" spans="1:9" x14ac:dyDescent="0.3">
      <c r="A53" s="5" t="s">
        <v>1435</v>
      </c>
      <c r="B53" s="6" t="s">
        <v>3692</v>
      </c>
      <c r="C53" s="6" t="s">
        <v>1348</v>
      </c>
      <c r="D53" s="6" t="s">
        <v>3629</v>
      </c>
      <c r="E53" s="6" t="s">
        <v>1436</v>
      </c>
      <c r="F53" s="12">
        <v>88.49</v>
      </c>
      <c r="G53" s="7">
        <v>246</v>
      </c>
      <c r="H53" s="12">
        <f t="shared" si="2"/>
        <v>262.96530612244891</v>
      </c>
      <c r="I53">
        <f t="shared" si="3"/>
        <v>261.89583333333331</v>
      </c>
    </row>
    <row r="54" spans="1:9" x14ac:dyDescent="0.3">
      <c r="A54" s="5" t="s">
        <v>1437</v>
      </c>
      <c r="B54" s="6" t="s">
        <v>3693</v>
      </c>
      <c r="C54" s="6" t="s">
        <v>1351</v>
      </c>
      <c r="D54" s="6" t="s">
        <v>3668</v>
      </c>
      <c r="E54" s="6" t="s">
        <v>1438</v>
      </c>
      <c r="F54" s="12">
        <v>212.26</v>
      </c>
      <c r="G54" s="7">
        <v>82</v>
      </c>
      <c r="H54" s="12">
        <f t="shared" si="2"/>
        <v>266.60020833333328</v>
      </c>
      <c r="I54">
        <f t="shared" si="3"/>
        <v>262.2340425531915</v>
      </c>
    </row>
    <row r="55" spans="1:9" x14ac:dyDescent="0.3">
      <c r="A55" s="5" t="s">
        <v>1439</v>
      </c>
      <c r="B55" s="6" t="s">
        <v>3694</v>
      </c>
      <c r="C55" s="6" t="s">
        <v>1332</v>
      </c>
      <c r="D55" s="6" t="s">
        <v>3627</v>
      </c>
      <c r="E55" s="6" t="s">
        <v>1440</v>
      </c>
      <c r="F55" s="12">
        <v>386.56</v>
      </c>
      <c r="G55" s="7">
        <v>125</v>
      </c>
      <c r="H55" s="12">
        <f t="shared" si="2"/>
        <v>267.75638297872337</v>
      </c>
      <c r="I55">
        <f t="shared" si="3"/>
        <v>266.1521739130435</v>
      </c>
    </row>
    <row r="56" spans="1:9" x14ac:dyDescent="0.3">
      <c r="A56" s="5" t="s">
        <v>1441</v>
      </c>
      <c r="B56" s="6" t="s">
        <v>3695</v>
      </c>
      <c r="C56" s="6" t="s">
        <v>1351</v>
      </c>
      <c r="D56" s="6" t="s">
        <v>3629</v>
      </c>
      <c r="E56" s="6" t="s">
        <v>1442</v>
      </c>
      <c r="F56" s="12">
        <v>434.84</v>
      </c>
      <c r="G56" s="7">
        <v>185</v>
      </c>
      <c r="H56" s="12">
        <f t="shared" si="2"/>
        <v>265.17369565217388</v>
      </c>
      <c r="I56">
        <f t="shared" si="3"/>
        <v>269.28888888888889</v>
      </c>
    </row>
    <row r="57" spans="1:9" x14ac:dyDescent="0.3">
      <c r="A57" s="5" t="s">
        <v>1443</v>
      </c>
      <c r="B57" s="6" t="s">
        <v>3696</v>
      </c>
      <c r="C57" s="6" t="s">
        <v>1329</v>
      </c>
      <c r="D57" s="6" t="s">
        <v>3645</v>
      </c>
      <c r="E57" s="6" t="s">
        <v>1444</v>
      </c>
      <c r="F57" s="12">
        <v>81.75</v>
      </c>
      <c r="G57" s="7"/>
      <c r="H57" s="12">
        <f t="shared" si="2"/>
        <v>261.40333333333331</v>
      </c>
      <c r="I57">
        <f t="shared" si="3"/>
        <v>271.20454545454544</v>
      </c>
    </row>
    <row r="58" spans="1:9" x14ac:dyDescent="0.3">
      <c r="A58" s="5" t="s">
        <v>1445</v>
      </c>
      <c r="B58" s="6" t="s">
        <v>3697</v>
      </c>
      <c r="C58" s="6" t="s">
        <v>1329</v>
      </c>
      <c r="D58" s="6" t="s">
        <v>3645</v>
      </c>
      <c r="E58" s="6" t="s">
        <v>1446</v>
      </c>
      <c r="F58" s="12">
        <v>461.47</v>
      </c>
      <c r="G58" s="7">
        <v>190</v>
      </c>
      <c r="H58" s="12">
        <f t="shared" si="2"/>
        <v>265.48636363636365</v>
      </c>
      <c r="I58">
        <f t="shared" si="3"/>
        <v>271.20454545454544</v>
      </c>
    </row>
    <row r="59" spans="1:9" x14ac:dyDescent="0.3">
      <c r="A59" s="5" t="s">
        <v>1447</v>
      </c>
      <c r="B59" s="6" t="s">
        <v>3698</v>
      </c>
      <c r="C59" s="6" t="s">
        <v>1351</v>
      </c>
      <c r="D59" s="6" t="s">
        <v>3637</v>
      </c>
      <c r="E59" s="6" t="s">
        <v>1448</v>
      </c>
      <c r="F59" s="12">
        <v>30.62</v>
      </c>
      <c r="G59" s="7">
        <v>138</v>
      </c>
      <c r="H59" s="12">
        <f t="shared" si="2"/>
        <v>260.92860465116274</v>
      </c>
      <c r="I59">
        <f t="shared" si="3"/>
        <v>273.09302325581393</v>
      </c>
    </row>
    <row r="60" spans="1:9" x14ac:dyDescent="0.3">
      <c r="A60" s="5" t="s">
        <v>1449</v>
      </c>
      <c r="B60" s="6" t="s">
        <v>3699</v>
      </c>
      <c r="C60" s="6" t="s">
        <v>1332</v>
      </c>
      <c r="D60" s="6" t="s">
        <v>3629</v>
      </c>
      <c r="E60" s="6" t="s">
        <v>1450</v>
      </c>
      <c r="F60" s="12">
        <v>113.83</v>
      </c>
      <c r="G60" s="7">
        <v>485</v>
      </c>
      <c r="H60" s="12">
        <f t="shared" si="2"/>
        <v>266.41214285714278</v>
      </c>
      <c r="I60">
        <f t="shared" si="3"/>
        <v>276.3095238095238</v>
      </c>
    </row>
    <row r="61" spans="1:9" x14ac:dyDescent="0.3">
      <c r="A61" s="5" t="s">
        <v>1451</v>
      </c>
      <c r="B61" s="6" t="s">
        <v>3700</v>
      </c>
      <c r="C61" s="6" t="s">
        <v>1343</v>
      </c>
      <c r="D61" s="6" t="s">
        <v>3642</v>
      </c>
      <c r="E61" s="6" t="s">
        <v>1452</v>
      </c>
      <c r="F61" s="12">
        <v>17.309999999999999</v>
      </c>
      <c r="G61" s="7">
        <v>399</v>
      </c>
      <c r="H61" s="12">
        <f t="shared" si="2"/>
        <v>270.13365853658536</v>
      </c>
      <c r="I61">
        <f t="shared" si="3"/>
        <v>271.21951219512198</v>
      </c>
    </row>
    <row r="62" spans="1:9" x14ac:dyDescent="0.3">
      <c r="A62" s="5" t="s">
        <v>1453</v>
      </c>
      <c r="B62" s="6" t="s">
        <v>3701</v>
      </c>
      <c r="C62" s="6" t="s">
        <v>1343</v>
      </c>
      <c r="D62" s="6" t="s">
        <v>3690</v>
      </c>
      <c r="E62" s="6" t="s">
        <v>1454</v>
      </c>
      <c r="F62" s="12">
        <v>482.75</v>
      </c>
      <c r="G62" s="7">
        <v>444</v>
      </c>
      <c r="H62" s="12">
        <f t="shared" si="2"/>
        <v>276.45424999999994</v>
      </c>
      <c r="I62">
        <f t="shared" si="3"/>
        <v>268.02499999999998</v>
      </c>
    </row>
    <row r="63" spans="1:9" x14ac:dyDescent="0.3">
      <c r="A63" s="5" t="s">
        <v>1455</v>
      </c>
      <c r="B63" s="6" t="s">
        <v>3702</v>
      </c>
      <c r="C63" s="6" t="s">
        <v>1351</v>
      </c>
      <c r="D63" s="6" t="s">
        <v>3653</v>
      </c>
      <c r="E63" s="6" t="s">
        <v>1456</v>
      </c>
      <c r="F63" s="12">
        <v>103.45</v>
      </c>
      <c r="G63" s="7">
        <v>465</v>
      </c>
      <c r="H63" s="12">
        <f t="shared" si="2"/>
        <v>271.16461538461533</v>
      </c>
      <c r="I63">
        <f t="shared" si="3"/>
        <v>263.5128205128205</v>
      </c>
    </row>
    <row r="64" spans="1:9" x14ac:dyDescent="0.3">
      <c r="A64" s="5" t="s">
        <v>1457</v>
      </c>
      <c r="B64" s="6" t="s">
        <v>3703</v>
      </c>
      <c r="C64" s="6" t="s">
        <v>1348</v>
      </c>
      <c r="D64" s="6" t="s">
        <v>3620</v>
      </c>
      <c r="E64" s="6" t="s">
        <v>1458</v>
      </c>
      <c r="F64" s="12">
        <v>86.42</v>
      </c>
      <c r="G64" s="7">
        <v>222</v>
      </c>
      <c r="H64" s="12">
        <f t="shared" si="2"/>
        <v>275.57815789473676</v>
      </c>
      <c r="I64">
        <f t="shared" si="3"/>
        <v>258.21052631578948</v>
      </c>
    </row>
    <row r="65" spans="1:9" x14ac:dyDescent="0.3">
      <c r="A65" s="5" t="s">
        <v>1459</v>
      </c>
      <c r="B65" s="6" t="s">
        <v>3704</v>
      </c>
      <c r="C65" s="6" t="s">
        <v>1343</v>
      </c>
      <c r="D65" s="6" t="s">
        <v>3631</v>
      </c>
      <c r="E65" s="6" t="s">
        <v>1460</v>
      </c>
      <c r="F65" s="12">
        <v>266.86</v>
      </c>
      <c r="G65" s="7">
        <v>458</v>
      </c>
      <c r="H65" s="12">
        <f t="shared" si="2"/>
        <v>280.6905405405405</v>
      </c>
      <c r="I65">
        <f t="shared" si="3"/>
        <v>259.18918918918916</v>
      </c>
    </row>
    <row r="66" spans="1:9" x14ac:dyDescent="0.3">
      <c r="A66" s="5" t="s">
        <v>1461</v>
      </c>
      <c r="B66" s="6" t="s">
        <v>3705</v>
      </c>
      <c r="C66" s="6" t="s">
        <v>1343</v>
      </c>
      <c r="D66" s="6" t="s">
        <v>3687</v>
      </c>
      <c r="E66" s="6" t="s">
        <v>1462</v>
      </c>
      <c r="F66" s="12">
        <v>299.11</v>
      </c>
      <c r="G66" s="7">
        <v>118</v>
      </c>
      <c r="H66" s="12">
        <f t="shared" ref="H66:H97" si="4">AVERAGE(F66:F165)</f>
        <v>281.07472222222214</v>
      </c>
      <c r="I66">
        <f t="shared" ref="I66:I97" si="5">AVERAGE(G66:G165)</f>
        <v>253.66666666666666</v>
      </c>
    </row>
    <row r="67" spans="1:9" x14ac:dyDescent="0.3">
      <c r="A67" s="5" t="s">
        <v>1463</v>
      </c>
      <c r="B67" s="6" t="s">
        <v>3706</v>
      </c>
      <c r="C67" s="6" t="s">
        <v>1351</v>
      </c>
      <c r="D67" s="6" t="s">
        <v>3637</v>
      </c>
      <c r="E67" s="6" t="s">
        <v>1464</v>
      </c>
      <c r="F67" s="12">
        <v>240.63</v>
      </c>
      <c r="G67" s="7">
        <v>423</v>
      </c>
      <c r="H67" s="12">
        <f t="shared" si="4"/>
        <v>280.5594285714285</v>
      </c>
      <c r="I67">
        <f t="shared" si="5"/>
        <v>257.54285714285714</v>
      </c>
    </row>
    <row r="68" spans="1:9" x14ac:dyDescent="0.3">
      <c r="A68" s="5" t="s">
        <v>1465</v>
      </c>
      <c r="B68" s="6" t="s">
        <v>3707</v>
      </c>
      <c r="C68" s="6" t="s">
        <v>1343</v>
      </c>
      <c r="D68" s="6" t="s">
        <v>3642</v>
      </c>
      <c r="E68" s="6" t="s">
        <v>1466</v>
      </c>
      <c r="F68" s="12">
        <v>340.39</v>
      </c>
      <c r="G68" s="7">
        <v>177</v>
      </c>
      <c r="H68" s="12">
        <f t="shared" si="4"/>
        <v>281.73382352941167</v>
      </c>
      <c r="I68">
        <f t="shared" si="5"/>
        <v>252.6764705882353</v>
      </c>
    </row>
    <row r="69" spans="1:9" x14ac:dyDescent="0.3">
      <c r="A69" s="5" t="s">
        <v>1467</v>
      </c>
      <c r="B69" s="6" t="s">
        <v>3708</v>
      </c>
      <c r="C69" s="6" t="s">
        <v>1348</v>
      </c>
      <c r="D69" s="6" t="s">
        <v>3629</v>
      </c>
      <c r="E69" s="6" t="s">
        <v>1468</v>
      </c>
      <c r="F69" s="12">
        <v>349.17</v>
      </c>
      <c r="G69" s="7">
        <v>476</v>
      </c>
      <c r="H69" s="12">
        <f t="shared" si="4"/>
        <v>279.95636363636362</v>
      </c>
      <c r="I69">
        <f t="shared" si="5"/>
        <v>254.96969696969697</v>
      </c>
    </row>
    <row r="70" spans="1:9" x14ac:dyDescent="0.3">
      <c r="A70" s="5" t="s">
        <v>1469</v>
      </c>
      <c r="B70" s="6" t="s">
        <v>3709</v>
      </c>
      <c r="C70" s="6" t="s">
        <v>1329</v>
      </c>
      <c r="D70" s="6" t="s">
        <v>3710</v>
      </c>
      <c r="E70" s="6" t="s">
        <v>1470</v>
      </c>
      <c r="F70" s="12">
        <v>243.7</v>
      </c>
      <c r="G70" s="7">
        <v>130</v>
      </c>
      <c r="H70" s="12">
        <f t="shared" si="4"/>
        <v>277.79343749999998</v>
      </c>
      <c r="I70">
        <f t="shared" si="5"/>
        <v>248.0625</v>
      </c>
    </row>
    <row r="71" spans="1:9" x14ac:dyDescent="0.3">
      <c r="A71" s="5" t="s">
        <v>1471</v>
      </c>
      <c r="B71" s="6" t="s">
        <v>3711</v>
      </c>
      <c r="C71" s="6" t="s">
        <v>1332</v>
      </c>
      <c r="D71" s="6" t="s">
        <v>3627</v>
      </c>
      <c r="E71" s="6" t="s">
        <v>1472</v>
      </c>
      <c r="F71" s="12">
        <v>218.22</v>
      </c>
      <c r="G71" s="7">
        <v>224</v>
      </c>
      <c r="H71" s="12">
        <f t="shared" si="4"/>
        <v>278.8932258064516</v>
      </c>
      <c r="I71">
        <f t="shared" si="5"/>
        <v>251.87096774193549</v>
      </c>
    </row>
    <row r="72" spans="1:9" x14ac:dyDescent="0.3">
      <c r="A72" s="5" t="s">
        <v>1473</v>
      </c>
      <c r="B72" s="6" t="s">
        <v>3712</v>
      </c>
      <c r="C72" s="6" t="s">
        <v>1329</v>
      </c>
      <c r="D72" s="6" t="s">
        <v>3656</v>
      </c>
      <c r="E72" s="6" t="s">
        <v>1474</v>
      </c>
      <c r="F72" s="12">
        <v>138.05000000000001</v>
      </c>
      <c r="G72" s="7">
        <v>89</v>
      </c>
      <c r="H72" s="12">
        <f t="shared" si="4"/>
        <v>280.91566666666665</v>
      </c>
      <c r="I72">
        <f t="shared" si="5"/>
        <v>252.8</v>
      </c>
    </row>
    <row r="73" spans="1:9" x14ac:dyDescent="0.3">
      <c r="A73" s="5" t="s">
        <v>1475</v>
      </c>
      <c r="B73" s="6" t="s">
        <v>3713</v>
      </c>
      <c r="C73" s="6" t="s">
        <v>1343</v>
      </c>
      <c r="D73" s="6" t="s">
        <v>3642</v>
      </c>
      <c r="E73" s="6" t="s">
        <v>1476</v>
      </c>
      <c r="F73" s="12">
        <v>214.32</v>
      </c>
      <c r="G73" s="7">
        <v>383</v>
      </c>
      <c r="H73" s="12">
        <f t="shared" si="4"/>
        <v>285.84206896551723</v>
      </c>
      <c r="I73">
        <f t="shared" si="5"/>
        <v>258.44827586206895</v>
      </c>
    </row>
    <row r="74" spans="1:9" x14ac:dyDescent="0.3">
      <c r="A74" s="5" t="s">
        <v>1477</v>
      </c>
      <c r="B74" s="6" t="s">
        <v>3714</v>
      </c>
      <c r="C74" s="6" t="s">
        <v>1351</v>
      </c>
      <c r="D74" s="6" t="s">
        <v>3637</v>
      </c>
      <c r="E74" s="6" t="s">
        <v>1478</v>
      </c>
      <c r="F74" s="12">
        <v>477.61</v>
      </c>
      <c r="G74" s="7">
        <v>300</v>
      </c>
      <c r="H74" s="12">
        <f t="shared" si="4"/>
        <v>288.3964285714286</v>
      </c>
      <c r="I74">
        <f t="shared" si="5"/>
        <v>254</v>
      </c>
    </row>
    <row r="75" spans="1:9" x14ac:dyDescent="0.3">
      <c r="A75" s="5" t="s">
        <v>1479</v>
      </c>
      <c r="B75" s="6" t="s">
        <v>3715</v>
      </c>
      <c r="C75" s="6" t="s">
        <v>1351</v>
      </c>
      <c r="D75" s="6" t="s">
        <v>3668</v>
      </c>
      <c r="E75" s="6" t="s">
        <v>1480</v>
      </c>
      <c r="F75" s="12">
        <v>107.06</v>
      </c>
      <c r="G75" s="7">
        <v>359</v>
      </c>
      <c r="H75" s="12">
        <f t="shared" si="4"/>
        <v>281.38851851851854</v>
      </c>
      <c r="I75">
        <f t="shared" si="5"/>
        <v>252.2962962962963</v>
      </c>
    </row>
    <row r="76" spans="1:9" x14ac:dyDescent="0.3">
      <c r="A76" s="5" t="s">
        <v>1481</v>
      </c>
      <c r="B76" s="6" t="s">
        <v>3716</v>
      </c>
      <c r="C76" s="6" t="s">
        <v>1348</v>
      </c>
      <c r="D76" s="6" t="s">
        <v>3635</v>
      </c>
      <c r="E76" s="6" t="s">
        <v>1482</v>
      </c>
      <c r="F76" s="12">
        <v>403.71</v>
      </c>
      <c r="G76" s="7">
        <v>159</v>
      </c>
      <c r="H76" s="12">
        <f t="shared" si="4"/>
        <v>288.09346153846155</v>
      </c>
      <c r="I76">
        <f t="shared" si="5"/>
        <v>248.19230769230768</v>
      </c>
    </row>
    <row r="77" spans="1:9" x14ac:dyDescent="0.3">
      <c r="A77" s="5" t="s">
        <v>1483</v>
      </c>
      <c r="B77" s="6" t="s">
        <v>3717</v>
      </c>
      <c r="C77" s="6" t="s">
        <v>1332</v>
      </c>
      <c r="D77" s="6" t="s">
        <v>3675</v>
      </c>
      <c r="E77" s="6" t="s">
        <v>1484</v>
      </c>
      <c r="F77" s="12">
        <v>158.13999999999999</v>
      </c>
      <c r="G77" s="7">
        <v>82</v>
      </c>
      <c r="H77" s="12">
        <f t="shared" si="4"/>
        <v>283.46880000000004</v>
      </c>
      <c r="I77">
        <f t="shared" si="5"/>
        <v>251.76</v>
      </c>
    </row>
    <row r="78" spans="1:9" x14ac:dyDescent="0.3">
      <c r="A78" s="5" t="s">
        <v>1485</v>
      </c>
      <c r="B78" s="6" t="s">
        <v>3718</v>
      </c>
      <c r="C78" s="6" t="s">
        <v>1348</v>
      </c>
      <c r="D78" s="6" t="s">
        <v>3620</v>
      </c>
      <c r="E78" s="6" t="s">
        <v>1486</v>
      </c>
      <c r="F78" s="12">
        <v>392.89</v>
      </c>
      <c r="G78" s="7">
        <v>320</v>
      </c>
      <c r="H78" s="12">
        <f t="shared" si="4"/>
        <v>288.69083333333333</v>
      </c>
      <c r="I78">
        <f t="shared" si="5"/>
        <v>258.83333333333331</v>
      </c>
    </row>
    <row r="79" spans="1:9" x14ac:dyDescent="0.3">
      <c r="A79" s="5" t="s">
        <v>1487</v>
      </c>
      <c r="B79" s="6" t="s">
        <v>3719</v>
      </c>
      <c r="C79" s="6" t="s">
        <v>1348</v>
      </c>
      <c r="D79" s="6" t="s">
        <v>3647</v>
      </c>
      <c r="E79" s="6" t="s">
        <v>1488</v>
      </c>
      <c r="F79" s="12">
        <v>480.9</v>
      </c>
      <c r="G79" s="7">
        <v>104</v>
      </c>
      <c r="H79" s="12">
        <f t="shared" si="4"/>
        <v>284.16043478260872</v>
      </c>
      <c r="I79">
        <f t="shared" si="5"/>
        <v>256.17391304347825</v>
      </c>
    </row>
    <row r="80" spans="1:9" x14ac:dyDescent="0.3">
      <c r="A80" s="5" t="s">
        <v>1489</v>
      </c>
      <c r="B80" s="6" t="s">
        <v>3720</v>
      </c>
      <c r="C80" s="6" t="s">
        <v>1329</v>
      </c>
      <c r="D80" s="6" t="s">
        <v>3645</v>
      </c>
      <c r="E80" s="6" t="s">
        <v>1490</v>
      </c>
      <c r="F80" s="12">
        <v>325.26</v>
      </c>
      <c r="G80" s="7">
        <v>400</v>
      </c>
      <c r="H80" s="12">
        <f t="shared" si="4"/>
        <v>275.21772727272725</v>
      </c>
      <c r="I80">
        <f t="shared" si="5"/>
        <v>263.09090909090907</v>
      </c>
    </row>
    <row r="81" spans="1:9" x14ac:dyDescent="0.3">
      <c r="A81" s="5" t="s">
        <v>1491</v>
      </c>
      <c r="B81" s="6" t="s">
        <v>3721</v>
      </c>
      <c r="C81" s="6" t="s">
        <v>1329</v>
      </c>
      <c r="D81" s="6" t="s">
        <v>3633</v>
      </c>
      <c r="E81" s="6" t="s">
        <v>1492</v>
      </c>
      <c r="F81" s="12">
        <v>228.53</v>
      </c>
      <c r="G81" s="7">
        <v>469</v>
      </c>
      <c r="H81" s="12">
        <f t="shared" si="4"/>
        <v>272.83476190476188</v>
      </c>
      <c r="I81">
        <f t="shared" si="5"/>
        <v>256.57142857142856</v>
      </c>
    </row>
    <row r="82" spans="1:9" x14ac:dyDescent="0.3">
      <c r="A82" s="5" t="s">
        <v>1493</v>
      </c>
      <c r="B82" s="6" t="s">
        <v>3722</v>
      </c>
      <c r="C82" s="6" t="s">
        <v>1329</v>
      </c>
      <c r="D82" s="6" t="s">
        <v>3639</v>
      </c>
      <c r="E82" s="6" t="s">
        <v>1494</v>
      </c>
      <c r="F82" s="12">
        <v>143.43</v>
      </c>
      <c r="G82" s="7">
        <v>58</v>
      </c>
      <c r="H82" s="12">
        <f t="shared" si="4"/>
        <v>275.04999999999995</v>
      </c>
      <c r="I82">
        <f t="shared" si="5"/>
        <v>245.95</v>
      </c>
    </row>
    <row r="83" spans="1:9" x14ac:dyDescent="0.3">
      <c r="A83" s="5" t="s">
        <v>1495</v>
      </c>
      <c r="B83" s="6" t="s">
        <v>3723</v>
      </c>
      <c r="C83" s="6" t="s">
        <v>1351</v>
      </c>
      <c r="D83" s="6" t="s">
        <v>3653</v>
      </c>
      <c r="E83" s="6" t="s">
        <v>1496</v>
      </c>
      <c r="F83" s="12">
        <v>285.54000000000002</v>
      </c>
      <c r="G83" s="7">
        <v>358</v>
      </c>
      <c r="H83" s="12">
        <f t="shared" si="4"/>
        <v>281.97736842105257</v>
      </c>
      <c r="I83">
        <f t="shared" si="5"/>
        <v>255.84210526315789</v>
      </c>
    </row>
    <row r="84" spans="1:9" x14ac:dyDescent="0.3">
      <c r="A84" s="5" t="s">
        <v>1497</v>
      </c>
      <c r="B84" s="6" t="s">
        <v>3724</v>
      </c>
      <c r="C84" s="6" t="s">
        <v>1351</v>
      </c>
      <c r="D84" s="6" t="s">
        <v>3637</v>
      </c>
      <c r="E84" s="6" t="s">
        <v>1498</v>
      </c>
      <c r="F84" s="12">
        <v>152.91999999999999</v>
      </c>
      <c r="G84" s="7">
        <v>281</v>
      </c>
      <c r="H84" s="12">
        <f t="shared" si="4"/>
        <v>281.77944444444438</v>
      </c>
      <c r="I84">
        <f t="shared" si="5"/>
        <v>250.16666666666666</v>
      </c>
    </row>
    <row r="85" spans="1:9" x14ac:dyDescent="0.3">
      <c r="A85" s="5" t="s">
        <v>1499</v>
      </c>
      <c r="B85" s="6" t="s">
        <v>3725</v>
      </c>
      <c r="C85" s="6" t="s">
        <v>1343</v>
      </c>
      <c r="D85" s="6" t="s">
        <v>3631</v>
      </c>
      <c r="E85" s="6" t="s">
        <v>1500</v>
      </c>
      <c r="F85" s="12">
        <v>289.36</v>
      </c>
      <c r="G85" s="7">
        <v>159</v>
      </c>
      <c r="H85" s="12">
        <f t="shared" si="4"/>
        <v>289.35941176470578</v>
      </c>
      <c r="I85">
        <f t="shared" si="5"/>
        <v>248.35294117647058</v>
      </c>
    </row>
    <row r="86" spans="1:9" x14ac:dyDescent="0.3">
      <c r="A86" s="5" t="s">
        <v>1501</v>
      </c>
      <c r="B86" s="6" t="s">
        <v>3726</v>
      </c>
      <c r="C86" s="6" t="s">
        <v>1329</v>
      </c>
      <c r="D86" s="6" t="s">
        <v>3710</v>
      </c>
      <c r="E86" s="6" t="s">
        <v>1502</v>
      </c>
      <c r="F86" s="12">
        <v>388.46</v>
      </c>
      <c r="G86" s="7">
        <v>208</v>
      </c>
      <c r="H86" s="12">
        <f t="shared" si="4"/>
        <v>289.35937499999994</v>
      </c>
      <c r="I86">
        <f t="shared" si="5"/>
        <v>253.9375</v>
      </c>
    </row>
    <row r="87" spans="1:9" x14ac:dyDescent="0.3">
      <c r="A87" s="5" t="s">
        <v>1503</v>
      </c>
      <c r="B87" s="6" t="s">
        <v>3727</v>
      </c>
      <c r="C87" s="6" t="s">
        <v>1332</v>
      </c>
      <c r="D87" s="6" t="s">
        <v>3629</v>
      </c>
      <c r="E87" s="6" t="s">
        <v>1504</v>
      </c>
      <c r="F87" s="12">
        <v>119.57</v>
      </c>
      <c r="G87" s="7">
        <v>210</v>
      </c>
      <c r="H87" s="12">
        <f t="shared" si="4"/>
        <v>282.75266666666664</v>
      </c>
      <c r="I87">
        <f t="shared" si="5"/>
        <v>257</v>
      </c>
    </row>
    <row r="88" spans="1:9" x14ac:dyDescent="0.3">
      <c r="A88" s="5" t="s">
        <v>1505</v>
      </c>
      <c r="B88" s="6" t="s">
        <v>3728</v>
      </c>
      <c r="C88" s="6" t="s">
        <v>1329</v>
      </c>
      <c r="D88" s="6" t="s">
        <v>3639</v>
      </c>
      <c r="E88" s="6" t="s">
        <v>1506</v>
      </c>
      <c r="F88" s="12">
        <v>176.07</v>
      </c>
      <c r="G88" s="7">
        <v>82</v>
      </c>
      <c r="H88" s="12">
        <f t="shared" si="4"/>
        <v>294.40857142857146</v>
      </c>
      <c r="I88">
        <f t="shared" si="5"/>
        <v>260.35714285714283</v>
      </c>
    </row>
    <row r="89" spans="1:9" x14ac:dyDescent="0.3">
      <c r="A89" s="5" t="s">
        <v>1507</v>
      </c>
      <c r="B89" s="6" t="s">
        <v>3729</v>
      </c>
      <c r="C89" s="6" t="s">
        <v>1329</v>
      </c>
      <c r="D89" s="6" t="s">
        <v>3633</v>
      </c>
      <c r="E89" s="6" t="s">
        <v>1508</v>
      </c>
      <c r="F89" s="12">
        <v>371.38</v>
      </c>
      <c r="G89" s="7">
        <v>220</v>
      </c>
      <c r="H89" s="12">
        <f t="shared" si="4"/>
        <v>303.51153846153846</v>
      </c>
      <c r="I89">
        <f t="shared" si="5"/>
        <v>274.07692307692309</v>
      </c>
    </row>
    <row r="90" spans="1:9" x14ac:dyDescent="0.3">
      <c r="A90" s="5" t="s">
        <v>1509</v>
      </c>
      <c r="B90" s="6" t="s">
        <v>3730</v>
      </c>
      <c r="C90" s="6" t="s">
        <v>1351</v>
      </c>
      <c r="D90" s="6" t="s">
        <v>3629</v>
      </c>
      <c r="E90" s="6" t="s">
        <v>1510</v>
      </c>
      <c r="F90" s="12">
        <v>131.24</v>
      </c>
      <c r="G90" s="7">
        <v>232</v>
      </c>
      <c r="H90" s="12">
        <f t="shared" si="4"/>
        <v>297.85583333333335</v>
      </c>
      <c r="I90">
        <f t="shared" si="5"/>
        <v>278.58333333333331</v>
      </c>
    </row>
    <row r="91" spans="1:9" x14ac:dyDescent="0.3">
      <c r="A91" s="5" t="s">
        <v>1511</v>
      </c>
      <c r="B91" s="6" t="s">
        <v>3731</v>
      </c>
      <c r="C91" s="6" t="s">
        <v>1343</v>
      </c>
      <c r="D91" s="6" t="s">
        <v>3687</v>
      </c>
      <c r="E91" s="6" t="s">
        <v>1512</v>
      </c>
      <c r="F91" s="12">
        <v>183.04</v>
      </c>
      <c r="G91" s="7">
        <v>457</v>
      </c>
      <c r="H91" s="12">
        <f t="shared" si="4"/>
        <v>313.00272727272727</v>
      </c>
      <c r="I91">
        <f t="shared" si="5"/>
        <v>282.81818181818181</v>
      </c>
    </row>
    <row r="92" spans="1:9" x14ac:dyDescent="0.3">
      <c r="A92" s="5" t="s">
        <v>1513</v>
      </c>
      <c r="B92" s="6" t="s">
        <v>3732</v>
      </c>
      <c r="C92" s="6" t="s">
        <v>1348</v>
      </c>
      <c r="D92" s="6" t="s">
        <v>3629</v>
      </c>
      <c r="E92" s="6" t="s">
        <v>1514</v>
      </c>
      <c r="F92" s="12">
        <v>340.14</v>
      </c>
      <c r="G92" s="7">
        <v>361</v>
      </c>
      <c r="H92" s="12">
        <f t="shared" si="4"/>
        <v>325.99900000000002</v>
      </c>
      <c r="I92">
        <f t="shared" si="5"/>
        <v>265.39999999999998</v>
      </c>
    </row>
    <row r="93" spans="1:9" x14ac:dyDescent="0.3">
      <c r="A93" s="5" t="s">
        <v>1515</v>
      </c>
      <c r="B93" s="6" t="s">
        <v>3733</v>
      </c>
      <c r="C93" s="6" t="s">
        <v>1332</v>
      </c>
      <c r="D93" s="6" t="s">
        <v>3675</v>
      </c>
      <c r="E93" s="6" t="s">
        <v>1516</v>
      </c>
      <c r="F93" s="12">
        <v>438.25</v>
      </c>
      <c r="G93" s="7">
        <v>496</v>
      </c>
      <c r="H93" s="12">
        <f t="shared" si="4"/>
        <v>324.42777777777775</v>
      </c>
      <c r="I93">
        <f t="shared" si="5"/>
        <v>254.77777777777777</v>
      </c>
    </row>
    <row r="94" spans="1:9" x14ac:dyDescent="0.3">
      <c r="A94" s="5" t="s">
        <v>1517</v>
      </c>
      <c r="B94" s="6" t="s">
        <v>3734</v>
      </c>
      <c r="C94" s="6" t="s">
        <v>1329</v>
      </c>
      <c r="D94" s="6" t="s">
        <v>3647</v>
      </c>
      <c r="E94" s="6" t="s">
        <v>1518</v>
      </c>
      <c r="F94" s="12">
        <v>447.43</v>
      </c>
      <c r="G94" s="7">
        <v>191</v>
      </c>
      <c r="H94" s="12">
        <f t="shared" si="4"/>
        <v>310.2</v>
      </c>
      <c r="I94">
        <f t="shared" si="5"/>
        <v>224.625</v>
      </c>
    </row>
    <row r="95" spans="1:9" x14ac:dyDescent="0.3">
      <c r="A95" s="5" t="s">
        <v>1519</v>
      </c>
      <c r="B95" s="6" t="s">
        <v>3735</v>
      </c>
      <c r="C95" s="6" t="s">
        <v>1348</v>
      </c>
      <c r="D95" s="6" t="s">
        <v>3620</v>
      </c>
      <c r="E95" s="6" t="s">
        <v>1520</v>
      </c>
      <c r="F95" s="12">
        <v>377.52</v>
      </c>
      <c r="G95" s="7">
        <v>485</v>
      </c>
      <c r="H95" s="12">
        <f t="shared" si="4"/>
        <v>290.59571428571434</v>
      </c>
      <c r="I95">
        <f t="shared" si="5"/>
        <v>229.42857142857142</v>
      </c>
    </row>
    <row r="96" spans="1:9" x14ac:dyDescent="0.3">
      <c r="A96" s="5" t="s">
        <v>1521</v>
      </c>
      <c r="B96" s="6" t="s">
        <v>3736</v>
      </c>
      <c r="C96" s="6" t="s">
        <v>1343</v>
      </c>
      <c r="D96" s="6" t="s">
        <v>3631</v>
      </c>
      <c r="E96" s="6" t="s">
        <v>1522</v>
      </c>
      <c r="F96" s="12">
        <v>358.47</v>
      </c>
      <c r="G96" s="7">
        <v>213</v>
      </c>
      <c r="H96" s="12">
        <f t="shared" si="4"/>
        <v>276.10833333333335</v>
      </c>
      <c r="I96">
        <f t="shared" si="5"/>
        <v>186.83333333333334</v>
      </c>
    </row>
    <row r="97" spans="1:9" x14ac:dyDescent="0.3">
      <c r="A97" s="5" t="s">
        <v>1523</v>
      </c>
      <c r="B97" s="6" t="s">
        <v>3737</v>
      </c>
      <c r="C97" s="6" t="s">
        <v>1351</v>
      </c>
      <c r="D97" s="6" t="s">
        <v>3629</v>
      </c>
      <c r="E97" s="6" t="s">
        <v>1524</v>
      </c>
      <c r="F97" s="12">
        <v>60.65</v>
      </c>
      <c r="G97" s="7">
        <v>75</v>
      </c>
      <c r="H97" s="12">
        <f t="shared" si="4"/>
        <v>259.63600000000002</v>
      </c>
      <c r="I97">
        <f t="shared" si="5"/>
        <v>181.6</v>
      </c>
    </row>
    <row r="98" spans="1:9" x14ac:dyDescent="0.3">
      <c r="A98" s="5" t="s">
        <v>1525</v>
      </c>
      <c r="B98" s="6" t="s">
        <v>3738</v>
      </c>
      <c r="C98" s="6" t="s">
        <v>1332</v>
      </c>
      <c r="D98" s="6" t="s">
        <v>3624</v>
      </c>
      <c r="E98" s="6" t="s">
        <v>1526</v>
      </c>
      <c r="F98" s="12">
        <v>358.47</v>
      </c>
      <c r="G98" s="7">
        <v>143</v>
      </c>
      <c r="H98" s="12">
        <f t="shared" ref="H98:H101" si="6">AVERAGE(F98:F197)</f>
        <v>309.38250000000005</v>
      </c>
      <c r="I98">
        <f t="shared" ref="I98:I101" si="7">AVERAGE(G98:G197)</f>
        <v>208.25</v>
      </c>
    </row>
    <row r="99" spans="1:9" x14ac:dyDescent="0.3">
      <c r="A99" s="5" t="s">
        <v>1527</v>
      </c>
      <c r="B99" s="6" t="s">
        <v>3739</v>
      </c>
      <c r="C99" s="6" t="s">
        <v>1351</v>
      </c>
      <c r="D99" s="6" t="s">
        <v>3668</v>
      </c>
      <c r="E99" s="6" t="s">
        <v>1528</v>
      </c>
      <c r="F99" s="12">
        <v>245.98</v>
      </c>
      <c r="G99" s="7">
        <v>471</v>
      </c>
      <c r="H99" s="12">
        <f t="shared" si="6"/>
        <v>293.02</v>
      </c>
      <c r="I99">
        <f t="shared" si="7"/>
        <v>230</v>
      </c>
    </row>
    <row r="100" spans="1:9" x14ac:dyDescent="0.3">
      <c r="A100" s="5" t="s">
        <v>1529</v>
      </c>
      <c r="B100" s="6" t="s">
        <v>3740</v>
      </c>
      <c r="C100" s="6" t="s">
        <v>1348</v>
      </c>
      <c r="D100" s="6" t="s">
        <v>3635</v>
      </c>
      <c r="E100" s="6" t="s">
        <v>1530</v>
      </c>
      <c r="F100" s="12">
        <v>431.67</v>
      </c>
      <c r="G100" s="7">
        <v>73</v>
      </c>
      <c r="H100" s="12">
        <f t="shared" si="6"/>
        <v>316.54000000000002</v>
      </c>
      <c r="I100">
        <f t="shared" si="7"/>
        <v>109.5</v>
      </c>
    </row>
    <row r="101" spans="1:9" x14ac:dyDescent="0.3">
      <c r="A101" s="8" t="s">
        <v>1531</v>
      </c>
      <c r="B101" s="9" t="s">
        <v>3741</v>
      </c>
      <c r="C101" s="9" t="s">
        <v>1329</v>
      </c>
      <c r="D101" s="9" t="s">
        <v>3639</v>
      </c>
      <c r="E101" s="9" t="s">
        <v>1532</v>
      </c>
      <c r="F101" s="13">
        <v>201.41</v>
      </c>
      <c r="G101" s="10">
        <v>146</v>
      </c>
      <c r="H101" s="13">
        <f t="shared" si="6"/>
        <v>201.41</v>
      </c>
      <c r="I101">
        <f t="shared" si="7"/>
        <v>146</v>
      </c>
    </row>
    <row r="105" spans="1:9" x14ac:dyDescent="0.3">
      <c r="A105" s="6" t="s">
        <v>3770</v>
      </c>
      <c r="B105" s="6" t="s">
        <v>3771</v>
      </c>
      <c r="C105" s="6" t="s">
        <v>1323</v>
      </c>
      <c r="D105" s="6" t="s">
        <v>3772</v>
      </c>
      <c r="E105" s="6" t="s">
        <v>3773</v>
      </c>
      <c r="F105" s="12" t="s">
        <v>3774</v>
      </c>
      <c r="G105" s="6" t="s">
        <v>3775</v>
      </c>
    </row>
    <row r="106" spans="1:9" x14ac:dyDescent="0.3">
      <c r="A106" s="6"/>
      <c r="B106" s="6" t="e">
        <f>VLOOKUP(A106,$A$2:$G$101,2,FALSE)</f>
        <v>#N/A</v>
      </c>
      <c r="C106" s="6"/>
      <c r="D106" s="6"/>
      <c r="E106" s="6"/>
      <c r="F106" s="12"/>
      <c r="G106" s="6"/>
    </row>
    <row r="107" spans="1:9" x14ac:dyDescent="0.3">
      <c r="A107" s="6"/>
      <c r="B107" s="6"/>
      <c r="C107" s="6"/>
      <c r="D107" s="6"/>
      <c r="E107" s="6"/>
      <c r="F107" s="12"/>
      <c r="G107" s="6"/>
    </row>
    <row r="108" spans="1:9" x14ac:dyDescent="0.3">
      <c r="A108" s="6"/>
      <c r="B108" s="6"/>
      <c r="C108" s="6"/>
      <c r="D108" s="6"/>
      <c r="E108" s="6"/>
      <c r="F108" s="12"/>
      <c r="G108" s="6"/>
    </row>
    <row r="109" spans="1:9" x14ac:dyDescent="0.3">
      <c r="A109" s="6"/>
      <c r="B109" s="6"/>
      <c r="C109" s="6"/>
      <c r="D109" s="6"/>
      <c r="E109" s="6"/>
      <c r="F109" s="12"/>
      <c r="G109" s="6"/>
    </row>
    <row r="110" spans="1:9" x14ac:dyDescent="0.3">
      <c r="A110" s="6"/>
      <c r="B110" s="6"/>
      <c r="C110" s="6"/>
      <c r="D110" s="6"/>
      <c r="E110" s="6"/>
      <c r="F110" s="12"/>
      <c r="G110" s="6"/>
    </row>
    <row r="111" spans="1:9" x14ac:dyDescent="0.3">
      <c r="A111" s="6"/>
      <c r="B111" s="6"/>
      <c r="C111" s="6"/>
      <c r="D111" s="6"/>
      <c r="E111" s="6"/>
      <c r="F111" s="12"/>
      <c r="G111" s="6"/>
    </row>
    <row r="112" spans="1:9" x14ac:dyDescent="0.3">
      <c r="A112" s="6"/>
      <c r="B112" s="6"/>
      <c r="C112" s="6"/>
      <c r="D112" s="6"/>
      <c r="E112" s="6"/>
      <c r="F112" s="12"/>
      <c r="G112" s="6"/>
    </row>
    <row r="113" spans="1:7" x14ac:dyDescent="0.3">
      <c r="A113" s="6"/>
      <c r="B113" s="6"/>
      <c r="C113" s="6"/>
      <c r="D113" s="6"/>
      <c r="E113" s="6"/>
      <c r="F113" s="12"/>
      <c r="G113" s="6"/>
    </row>
    <row r="114" spans="1:7" x14ac:dyDescent="0.3">
      <c r="A114" s="6"/>
      <c r="B114" s="6"/>
      <c r="C114" s="6"/>
      <c r="D114" s="6"/>
      <c r="E114" s="6"/>
      <c r="F114" s="12"/>
      <c r="G114" s="6"/>
    </row>
    <row r="115" spans="1:7" x14ac:dyDescent="0.3">
      <c r="A115" s="6"/>
      <c r="B115" s="6"/>
      <c r="C115" s="6"/>
      <c r="D115" s="6"/>
      <c r="E115" s="6"/>
      <c r="F115" s="12"/>
      <c r="G115" s="6"/>
    </row>
    <row r="116" spans="1:7" x14ac:dyDescent="0.3">
      <c r="A116" s="6"/>
      <c r="B116" s="6"/>
      <c r="C116" s="6"/>
      <c r="D116" s="6"/>
      <c r="E116" s="6"/>
      <c r="F116" s="12"/>
      <c r="G116" s="6"/>
    </row>
    <row r="117" spans="1:7" x14ac:dyDescent="0.3">
      <c r="A117" s="6"/>
      <c r="B117" s="6"/>
      <c r="C117" s="6"/>
      <c r="D117" s="6"/>
      <c r="E117" s="6"/>
      <c r="F117" s="12"/>
      <c r="G117" s="6"/>
    </row>
    <row r="118" spans="1:7" x14ac:dyDescent="0.3">
      <c r="A118" s="6"/>
      <c r="B118" s="6"/>
      <c r="C118" s="6"/>
      <c r="D118" s="6"/>
      <c r="E118" s="6"/>
      <c r="F118" s="12"/>
      <c r="G118" s="6"/>
    </row>
    <row r="119" spans="1:7" x14ac:dyDescent="0.3">
      <c r="A119" s="6"/>
      <c r="B119" s="6"/>
      <c r="C119" s="6"/>
      <c r="D119" s="6"/>
      <c r="E119" s="6"/>
      <c r="F119" s="12"/>
      <c r="G119" s="6"/>
    </row>
    <row r="120" spans="1:7" x14ac:dyDescent="0.3">
      <c r="A120" s="6"/>
      <c r="B120" s="6"/>
      <c r="C120" s="6"/>
      <c r="D120" s="6"/>
      <c r="E120" s="6"/>
      <c r="F120" s="12"/>
      <c r="G120" s="6"/>
    </row>
    <row r="121" spans="1:7" x14ac:dyDescent="0.3">
      <c r="A121" s="6"/>
      <c r="B121" s="6"/>
      <c r="C121" s="6"/>
      <c r="D121" s="6"/>
      <c r="E121" s="6"/>
      <c r="F121" s="12"/>
      <c r="G121" s="6"/>
    </row>
    <row r="122" spans="1:7" x14ac:dyDescent="0.3">
      <c r="A122" s="6"/>
      <c r="B122" s="6"/>
      <c r="C122" s="6"/>
      <c r="D122" s="6"/>
      <c r="E122" s="6"/>
      <c r="F122" s="12"/>
      <c r="G122" s="6"/>
    </row>
    <row r="123" spans="1:7" x14ac:dyDescent="0.3">
      <c r="A123" s="6"/>
      <c r="B123" s="6"/>
      <c r="C123" s="6"/>
      <c r="D123" s="6"/>
      <c r="E123" s="6"/>
      <c r="F123" s="12"/>
      <c r="G123" s="6"/>
    </row>
    <row r="124" spans="1:7" x14ac:dyDescent="0.3">
      <c r="A124" s="6"/>
      <c r="B124" s="6"/>
      <c r="C124" s="6"/>
      <c r="D124" s="6"/>
      <c r="E124" s="6"/>
      <c r="F124" s="12"/>
      <c r="G124" s="6"/>
    </row>
    <row r="125" spans="1:7" x14ac:dyDescent="0.3">
      <c r="A125" s="6"/>
      <c r="B125" s="6"/>
      <c r="C125" s="6"/>
      <c r="D125" s="6"/>
      <c r="E125" s="6"/>
      <c r="F125" s="12"/>
      <c r="G125" s="6"/>
    </row>
    <row r="126" spans="1:7" x14ac:dyDescent="0.3">
      <c r="A126" s="6"/>
      <c r="B126" s="6"/>
      <c r="C126" s="6"/>
      <c r="D126" s="6"/>
      <c r="E126" s="6"/>
      <c r="F126" s="12"/>
      <c r="G126" s="6"/>
    </row>
    <row r="127" spans="1:7" x14ac:dyDescent="0.3">
      <c r="A127" s="6"/>
      <c r="B127" s="6"/>
      <c r="C127" s="6"/>
      <c r="D127" s="6"/>
      <c r="E127" s="6"/>
      <c r="F127" s="12"/>
      <c r="G127" s="6"/>
    </row>
    <row r="128" spans="1:7" x14ac:dyDescent="0.3">
      <c r="A128" s="6"/>
      <c r="B128" s="6"/>
      <c r="C128" s="6"/>
      <c r="D128" s="6"/>
      <c r="E128" s="6"/>
      <c r="F128" s="12"/>
      <c r="G128" s="6"/>
    </row>
    <row r="129" spans="1:7" x14ac:dyDescent="0.3">
      <c r="A129" s="6"/>
      <c r="B129" s="6"/>
      <c r="C129" s="6"/>
      <c r="D129" s="6"/>
      <c r="E129" s="6"/>
      <c r="F129" s="12"/>
      <c r="G129" s="6"/>
    </row>
    <row r="130" spans="1:7" x14ac:dyDescent="0.3">
      <c r="A130" s="6"/>
      <c r="B130" s="6"/>
      <c r="C130" s="6"/>
      <c r="D130" s="6"/>
      <c r="E130" s="6"/>
      <c r="F130" s="12"/>
      <c r="G130" s="6"/>
    </row>
    <row r="131" spans="1:7" x14ac:dyDescent="0.3">
      <c r="A131" s="6"/>
      <c r="B131" s="6"/>
      <c r="C131" s="6"/>
      <c r="D131" s="6"/>
      <c r="E131" s="6"/>
      <c r="F131" s="12"/>
      <c r="G131" s="6"/>
    </row>
    <row r="132" spans="1:7" x14ac:dyDescent="0.3">
      <c r="A132" s="6"/>
      <c r="B132" s="6"/>
      <c r="C132" s="6"/>
      <c r="D132" s="6"/>
      <c r="E132" s="6"/>
      <c r="F132" s="12"/>
      <c r="G132" s="6"/>
    </row>
    <row r="133" spans="1:7" x14ac:dyDescent="0.3">
      <c r="A133" s="6"/>
      <c r="B133" s="6"/>
      <c r="C133" s="6"/>
      <c r="D133" s="6"/>
      <c r="E133" s="6"/>
      <c r="F133" s="12"/>
      <c r="G133" s="6"/>
    </row>
    <row r="134" spans="1:7" x14ac:dyDescent="0.3">
      <c r="A134" s="6"/>
      <c r="B134" s="6"/>
      <c r="C134" s="6"/>
      <c r="D134" s="6"/>
      <c r="E134" s="6"/>
      <c r="F134" s="12"/>
      <c r="G134" s="6"/>
    </row>
    <row r="135" spans="1:7" x14ac:dyDescent="0.3">
      <c r="A135" s="6"/>
      <c r="B135" s="6"/>
      <c r="C135" s="6"/>
      <c r="D135" s="6"/>
      <c r="E135" s="6"/>
      <c r="F135" s="12"/>
      <c r="G135" s="6"/>
    </row>
    <row r="136" spans="1:7" x14ac:dyDescent="0.3">
      <c r="A136" s="6"/>
      <c r="B136" s="6"/>
      <c r="C136" s="6"/>
      <c r="D136" s="6"/>
      <c r="E136" s="6"/>
      <c r="F136" s="12"/>
      <c r="G136" s="6"/>
    </row>
    <row r="137" spans="1:7" x14ac:dyDescent="0.3">
      <c r="A137" s="6"/>
      <c r="B137" s="6"/>
      <c r="C137" s="6"/>
      <c r="D137" s="6"/>
      <c r="E137" s="6"/>
      <c r="F137" s="12"/>
      <c r="G137" s="6"/>
    </row>
    <row r="138" spans="1:7" x14ac:dyDescent="0.3">
      <c r="A138" s="6"/>
      <c r="B138" s="6"/>
      <c r="C138" s="6"/>
      <c r="D138" s="6"/>
      <c r="E138" s="6"/>
      <c r="F138" s="12"/>
      <c r="G138" s="6"/>
    </row>
    <row r="139" spans="1:7" x14ac:dyDescent="0.3">
      <c r="A139" s="6"/>
      <c r="B139" s="6"/>
      <c r="C139" s="6"/>
      <c r="D139" s="6"/>
      <c r="E139" s="6"/>
      <c r="F139" s="12"/>
      <c r="G139" s="6"/>
    </row>
    <row r="140" spans="1:7" x14ac:dyDescent="0.3">
      <c r="A140" s="6"/>
      <c r="B140" s="6"/>
      <c r="C140" s="6"/>
      <c r="D140" s="6"/>
      <c r="E140" s="6"/>
      <c r="F140" s="12"/>
      <c r="G140" s="6"/>
    </row>
    <row r="141" spans="1:7" x14ac:dyDescent="0.3">
      <c r="A141" s="6"/>
      <c r="B141" s="6"/>
      <c r="C141" s="6"/>
      <c r="D141" s="6"/>
      <c r="E141" s="6"/>
      <c r="F141" s="12"/>
      <c r="G141" s="6"/>
    </row>
    <row r="142" spans="1:7" x14ac:dyDescent="0.3">
      <c r="A142" s="6"/>
      <c r="B142" s="6"/>
      <c r="C142" s="6"/>
      <c r="D142" s="6"/>
      <c r="E142" s="6"/>
      <c r="F142" s="12"/>
      <c r="G142" s="6"/>
    </row>
    <row r="143" spans="1:7" x14ac:dyDescent="0.3">
      <c r="A143" s="6"/>
      <c r="B143" s="6"/>
      <c r="C143" s="6"/>
      <c r="D143" s="6"/>
      <c r="E143" s="6"/>
      <c r="F143" s="12"/>
      <c r="G143" s="6"/>
    </row>
    <row r="144" spans="1:7" x14ac:dyDescent="0.3">
      <c r="A144" s="6"/>
      <c r="B144" s="6"/>
      <c r="C144" s="6"/>
      <c r="D144" s="6"/>
      <c r="E144" s="6"/>
      <c r="F144" s="12"/>
      <c r="G144" s="6"/>
    </row>
    <row r="145" spans="1:7" x14ac:dyDescent="0.3">
      <c r="A145" s="6"/>
      <c r="B145" s="6"/>
      <c r="C145" s="6"/>
      <c r="D145" s="6"/>
      <c r="E145" s="6"/>
      <c r="F145" s="12"/>
      <c r="G145" s="6"/>
    </row>
    <row r="146" spans="1:7" x14ac:dyDescent="0.3">
      <c r="A146" s="6"/>
      <c r="B146" s="6"/>
      <c r="C146" s="6"/>
      <c r="D146" s="6"/>
      <c r="E146" s="6"/>
      <c r="F146" s="12"/>
      <c r="G146" s="6"/>
    </row>
    <row r="147" spans="1:7" x14ac:dyDescent="0.3">
      <c r="A147" s="6"/>
      <c r="B147" s="6"/>
      <c r="C147" s="6"/>
      <c r="D147" s="6"/>
      <c r="E147" s="6"/>
      <c r="F147" s="12"/>
      <c r="G147" s="6"/>
    </row>
    <row r="148" spans="1:7" x14ac:dyDescent="0.3">
      <c r="A148" s="6"/>
      <c r="B148" s="6"/>
      <c r="C148" s="6"/>
      <c r="D148" s="6"/>
      <c r="E148" s="6"/>
      <c r="F148" s="12"/>
      <c r="G148" s="6"/>
    </row>
    <row r="149" spans="1:7" x14ac:dyDescent="0.3">
      <c r="A149" s="6"/>
      <c r="B149" s="6"/>
      <c r="C149" s="6"/>
      <c r="D149" s="6"/>
      <c r="E149" s="6"/>
      <c r="F149" s="12"/>
      <c r="G149" s="6"/>
    </row>
    <row r="150" spans="1:7" x14ac:dyDescent="0.3">
      <c r="A150" s="6"/>
      <c r="B150" s="6"/>
      <c r="C150" s="6"/>
      <c r="D150" s="6"/>
      <c r="E150" s="6"/>
      <c r="F150" s="12"/>
      <c r="G150" s="6"/>
    </row>
    <row r="151" spans="1:7" x14ac:dyDescent="0.3">
      <c r="A151" s="6"/>
      <c r="B151" s="6"/>
      <c r="C151" s="6"/>
      <c r="D151" s="6"/>
      <c r="E151" s="6"/>
      <c r="F151" s="12"/>
      <c r="G151" s="6"/>
    </row>
    <row r="152" spans="1:7" x14ac:dyDescent="0.3">
      <c r="A152" s="6"/>
      <c r="B152" s="6"/>
      <c r="C152" s="6"/>
      <c r="D152" s="6"/>
      <c r="E152" s="6"/>
      <c r="F152" s="12"/>
      <c r="G152" s="6"/>
    </row>
    <row r="153" spans="1:7" x14ac:dyDescent="0.3">
      <c r="A153" s="6"/>
      <c r="B153" s="6"/>
      <c r="C153" s="6"/>
      <c r="D153" s="6"/>
      <c r="E153" s="6"/>
      <c r="F153" s="12"/>
      <c r="G153" s="6"/>
    </row>
    <row r="154" spans="1:7" x14ac:dyDescent="0.3">
      <c r="A154" s="6"/>
      <c r="B154" s="6"/>
      <c r="C154" s="6"/>
      <c r="D154" s="6"/>
      <c r="E154" s="6"/>
      <c r="F154" s="12"/>
      <c r="G154" s="6"/>
    </row>
    <row r="155" spans="1:7" x14ac:dyDescent="0.3">
      <c r="A155" s="6"/>
      <c r="B155" s="6"/>
      <c r="C155" s="6"/>
      <c r="D155" s="6"/>
      <c r="E155" s="6"/>
      <c r="F155" s="12"/>
      <c r="G155" s="6"/>
    </row>
    <row r="156" spans="1:7" x14ac:dyDescent="0.3">
      <c r="A156" s="6"/>
      <c r="B156" s="6"/>
      <c r="C156" s="6"/>
      <c r="D156" s="6"/>
      <c r="E156" s="6"/>
      <c r="F156" s="12"/>
      <c r="G156" s="6"/>
    </row>
    <row r="157" spans="1:7" x14ac:dyDescent="0.3">
      <c r="A157" s="6"/>
      <c r="B157" s="6"/>
      <c r="C157" s="6"/>
      <c r="D157" s="6"/>
      <c r="E157" s="6"/>
      <c r="F157" s="12"/>
      <c r="G157" s="6"/>
    </row>
    <row r="158" spans="1:7" x14ac:dyDescent="0.3">
      <c r="A158" s="6"/>
      <c r="B158" s="6"/>
      <c r="C158" s="6"/>
      <c r="D158" s="6"/>
      <c r="E158" s="6"/>
      <c r="F158" s="12"/>
      <c r="G158" s="6"/>
    </row>
    <row r="159" spans="1:7" x14ac:dyDescent="0.3">
      <c r="A159" s="6"/>
      <c r="B159" s="6"/>
      <c r="C159" s="6"/>
      <c r="D159" s="6"/>
      <c r="E159" s="6"/>
      <c r="F159" s="12"/>
      <c r="G159" s="6"/>
    </row>
    <row r="160" spans="1:7" x14ac:dyDescent="0.3">
      <c r="A160" s="6"/>
      <c r="B160" s="6"/>
      <c r="C160" s="6"/>
      <c r="D160" s="6"/>
      <c r="E160" s="6"/>
      <c r="F160" s="12"/>
      <c r="G160" s="6"/>
    </row>
    <row r="161" spans="1:7" x14ac:dyDescent="0.3">
      <c r="A161" s="6"/>
      <c r="B161" s="6"/>
      <c r="C161" s="6"/>
      <c r="D161" s="6"/>
      <c r="E161" s="6"/>
      <c r="F161" s="12"/>
      <c r="G161" s="6"/>
    </row>
    <row r="162" spans="1:7" x14ac:dyDescent="0.3">
      <c r="A162" s="6"/>
      <c r="B162" s="6"/>
      <c r="C162" s="6"/>
      <c r="D162" s="6"/>
      <c r="E162" s="6"/>
      <c r="F162" s="12"/>
      <c r="G162" s="6"/>
    </row>
    <row r="163" spans="1:7" x14ac:dyDescent="0.3">
      <c r="A163" s="6"/>
      <c r="B163" s="6"/>
      <c r="C163" s="6"/>
      <c r="D163" s="6"/>
      <c r="E163" s="6"/>
      <c r="F163" s="12"/>
      <c r="G163" s="6"/>
    </row>
    <row r="164" spans="1:7" x14ac:dyDescent="0.3">
      <c r="A164" s="6"/>
      <c r="B164" s="6"/>
      <c r="C164" s="6"/>
      <c r="D164" s="6"/>
      <c r="E164" s="6"/>
      <c r="F164" s="12"/>
      <c r="G164" s="6"/>
    </row>
    <row r="165" spans="1:7" x14ac:dyDescent="0.3">
      <c r="A165" s="6"/>
      <c r="B165" s="6"/>
      <c r="C165" s="6"/>
      <c r="D165" s="6"/>
      <c r="E165" s="6"/>
      <c r="F165" s="12"/>
      <c r="G165" s="6"/>
    </row>
    <row r="166" spans="1:7" x14ac:dyDescent="0.3">
      <c r="A166" s="6"/>
      <c r="B166" s="6"/>
      <c r="C166" s="6"/>
      <c r="D166" s="6"/>
      <c r="E166" s="6"/>
      <c r="F166" s="12"/>
      <c r="G166" s="6"/>
    </row>
    <row r="167" spans="1:7" x14ac:dyDescent="0.3">
      <c r="A167" s="6"/>
      <c r="B167" s="6"/>
      <c r="C167" s="6"/>
      <c r="D167" s="6"/>
      <c r="E167" s="6"/>
      <c r="F167" s="12"/>
      <c r="G167" s="6"/>
    </row>
    <row r="168" spans="1:7" x14ac:dyDescent="0.3">
      <c r="A168" s="6"/>
      <c r="B168" s="6"/>
      <c r="C168" s="6"/>
      <c r="D168" s="6"/>
      <c r="E168" s="6"/>
      <c r="F168" s="12"/>
      <c r="G168" s="6"/>
    </row>
    <row r="169" spans="1:7" x14ac:dyDescent="0.3">
      <c r="A169" s="6"/>
      <c r="B169" s="6"/>
      <c r="C169" s="6"/>
      <c r="D169" s="6"/>
      <c r="E169" s="6"/>
      <c r="F169" s="12"/>
      <c r="G169" s="6"/>
    </row>
    <row r="170" spans="1:7" x14ac:dyDescent="0.3">
      <c r="A170" s="6"/>
      <c r="B170" s="6"/>
      <c r="C170" s="6"/>
      <c r="D170" s="6"/>
      <c r="E170" s="6"/>
      <c r="F170" s="12"/>
      <c r="G170" s="6"/>
    </row>
    <row r="171" spans="1:7" x14ac:dyDescent="0.3">
      <c r="A171" s="6"/>
      <c r="B171" s="6"/>
      <c r="C171" s="6"/>
      <c r="D171" s="6"/>
      <c r="E171" s="6"/>
      <c r="F171" s="12"/>
      <c r="G171" s="6"/>
    </row>
    <row r="172" spans="1:7" x14ac:dyDescent="0.3">
      <c r="A172" s="6"/>
      <c r="B172" s="6"/>
      <c r="C172" s="6"/>
      <c r="D172" s="6"/>
      <c r="E172" s="6"/>
      <c r="F172" s="12"/>
      <c r="G172" s="6"/>
    </row>
    <row r="173" spans="1:7" x14ac:dyDescent="0.3">
      <c r="A173" s="6"/>
      <c r="B173" s="6"/>
      <c r="C173" s="6"/>
      <c r="D173" s="6"/>
      <c r="E173" s="6"/>
      <c r="F173" s="12"/>
      <c r="G173" s="6"/>
    </row>
    <row r="174" spans="1:7" x14ac:dyDescent="0.3">
      <c r="A174" s="6"/>
      <c r="B174" s="6"/>
      <c r="C174" s="6"/>
      <c r="D174" s="6"/>
      <c r="E174" s="6"/>
      <c r="F174" s="12"/>
      <c r="G174" s="6"/>
    </row>
    <row r="175" spans="1:7" x14ac:dyDescent="0.3">
      <c r="A175" s="6"/>
      <c r="B175" s="6"/>
      <c r="C175" s="6"/>
      <c r="D175" s="6"/>
      <c r="E175" s="6"/>
      <c r="F175" s="12"/>
      <c r="G175" s="6"/>
    </row>
    <row r="176" spans="1:7" x14ac:dyDescent="0.3">
      <c r="A176" s="6"/>
      <c r="B176" s="6"/>
      <c r="C176" s="6"/>
      <c r="D176" s="6"/>
      <c r="E176" s="6"/>
      <c r="F176" s="12"/>
      <c r="G176" s="6"/>
    </row>
    <row r="177" spans="1:7" x14ac:dyDescent="0.3">
      <c r="A177" s="6"/>
      <c r="B177" s="6"/>
      <c r="C177" s="6"/>
      <c r="D177" s="6"/>
      <c r="E177" s="6"/>
      <c r="F177" s="12"/>
      <c r="G177" s="6"/>
    </row>
    <row r="178" spans="1:7" x14ac:dyDescent="0.3">
      <c r="A178" s="6"/>
      <c r="B178" s="6"/>
      <c r="C178" s="6"/>
      <c r="D178" s="6"/>
      <c r="E178" s="6"/>
      <c r="F178" s="12"/>
      <c r="G178" s="6"/>
    </row>
    <row r="179" spans="1:7" x14ac:dyDescent="0.3">
      <c r="A179" s="6"/>
      <c r="B179" s="6"/>
      <c r="C179" s="6"/>
      <c r="D179" s="6"/>
      <c r="E179" s="6"/>
      <c r="F179" s="12"/>
      <c r="G179" s="6"/>
    </row>
    <row r="180" spans="1:7" x14ac:dyDescent="0.3">
      <c r="A180" s="6"/>
      <c r="B180" s="6"/>
      <c r="C180" s="6"/>
      <c r="D180" s="6"/>
      <c r="E180" s="6"/>
      <c r="F180" s="12"/>
      <c r="G180" s="6"/>
    </row>
    <row r="181" spans="1:7" x14ac:dyDescent="0.3">
      <c r="A181" s="6"/>
      <c r="B181" s="6"/>
      <c r="C181" s="6"/>
      <c r="D181" s="6"/>
      <c r="E181" s="6"/>
      <c r="F181" s="12"/>
      <c r="G181" s="6"/>
    </row>
    <row r="182" spans="1:7" x14ac:dyDescent="0.3">
      <c r="A182" s="6"/>
      <c r="B182" s="6"/>
      <c r="C182" s="6"/>
      <c r="D182" s="6"/>
      <c r="E182" s="6"/>
      <c r="F182" s="12"/>
      <c r="G182" s="6"/>
    </row>
    <row r="183" spans="1:7" x14ac:dyDescent="0.3">
      <c r="A183" s="6"/>
      <c r="B183" s="6"/>
      <c r="C183" s="6"/>
      <c r="D183" s="6"/>
      <c r="E183" s="6"/>
      <c r="F183" s="12"/>
      <c r="G183" s="6"/>
    </row>
    <row r="184" spans="1:7" x14ac:dyDescent="0.3">
      <c r="A184" s="6"/>
      <c r="B184" s="6"/>
      <c r="C184" s="6"/>
      <c r="D184" s="6"/>
      <c r="E184" s="6"/>
      <c r="F184" s="12"/>
      <c r="G184" s="6"/>
    </row>
    <row r="185" spans="1:7" x14ac:dyDescent="0.3">
      <c r="A185" s="6"/>
      <c r="B185" s="6"/>
      <c r="C185" s="6"/>
      <c r="D185" s="6"/>
      <c r="E185" s="6"/>
      <c r="F185" s="12"/>
      <c r="G185" s="6"/>
    </row>
    <row r="186" spans="1:7" x14ac:dyDescent="0.3">
      <c r="A186" s="6"/>
      <c r="B186" s="6"/>
      <c r="C186" s="6"/>
      <c r="D186" s="6"/>
      <c r="E186" s="6"/>
      <c r="F186" s="12"/>
      <c r="G186" s="6"/>
    </row>
    <row r="187" spans="1:7" x14ac:dyDescent="0.3">
      <c r="A187" s="6"/>
      <c r="B187" s="6"/>
      <c r="C187" s="6"/>
      <c r="D187" s="6"/>
      <c r="E187" s="6"/>
      <c r="F187" s="12"/>
      <c r="G187" s="6"/>
    </row>
    <row r="188" spans="1:7" x14ac:dyDescent="0.3">
      <c r="A188" s="6"/>
      <c r="B188" s="6"/>
      <c r="C188" s="6"/>
      <c r="D188" s="6"/>
      <c r="E188" s="6"/>
      <c r="F188" s="12"/>
      <c r="G188" s="6"/>
    </row>
    <row r="189" spans="1:7" x14ac:dyDescent="0.3">
      <c r="A189" s="6"/>
      <c r="B189" s="6"/>
      <c r="C189" s="6"/>
      <c r="D189" s="6"/>
      <c r="E189" s="6"/>
      <c r="F189" s="12"/>
      <c r="G189" s="6"/>
    </row>
    <row r="190" spans="1:7" x14ac:dyDescent="0.3">
      <c r="A190" s="6"/>
      <c r="B190" s="6"/>
      <c r="C190" s="6"/>
      <c r="D190" s="6"/>
      <c r="E190" s="6"/>
      <c r="F190" s="12"/>
      <c r="G190" s="6"/>
    </row>
    <row r="191" spans="1:7" x14ac:dyDescent="0.3">
      <c r="A191" s="6"/>
      <c r="B191" s="6"/>
      <c r="C191" s="6"/>
      <c r="D191" s="6"/>
      <c r="E191" s="6"/>
      <c r="F191" s="12"/>
      <c r="G191" s="6"/>
    </row>
    <row r="192" spans="1:7" x14ac:dyDescent="0.3">
      <c r="A192" s="6"/>
      <c r="B192" s="6"/>
      <c r="C192" s="6"/>
      <c r="D192" s="6"/>
      <c r="E192" s="6"/>
      <c r="F192" s="12"/>
      <c r="G192" s="6"/>
    </row>
    <row r="193" spans="1:7" x14ac:dyDescent="0.3">
      <c r="A193" s="6"/>
      <c r="B193" s="6"/>
      <c r="C193" s="6"/>
      <c r="D193" s="6"/>
      <c r="E193" s="6"/>
      <c r="F193" s="12"/>
      <c r="G193" s="6"/>
    </row>
    <row r="194" spans="1:7" x14ac:dyDescent="0.3">
      <c r="A194" s="6"/>
      <c r="B194" s="6"/>
      <c r="C194" s="6"/>
      <c r="D194" s="6"/>
      <c r="E194" s="6"/>
      <c r="F194" s="12"/>
      <c r="G194" s="6"/>
    </row>
    <row r="195" spans="1:7" x14ac:dyDescent="0.3">
      <c r="A195" s="6"/>
      <c r="B195" s="6"/>
      <c r="C195" s="6"/>
      <c r="D195" s="6"/>
      <c r="E195" s="6"/>
      <c r="F195" s="12"/>
      <c r="G195" s="6"/>
    </row>
    <row r="196" spans="1:7" x14ac:dyDescent="0.3">
      <c r="A196" s="6"/>
      <c r="B196" s="6"/>
      <c r="C196" s="6"/>
      <c r="D196" s="6"/>
      <c r="E196" s="6"/>
      <c r="F196" s="12"/>
      <c r="G196" s="6"/>
    </row>
    <row r="197" spans="1:7" x14ac:dyDescent="0.3">
      <c r="A197" s="6"/>
      <c r="B197" s="6"/>
      <c r="C197" s="6"/>
      <c r="D197" s="6"/>
      <c r="E197" s="6"/>
      <c r="F197" s="12"/>
      <c r="G197" s="6"/>
    </row>
    <row r="198" spans="1:7" x14ac:dyDescent="0.3">
      <c r="A198" s="6"/>
      <c r="B198" s="6"/>
      <c r="C198" s="6"/>
      <c r="D198" s="6"/>
      <c r="E198" s="6"/>
      <c r="F198" s="12"/>
      <c r="G198" s="6"/>
    </row>
    <row r="199" spans="1:7" x14ac:dyDescent="0.3">
      <c r="A199" s="6"/>
      <c r="B199" s="6"/>
      <c r="C199" s="6"/>
      <c r="D199" s="6"/>
      <c r="E199" s="6"/>
      <c r="F199" s="12"/>
      <c r="G199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1"/>
  <sheetViews>
    <sheetView workbookViewId="0">
      <selection activeCell="S1" sqref="S1"/>
    </sheetView>
  </sheetViews>
  <sheetFormatPr defaultRowHeight="14.4" x14ac:dyDescent="0.3"/>
  <cols>
    <col min="1" max="1" width="9.88671875" customWidth="1"/>
    <col min="2" max="2" width="13.6640625" customWidth="1"/>
    <col min="3" max="3" width="14.77734375" customWidth="1"/>
    <col min="4" max="4" width="12.33203125" customWidth="1"/>
    <col min="5" max="5" width="10.109375" customWidth="1"/>
    <col min="6" max="6" width="7.6640625" customWidth="1"/>
    <col min="7" max="7" width="11.5546875" customWidth="1"/>
    <col min="8" max="8" width="10.21875" customWidth="1"/>
    <col min="9" max="9" width="9.88671875" customWidth="1"/>
    <col min="10" max="10" width="15" customWidth="1"/>
    <col min="11" max="11" width="0.109375" customWidth="1"/>
    <col min="13" max="13" width="11.6640625" customWidth="1"/>
    <col min="14" max="14" width="12.21875" customWidth="1"/>
    <col min="15" max="15" width="6.21875" customWidth="1"/>
    <col min="16" max="16" width="10.77734375" customWidth="1"/>
    <col min="18" max="18" width="7" customWidth="1"/>
    <col min="19" max="19" width="10.77734375" customWidth="1"/>
  </cols>
  <sheetData>
    <row r="1" spans="1:19" x14ac:dyDescent="0.3">
      <c r="A1" s="2" t="s">
        <v>1601</v>
      </c>
      <c r="B1" s="2" t="s">
        <v>1602</v>
      </c>
      <c r="C1" s="2" t="s">
        <v>0</v>
      </c>
      <c r="D1" s="2" t="s">
        <v>1321</v>
      </c>
      <c r="E1" s="18" t="s">
        <v>1533</v>
      </c>
      <c r="F1" s="2" t="s">
        <v>1603</v>
      </c>
      <c r="G1" s="11" t="s">
        <v>1604</v>
      </c>
      <c r="H1" s="16" t="s">
        <v>1605</v>
      </c>
      <c r="I1" s="2" t="s">
        <v>1606</v>
      </c>
      <c r="J1" s="11" t="s">
        <v>1607</v>
      </c>
      <c r="K1" s="11" t="s">
        <v>3746</v>
      </c>
      <c r="L1" s="2" t="s">
        <v>3745</v>
      </c>
      <c r="M1" s="2" t="s">
        <v>3753</v>
      </c>
      <c r="N1" s="18" t="s">
        <v>3750</v>
      </c>
      <c r="O1" s="19" t="s">
        <v>3751</v>
      </c>
      <c r="P1" s="18" t="s">
        <v>3752</v>
      </c>
      <c r="Q1" s="18" t="s">
        <v>3749</v>
      </c>
      <c r="R1" s="2" t="s">
        <v>3793</v>
      </c>
    </row>
    <row r="2" spans="1:19" x14ac:dyDescent="0.3">
      <c r="A2" t="s">
        <v>1608</v>
      </c>
      <c r="B2" s="1">
        <v>45480</v>
      </c>
      <c r="C2" t="s">
        <v>1230</v>
      </c>
      <c r="D2" t="s">
        <v>1527</v>
      </c>
      <c r="E2" t="s">
        <v>1551</v>
      </c>
      <c r="F2">
        <v>1</v>
      </c>
      <c r="G2" s="14">
        <v>218.04</v>
      </c>
      <c r="H2" s="17">
        <v>0.09</v>
      </c>
      <c r="I2" t="s">
        <v>1609</v>
      </c>
      <c r="J2" s="14">
        <v>198.41640000000001</v>
      </c>
      <c r="K2" s="14">
        <f>SUMIF(I2:I2001,"Credit Card",J2:J2001)</f>
        <v>689782.6076318844</v>
      </c>
      <c r="L2" s="14">
        <f t="shared" ref="L2:L65" si="0">COUNTIF(I2:I2001,"Credit Card")</f>
        <v>669</v>
      </c>
      <c r="M2" s="14" t="str">
        <f t="shared" ref="M2:M65" si="1">TEXT(B2:B2001,"dd-mm-yyyy")</f>
        <v>07-07-2024</v>
      </c>
      <c r="N2" s="14">
        <f t="shared" ref="N2:N65" si="2">AVERAGE(H2:H2001)</f>
        <v>0.15297104933183395</v>
      </c>
      <c r="O2" s="20">
        <f t="shared" ref="O2:O65" si="3">AVERAGE(F2:F2001)</f>
        <v>2.49270015848102</v>
      </c>
      <c r="P2" s="14">
        <f t="shared" ref="P2:P65" si="4">AVERAGE(G2:G2001)</f>
        <v>491.38943513557399</v>
      </c>
      <c r="Q2" s="14">
        <f t="shared" ref="Q2:Q65" si="5">AVERAGE(F2,G2,H2,J2)</f>
        <v>104.3866</v>
      </c>
      <c r="R2" s="14" t="str">
        <f t="shared" ref="R2:R65" si="6">TEXT(M2,"mmm")</f>
        <v>Jul</v>
      </c>
    </row>
    <row r="3" spans="1:19" x14ac:dyDescent="0.3">
      <c r="A3" t="s">
        <v>1610</v>
      </c>
      <c r="B3" s="1">
        <v>45285</v>
      </c>
      <c r="C3" t="s">
        <v>1288</v>
      </c>
      <c r="D3" t="s">
        <v>1481</v>
      </c>
      <c r="E3" t="s">
        <v>1592</v>
      </c>
      <c r="F3">
        <v>3</v>
      </c>
      <c r="G3" s="14">
        <v>104.47</v>
      </c>
      <c r="H3" s="17">
        <v>0.27</v>
      </c>
      <c r="I3" t="s">
        <v>1611</v>
      </c>
      <c r="J3" s="14">
        <v>228.7893</v>
      </c>
      <c r="K3" s="14">
        <f t="shared" ref="K3:K65" si="7">SUMIF(I3:I2002,"Credit Card",J3:J2002)</f>
        <v>689584.19123188441</v>
      </c>
      <c r="L3" s="14">
        <f t="shared" si="0"/>
        <v>668</v>
      </c>
      <c r="M3" s="14" t="str">
        <f t="shared" si="1"/>
        <v>25-12-2023</v>
      </c>
      <c r="N3" s="14">
        <f t="shared" si="2"/>
        <v>0.15300259795374371</v>
      </c>
      <c r="O3" s="20">
        <f t="shared" si="3"/>
        <v>2.4934476297671897</v>
      </c>
      <c r="P3" s="14">
        <f t="shared" si="4"/>
        <v>491.52631517319827</v>
      </c>
      <c r="Q3" s="14">
        <f t="shared" si="5"/>
        <v>84.132324999999994</v>
      </c>
      <c r="R3" s="14" t="str">
        <f t="shared" si="6"/>
        <v>Dec</v>
      </c>
    </row>
    <row r="4" spans="1:19" x14ac:dyDescent="0.3">
      <c r="A4" t="s">
        <v>1612</v>
      </c>
      <c r="B4" s="1">
        <v>45446</v>
      </c>
      <c r="C4" t="s">
        <v>211</v>
      </c>
      <c r="D4" t="s">
        <v>1431</v>
      </c>
      <c r="E4" t="s">
        <v>1567</v>
      </c>
      <c r="F4">
        <v>4</v>
      </c>
      <c r="G4" s="14">
        <v>914.05</v>
      </c>
      <c r="H4" s="17">
        <v>0.25</v>
      </c>
      <c r="I4" t="s">
        <v>1609</v>
      </c>
      <c r="J4" s="14">
        <v>2742.15</v>
      </c>
      <c r="K4" s="14">
        <f t="shared" si="7"/>
        <v>689584.19123188441</v>
      </c>
      <c r="L4" s="14">
        <f t="shared" si="0"/>
        <v>668</v>
      </c>
      <c r="M4" s="14" t="str">
        <f t="shared" si="1"/>
        <v>03-06-2024</v>
      </c>
      <c r="N4" s="14">
        <f t="shared" si="2"/>
        <v>0.15294395263943478</v>
      </c>
      <c r="O4" s="20">
        <f t="shared" si="3"/>
        <v>2.4931938460145679</v>
      </c>
      <c r="P4" s="14">
        <f t="shared" si="4"/>
        <v>491.72023116276404</v>
      </c>
      <c r="Q4" s="14">
        <f t="shared" si="5"/>
        <v>915.11249999999995</v>
      </c>
      <c r="R4" s="14" t="str">
        <f t="shared" si="6"/>
        <v>Jun</v>
      </c>
      <c r="S4" t="s">
        <v>3776</v>
      </c>
    </row>
    <row r="5" spans="1:19" x14ac:dyDescent="0.3">
      <c r="A5" t="s">
        <v>1613</v>
      </c>
      <c r="B5" s="1">
        <v>45259</v>
      </c>
      <c r="C5" t="s">
        <v>1086</v>
      </c>
      <c r="D5" t="s">
        <v>1485</v>
      </c>
      <c r="E5" t="s">
        <v>1567</v>
      </c>
      <c r="F5">
        <v>1</v>
      </c>
      <c r="G5" s="14">
        <v>921.51</v>
      </c>
      <c r="H5" s="17">
        <v>0.16</v>
      </c>
      <c r="I5" t="s">
        <v>1614</v>
      </c>
      <c r="J5" s="14">
        <v>774.0684</v>
      </c>
      <c r="K5" s="14">
        <f t="shared" si="7"/>
        <v>686842.04123188427</v>
      </c>
      <c r="L5" s="14">
        <f t="shared" si="0"/>
        <v>667</v>
      </c>
      <c r="M5" s="14" t="str">
        <f t="shared" si="1"/>
        <v>29-11-2023</v>
      </c>
      <c r="N5" s="14">
        <f t="shared" si="2"/>
        <v>0.15289527859361704</v>
      </c>
      <c r="O5" s="20">
        <f t="shared" si="3"/>
        <v>2.4924385547093122</v>
      </c>
      <c r="P5" s="14">
        <f t="shared" si="4"/>
        <v>491.50853704304609</v>
      </c>
      <c r="Q5" s="14">
        <f t="shared" si="5"/>
        <v>424.18459999999999</v>
      </c>
      <c r="R5" s="14" t="str">
        <f t="shared" si="6"/>
        <v>Nov</v>
      </c>
      <c r="S5" t="s">
        <v>3786</v>
      </c>
    </row>
    <row r="6" spans="1:19" x14ac:dyDescent="0.3">
      <c r="A6" t="s">
        <v>1615</v>
      </c>
      <c r="B6" s="1">
        <v>45297</v>
      </c>
      <c r="C6" t="s">
        <v>1314</v>
      </c>
      <c r="D6" t="s">
        <v>1451</v>
      </c>
      <c r="E6" t="s">
        <v>1558</v>
      </c>
      <c r="F6">
        <v>3</v>
      </c>
      <c r="G6" s="14">
        <v>745.3</v>
      </c>
      <c r="H6" s="17">
        <v>0.18</v>
      </c>
      <c r="I6" t="s">
        <v>1609</v>
      </c>
      <c r="J6" s="14">
        <v>1833.4380000000001</v>
      </c>
      <c r="K6" s="14">
        <f t="shared" si="7"/>
        <v>686842.04123188427</v>
      </c>
      <c r="L6" s="14">
        <f t="shared" si="0"/>
        <v>667</v>
      </c>
      <c r="M6" s="14" t="str">
        <f t="shared" si="1"/>
        <v>06-01-2024</v>
      </c>
      <c r="N6" s="14">
        <f t="shared" si="2"/>
        <v>0.15289171375598218</v>
      </c>
      <c r="O6" s="20">
        <f t="shared" si="3"/>
        <v>2.4931870193806809</v>
      </c>
      <c r="P6" s="14">
        <f t="shared" si="4"/>
        <v>491.29288936854408</v>
      </c>
      <c r="Q6" s="14">
        <f t="shared" si="5"/>
        <v>645.47950000000003</v>
      </c>
      <c r="R6" s="14" t="str">
        <f t="shared" si="6"/>
        <v>Jan</v>
      </c>
      <c r="S6" t="s">
        <v>3787</v>
      </c>
    </row>
    <row r="7" spans="1:19" x14ac:dyDescent="0.3">
      <c r="A7" t="s">
        <v>1616</v>
      </c>
      <c r="B7" s="1">
        <v>45499</v>
      </c>
      <c r="C7" t="s">
        <v>405</v>
      </c>
      <c r="D7" t="s">
        <v>1363</v>
      </c>
      <c r="E7" t="s">
        <v>1564</v>
      </c>
      <c r="F7">
        <v>3</v>
      </c>
      <c r="G7" s="14">
        <v>147.01</v>
      </c>
      <c r="H7" s="17">
        <v>0.19</v>
      </c>
      <c r="I7" t="s">
        <v>1614</v>
      </c>
      <c r="J7" s="14">
        <v>357.23430000000002</v>
      </c>
      <c r="K7" s="14">
        <f t="shared" si="7"/>
        <v>685008.60323188431</v>
      </c>
      <c r="L7" s="14">
        <f t="shared" si="0"/>
        <v>666</v>
      </c>
      <c r="M7" s="14" t="str">
        <f t="shared" si="1"/>
        <v>26-07-2024</v>
      </c>
      <c r="N7" s="14">
        <f t="shared" si="2"/>
        <v>0.15287810517855041</v>
      </c>
      <c r="O7" s="20">
        <f t="shared" si="3"/>
        <v>2.4929327228525229</v>
      </c>
      <c r="P7" s="14">
        <f t="shared" si="4"/>
        <v>491.16543973952685</v>
      </c>
      <c r="Q7" s="14">
        <f t="shared" si="5"/>
        <v>126.858575</v>
      </c>
      <c r="R7" s="14" t="str">
        <f t="shared" si="6"/>
        <v>Jul</v>
      </c>
      <c r="S7" t="s">
        <v>3789</v>
      </c>
    </row>
    <row r="8" spans="1:19" x14ac:dyDescent="0.3">
      <c r="A8" t="s">
        <v>1617</v>
      </c>
      <c r="B8" s="1">
        <v>45850</v>
      </c>
      <c r="C8" t="s">
        <v>75</v>
      </c>
      <c r="D8" t="s">
        <v>1445</v>
      </c>
      <c r="E8" t="s">
        <v>1554</v>
      </c>
      <c r="F8">
        <v>2</v>
      </c>
      <c r="G8" s="14">
        <v>785.31</v>
      </c>
      <c r="H8" s="17">
        <v>0.15</v>
      </c>
      <c r="I8" t="s">
        <v>1611</v>
      </c>
      <c r="J8" s="14">
        <v>1335.027</v>
      </c>
      <c r="K8" s="14">
        <f t="shared" si="7"/>
        <v>685008.60323188431</v>
      </c>
      <c r="L8" s="14">
        <f t="shared" si="0"/>
        <v>666</v>
      </c>
      <c r="M8" s="14" t="str">
        <f t="shared" si="1"/>
        <v>12-07-2025</v>
      </c>
      <c r="N8" s="14">
        <f t="shared" si="2"/>
        <v>0.15285946032931813</v>
      </c>
      <c r="O8" s="20">
        <f t="shared" si="3"/>
        <v>2.4926781710065651</v>
      </c>
      <c r="P8" s="14">
        <f t="shared" si="4"/>
        <v>491.33820853457678</v>
      </c>
      <c r="Q8" s="14">
        <f t="shared" si="5"/>
        <v>530.62175000000002</v>
      </c>
      <c r="R8" s="14" t="str">
        <f t="shared" si="6"/>
        <v>Jul</v>
      </c>
      <c r="S8" t="s">
        <v>3788</v>
      </c>
    </row>
    <row r="9" spans="1:19" x14ac:dyDescent="0.3">
      <c r="A9" t="s">
        <v>1618</v>
      </c>
      <c r="B9" s="1">
        <v>45248</v>
      </c>
      <c r="C9" t="s">
        <v>511</v>
      </c>
      <c r="D9" t="s">
        <v>1473</v>
      </c>
      <c r="E9" t="s">
        <v>1567</v>
      </c>
      <c r="F9">
        <v>4</v>
      </c>
      <c r="G9" s="14">
        <v>342.39</v>
      </c>
      <c r="H9" s="17">
        <v>0.23</v>
      </c>
      <c r="I9" t="s">
        <v>1611</v>
      </c>
      <c r="J9" s="14">
        <v>1054.5612000000001</v>
      </c>
      <c r="K9" s="14">
        <f t="shared" si="7"/>
        <v>685008.60323188431</v>
      </c>
      <c r="L9" s="14">
        <f t="shared" si="0"/>
        <v>666</v>
      </c>
      <c r="M9" s="14" t="str">
        <f t="shared" si="1"/>
        <v>18-11-2023</v>
      </c>
      <c r="N9" s="14">
        <f t="shared" si="2"/>
        <v>0.15286089724405647</v>
      </c>
      <c r="O9" s="20">
        <f t="shared" si="3"/>
        <v>2.492925623628869</v>
      </c>
      <c r="P9" s="14">
        <f t="shared" si="4"/>
        <v>491.19055821239425</v>
      </c>
      <c r="Q9" s="14">
        <f t="shared" si="5"/>
        <v>350.2953</v>
      </c>
      <c r="R9" s="14" t="str">
        <f t="shared" si="6"/>
        <v>Nov</v>
      </c>
      <c r="S9" t="s">
        <v>3790</v>
      </c>
    </row>
    <row r="10" spans="1:19" x14ac:dyDescent="0.3">
      <c r="A10" t="s">
        <v>1619</v>
      </c>
      <c r="B10" s="1">
        <v>45781</v>
      </c>
      <c r="C10" t="s">
        <v>616</v>
      </c>
      <c r="D10" t="s">
        <v>1531</v>
      </c>
      <c r="E10" t="s">
        <v>1558</v>
      </c>
      <c r="F10">
        <v>2</v>
      </c>
      <c r="G10" s="14">
        <v>448.25</v>
      </c>
      <c r="H10" s="17">
        <v>7.0000000000000007E-2</v>
      </c>
      <c r="I10" t="s">
        <v>1611</v>
      </c>
      <c r="J10" s="14">
        <v>1250.6175000000001</v>
      </c>
      <c r="K10" s="14">
        <f t="shared" si="7"/>
        <v>685008.60323188431</v>
      </c>
      <c r="L10" s="14">
        <f t="shared" si="0"/>
        <v>666</v>
      </c>
      <c r="M10" s="14" t="str">
        <f t="shared" si="1"/>
        <v>04-05-2025</v>
      </c>
      <c r="N10" s="14">
        <f t="shared" si="2"/>
        <v>0.1528221143869645</v>
      </c>
      <c r="O10" s="20">
        <f t="shared" si="3"/>
        <v>2.492168299821647</v>
      </c>
      <c r="P10" s="14">
        <f t="shared" si="4"/>
        <v>491.26533236224969</v>
      </c>
      <c r="Q10" s="14">
        <f t="shared" si="5"/>
        <v>425.234375</v>
      </c>
      <c r="R10" s="14" t="str">
        <f t="shared" si="6"/>
        <v>May</v>
      </c>
      <c r="S10" t="s">
        <v>3791</v>
      </c>
    </row>
    <row r="11" spans="1:19" x14ac:dyDescent="0.3">
      <c r="A11" t="s">
        <v>1620</v>
      </c>
      <c r="B11" s="1">
        <v>45869</v>
      </c>
      <c r="C11" t="s">
        <v>1285</v>
      </c>
      <c r="D11" t="s">
        <v>1399</v>
      </c>
      <c r="E11" t="s">
        <v>1537</v>
      </c>
      <c r="F11">
        <v>2</v>
      </c>
      <c r="G11" s="14">
        <v>873.17</v>
      </c>
      <c r="H11" s="17">
        <v>0.23</v>
      </c>
      <c r="I11" t="s">
        <v>1611</v>
      </c>
      <c r="J11" s="14">
        <v>1344.6818000000001</v>
      </c>
      <c r="K11" s="14">
        <f t="shared" si="7"/>
        <v>685008.60323188431</v>
      </c>
      <c r="L11" s="14">
        <f t="shared" si="0"/>
        <v>666</v>
      </c>
      <c r="M11" s="14" t="str">
        <f t="shared" si="1"/>
        <v>31-07-2025</v>
      </c>
      <c r="N11" s="14">
        <f t="shared" si="2"/>
        <v>0.15286377541029797</v>
      </c>
      <c r="O11" s="20">
        <f t="shared" si="3"/>
        <v>2.4924157449195969</v>
      </c>
      <c r="P11" s="14">
        <f t="shared" si="4"/>
        <v>491.28695897479986</v>
      </c>
      <c r="Q11" s="14">
        <f t="shared" si="5"/>
        <v>555.02044999999998</v>
      </c>
      <c r="R11" s="14" t="str">
        <f t="shared" si="6"/>
        <v>Jul</v>
      </c>
    </row>
    <row r="12" spans="1:19" x14ac:dyDescent="0.3">
      <c r="A12" t="s">
        <v>1621</v>
      </c>
      <c r="B12" s="1">
        <v>45335</v>
      </c>
      <c r="C12" t="s">
        <v>241</v>
      </c>
      <c r="D12" t="s">
        <v>1381</v>
      </c>
      <c r="E12" t="s">
        <v>1584</v>
      </c>
      <c r="F12">
        <v>1</v>
      </c>
      <c r="G12" s="14">
        <v>278.63</v>
      </c>
      <c r="H12" s="17">
        <v>7.0000000000000007E-2</v>
      </c>
      <c r="I12" t="s">
        <v>1609</v>
      </c>
      <c r="J12" s="14">
        <v>259.1259</v>
      </c>
      <c r="K12" s="14">
        <f t="shared" si="7"/>
        <v>685008.60323188431</v>
      </c>
      <c r="L12" s="14">
        <f t="shared" si="0"/>
        <v>666</v>
      </c>
      <c r="M12" s="14" t="str">
        <f t="shared" si="1"/>
        <v>13-02-2024</v>
      </c>
      <c r="N12" s="14">
        <f t="shared" si="2"/>
        <v>0.15282495496510942</v>
      </c>
      <c r="O12" s="20">
        <f t="shared" si="3"/>
        <v>2.4926634389562765</v>
      </c>
      <c r="P12" s="14">
        <f t="shared" si="4"/>
        <v>491.09486488977717</v>
      </c>
      <c r="Q12" s="14">
        <f t="shared" si="5"/>
        <v>134.70647500000001</v>
      </c>
      <c r="R12" s="14" t="str">
        <f t="shared" si="6"/>
        <v>Feb</v>
      </c>
    </row>
    <row r="13" spans="1:19" x14ac:dyDescent="0.3">
      <c r="A13" t="s">
        <v>1622</v>
      </c>
      <c r="B13" s="1">
        <v>45801</v>
      </c>
      <c r="C13" t="s">
        <v>1008</v>
      </c>
      <c r="D13" t="s">
        <v>1411</v>
      </c>
      <c r="E13" t="s">
        <v>1542</v>
      </c>
      <c r="F13">
        <v>4</v>
      </c>
      <c r="G13" s="14">
        <v>286.92</v>
      </c>
      <c r="H13" s="17">
        <v>0.17</v>
      </c>
      <c r="I13" t="s">
        <v>1609</v>
      </c>
      <c r="J13" s="14">
        <v>952.57439999999997</v>
      </c>
      <c r="K13" s="14">
        <f t="shared" si="7"/>
        <v>684749.47733188432</v>
      </c>
      <c r="L13" s="14">
        <f t="shared" si="0"/>
        <v>665</v>
      </c>
      <c r="M13" s="14" t="str">
        <f t="shared" si="1"/>
        <v>24-05-2025</v>
      </c>
      <c r="N13" s="14">
        <f t="shared" si="2"/>
        <v>0.1528666593734504</v>
      </c>
      <c r="O13" s="20">
        <f t="shared" si="3"/>
        <v>2.4934146535707487</v>
      </c>
      <c r="P13" s="14">
        <f t="shared" si="4"/>
        <v>491.20179235071816</v>
      </c>
      <c r="Q13" s="14">
        <f t="shared" si="5"/>
        <v>310.91610000000003</v>
      </c>
      <c r="R13" s="14" t="str">
        <f t="shared" si="6"/>
        <v>May</v>
      </c>
    </row>
    <row r="14" spans="1:19" x14ac:dyDescent="0.3">
      <c r="A14" t="s">
        <v>1623</v>
      </c>
      <c r="B14" s="1">
        <v>45528</v>
      </c>
      <c r="C14" t="s">
        <v>761</v>
      </c>
      <c r="D14" t="s">
        <v>1509</v>
      </c>
      <c r="E14" t="s">
        <v>1554</v>
      </c>
      <c r="F14">
        <v>4</v>
      </c>
      <c r="G14" s="14">
        <v>644.58000000000004</v>
      </c>
      <c r="H14" s="17">
        <v>0.01</v>
      </c>
      <c r="I14" t="s">
        <v>1609</v>
      </c>
      <c r="J14" s="14">
        <v>2552.5367999999999</v>
      </c>
      <c r="K14" s="14">
        <f t="shared" si="7"/>
        <v>683796.9029318844</v>
      </c>
      <c r="L14" s="14">
        <f t="shared" si="0"/>
        <v>664</v>
      </c>
      <c r="M14" s="14" t="str">
        <f t="shared" si="1"/>
        <v>24-08-2024</v>
      </c>
      <c r="N14" s="14">
        <f t="shared" si="2"/>
        <v>0.15285802796759315</v>
      </c>
      <c r="O14" s="20">
        <f t="shared" si="3"/>
        <v>2.4926560506772799</v>
      </c>
      <c r="P14" s="14">
        <f t="shared" si="4"/>
        <v>491.30465327335196</v>
      </c>
      <c r="Q14" s="14">
        <f t="shared" si="5"/>
        <v>800.2817</v>
      </c>
      <c r="R14" s="14" t="str">
        <f t="shared" si="6"/>
        <v>Aug</v>
      </c>
    </row>
    <row r="15" spans="1:19" x14ac:dyDescent="0.3">
      <c r="A15" t="s">
        <v>1624</v>
      </c>
      <c r="B15" s="1">
        <v>45875</v>
      </c>
      <c r="C15" t="s">
        <v>1264</v>
      </c>
      <c r="D15" t="s">
        <v>1401</v>
      </c>
      <c r="E15" t="s">
        <v>1589</v>
      </c>
      <c r="F15">
        <v>2</v>
      </c>
      <c r="G15" s="14">
        <v>316.89999999999998</v>
      </c>
      <c r="H15" s="17">
        <v>0.3</v>
      </c>
      <c r="I15" t="s">
        <v>1611</v>
      </c>
      <c r="J15" s="14">
        <v>443.66</v>
      </c>
      <c r="K15" s="14">
        <f t="shared" si="7"/>
        <v>681244.3661318844</v>
      </c>
      <c r="L15" s="14">
        <f t="shared" si="0"/>
        <v>663</v>
      </c>
      <c r="M15" s="14" t="str">
        <f t="shared" si="1"/>
        <v>06-08-2025</v>
      </c>
      <c r="N15" s="14">
        <f t="shared" si="2"/>
        <v>0.1529300330220123</v>
      </c>
      <c r="O15" s="20">
        <f t="shared" si="3"/>
        <v>2.491896683448402</v>
      </c>
      <c r="P15" s="14">
        <f t="shared" si="4"/>
        <v>491.22743647399341</v>
      </c>
      <c r="Q15" s="14">
        <f t="shared" si="5"/>
        <v>190.715</v>
      </c>
      <c r="R15" s="14" t="str">
        <f t="shared" si="6"/>
        <v>Aug</v>
      </c>
    </row>
    <row r="16" spans="1:19" x14ac:dyDescent="0.3">
      <c r="A16" t="s">
        <v>1625</v>
      </c>
      <c r="B16" s="1">
        <v>45829</v>
      </c>
      <c r="C16" t="s">
        <v>1092</v>
      </c>
      <c r="D16" t="s">
        <v>1381</v>
      </c>
      <c r="E16" t="s">
        <v>1586</v>
      </c>
      <c r="F16">
        <v>4</v>
      </c>
      <c r="G16" s="14">
        <v>403.47</v>
      </c>
      <c r="H16" s="17">
        <v>0.28999999999999998</v>
      </c>
      <c r="I16" t="s">
        <v>1611</v>
      </c>
      <c r="J16" s="14">
        <v>1145.8548000000001</v>
      </c>
      <c r="K16" s="14">
        <f t="shared" si="7"/>
        <v>681244.3661318844</v>
      </c>
      <c r="L16" s="14">
        <f t="shared" si="0"/>
        <v>663</v>
      </c>
      <c r="M16" s="14" t="str">
        <f t="shared" si="1"/>
        <v>21-06-2025</v>
      </c>
      <c r="N16" s="14">
        <f t="shared" si="2"/>
        <v>0.1528558676327143</v>
      </c>
      <c r="O16" s="20">
        <f t="shared" si="3"/>
        <v>2.492144615244495</v>
      </c>
      <c r="P16" s="14">
        <f t="shared" si="4"/>
        <v>491.31530312544203</v>
      </c>
      <c r="Q16" s="14">
        <f t="shared" si="5"/>
        <v>388.40370000000001</v>
      </c>
      <c r="R16" s="14" t="str">
        <f t="shared" si="6"/>
        <v>Jun</v>
      </c>
    </row>
    <row r="17" spans="1:18" x14ac:dyDescent="0.3">
      <c r="A17" t="s">
        <v>1626</v>
      </c>
      <c r="B17" s="1">
        <v>45636</v>
      </c>
      <c r="C17" t="s">
        <v>1256</v>
      </c>
      <c r="D17" t="s">
        <v>1405</v>
      </c>
      <c r="E17" t="s">
        <v>1571</v>
      </c>
      <c r="F17">
        <v>2</v>
      </c>
      <c r="G17" s="14">
        <v>871.34</v>
      </c>
      <c r="H17" s="17">
        <v>0.04</v>
      </c>
      <c r="I17" t="s">
        <v>1614</v>
      </c>
      <c r="J17" s="14">
        <v>2509.4591999999998</v>
      </c>
      <c r="K17" s="14">
        <f t="shared" si="7"/>
        <v>681244.3661318844</v>
      </c>
      <c r="L17" s="14">
        <f t="shared" si="0"/>
        <v>663</v>
      </c>
      <c r="M17" s="14" t="str">
        <f t="shared" si="1"/>
        <v>10-12-2024</v>
      </c>
      <c r="N17" s="14">
        <f t="shared" si="2"/>
        <v>0.15278667281315461</v>
      </c>
      <c r="O17" s="20">
        <f t="shared" si="3"/>
        <v>2.4913842242284812</v>
      </c>
      <c r="P17" s="14">
        <f t="shared" si="4"/>
        <v>491.35960232015981</v>
      </c>
      <c r="Q17" s="14">
        <f t="shared" si="5"/>
        <v>845.70979999999997</v>
      </c>
      <c r="R17" s="14" t="str">
        <f t="shared" si="6"/>
        <v>Dec</v>
      </c>
    </row>
    <row r="18" spans="1:18" x14ac:dyDescent="0.3">
      <c r="A18" t="s">
        <v>1627</v>
      </c>
      <c r="B18" s="1">
        <v>45913</v>
      </c>
      <c r="C18" t="s">
        <v>878</v>
      </c>
      <c r="D18" t="s">
        <v>1463</v>
      </c>
      <c r="E18" t="s">
        <v>1598</v>
      </c>
      <c r="F18">
        <v>2</v>
      </c>
      <c r="G18" s="14">
        <v>451.98</v>
      </c>
      <c r="H18" s="17">
        <v>0.25</v>
      </c>
      <c r="I18" t="s">
        <v>1609</v>
      </c>
      <c r="J18" s="14">
        <v>677.97</v>
      </c>
      <c r="K18" s="14">
        <f t="shared" si="7"/>
        <v>681244.3661318844</v>
      </c>
      <c r="L18" s="14">
        <f t="shared" si="0"/>
        <v>663</v>
      </c>
      <c r="M18" s="14" t="str">
        <f t="shared" si="1"/>
        <v>13-09-2025</v>
      </c>
      <c r="N18" s="14">
        <f t="shared" si="2"/>
        <v>0.15284360702456962</v>
      </c>
      <c r="O18" s="20">
        <f t="shared" si="3"/>
        <v>2.4916321476514014</v>
      </c>
      <c r="P18" s="14">
        <f t="shared" si="4"/>
        <v>491.16788668056358</v>
      </c>
      <c r="Q18" s="14">
        <f t="shared" si="5"/>
        <v>283.05</v>
      </c>
      <c r="R18" s="14" t="str">
        <f t="shared" si="6"/>
        <v>Sep</v>
      </c>
    </row>
    <row r="19" spans="1:18" x14ac:dyDescent="0.3">
      <c r="A19" t="s">
        <v>1628</v>
      </c>
      <c r="B19" s="1">
        <v>45637</v>
      </c>
      <c r="C19" t="s">
        <v>288</v>
      </c>
      <c r="D19" t="s">
        <v>1387</v>
      </c>
      <c r="E19" t="s">
        <v>1554</v>
      </c>
      <c r="F19">
        <v>2</v>
      </c>
      <c r="G19" s="14">
        <v>502.69</v>
      </c>
      <c r="H19" s="17">
        <v>0.23</v>
      </c>
      <c r="I19" t="s">
        <v>1609</v>
      </c>
      <c r="J19" s="14">
        <v>774.14260000000002</v>
      </c>
      <c r="K19" s="14">
        <f t="shared" si="7"/>
        <v>680566.39613188442</v>
      </c>
      <c r="L19" s="14">
        <f t="shared" si="0"/>
        <v>662</v>
      </c>
      <c r="M19" s="14" t="str">
        <f t="shared" si="1"/>
        <v>11-12-2024</v>
      </c>
      <c r="N19" s="14">
        <f t="shared" si="2"/>
        <v>0.15279453813922853</v>
      </c>
      <c r="O19" s="20">
        <f t="shared" si="3"/>
        <v>2.4918803213756071</v>
      </c>
      <c r="P19" s="14">
        <f t="shared" si="4"/>
        <v>491.18766855167945</v>
      </c>
      <c r="Q19" s="14">
        <f t="shared" si="5"/>
        <v>319.76564999999999</v>
      </c>
      <c r="R19" s="14" t="str">
        <f t="shared" si="6"/>
        <v>Dec</v>
      </c>
    </row>
    <row r="20" spans="1:18" x14ac:dyDescent="0.3">
      <c r="A20" t="s">
        <v>1629</v>
      </c>
      <c r="B20" s="1">
        <v>45517</v>
      </c>
      <c r="C20" t="s">
        <v>338</v>
      </c>
      <c r="D20" t="s">
        <v>1411</v>
      </c>
      <c r="E20" t="s">
        <v>1554</v>
      </c>
      <c r="F20">
        <v>2</v>
      </c>
      <c r="G20" s="14">
        <v>559.23</v>
      </c>
      <c r="H20" s="17">
        <v>0.25</v>
      </c>
      <c r="I20" t="s">
        <v>1614</v>
      </c>
      <c r="J20" s="14">
        <v>838.84500000000003</v>
      </c>
      <c r="K20" s="14">
        <f t="shared" si="7"/>
        <v>679792.2535318844</v>
      </c>
      <c r="L20" s="14">
        <f t="shared" si="0"/>
        <v>661</v>
      </c>
      <c r="M20" s="14" t="str">
        <f t="shared" si="1"/>
        <v>13-08-2024</v>
      </c>
      <c r="N20" s="14">
        <f t="shared" si="2"/>
        <v>0.15275552577851062</v>
      </c>
      <c r="O20" s="20">
        <f t="shared" si="3"/>
        <v>2.4921287457803425</v>
      </c>
      <c r="P20" s="14">
        <f t="shared" si="4"/>
        <v>491.18185929337221</v>
      </c>
      <c r="Q20" s="14">
        <f t="shared" si="5"/>
        <v>350.08125000000001</v>
      </c>
      <c r="R20" s="14" t="str">
        <f t="shared" si="6"/>
        <v>Aug</v>
      </c>
    </row>
    <row r="21" spans="1:18" x14ac:dyDescent="0.3">
      <c r="A21" t="s">
        <v>1630</v>
      </c>
      <c r="B21" s="1">
        <v>45369</v>
      </c>
      <c r="C21" t="s">
        <v>767</v>
      </c>
      <c r="D21" t="s">
        <v>1453</v>
      </c>
      <c r="E21" t="s">
        <v>1582</v>
      </c>
      <c r="F21">
        <v>4</v>
      </c>
      <c r="G21" s="14">
        <v>513.96</v>
      </c>
      <c r="H21" s="17">
        <v>0.04</v>
      </c>
      <c r="I21" t="s">
        <v>1614</v>
      </c>
      <c r="J21" s="14">
        <v>1782.4512</v>
      </c>
      <c r="K21" s="14">
        <f t="shared" si="7"/>
        <v>679792.2535318844</v>
      </c>
      <c r="L21" s="14">
        <f t="shared" si="0"/>
        <v>661</v>
      </c>
      <c r="M21" s="14" t="str">
        <f t="shared" si="1"/>
        <v>18-03-2024</v>
      </c>
      <c r="N21" s="14">
        <f t="shared" si="2"/>
        <v>0.15270636274806493</v>
      </c>
      <c r="O21" s="20">
        <f t="shared" si="3"/>
        <v>2.4923774212456178</v>
      </c>
      <c r="P21" s="14">
        <f t="shared" si="4"/>
        <v>491.14747417932136</v>
      </c>
      <c r="Q21" s="14">
        <f t="shared" si="5"/>
        <v>575.11279999999999</v>
      </c>
      <c r="R21" s="14" t="str">
        <f t="shared" si="6"/>
        <v>Mar</v>
      </c>
    </row>
    <row r="22" spans="1:18" x14ac:dyDescent="0.3">
      <c r="A22" t="s">
        <v>1631</v>
      </c>
      <c r="B22" s="1">
        <v>45843</v>
      </c>
      <c r="C22" t="s">
        <v>487</v>
      </c>
      <c r="D22" t="s">
        <v>1477</v>
      </c>
      <c r="E22" t="s">
        <v>1592</v>
      </c>
      <c r="F22">
        <v>3</v>
      </c>
      <c r="G22" s="14">
        <v>986.04</v>
      </c>
      <c r="H22" s="17">
        <v>0.27</v>
      </c>
      <c r="I22" t="s">
        <v>1614</v>
      </c>
      <c r="J22" s="14">
        <v>2159.4276</v>
      </c>
      <c r="K22" s="14">
        <f t="shared" si="7"/>
        <v>679792.2535318844</v>
      </c>
      <c r="L22" s="14">
        <f t="shared" si="0"/>
        <v>661</v>
      </c>
      <c r="M22" s="14" t="str">
        <f t="shared" si="1"/>
        <v>05-07-2025</v>
      </c>
      <c r="N22" s="14">
        <f t="shared" si="2"/>
        <v>0.15276337153043623</v>
      </c>
      <c r="O22" s="20">
        <f t="shared" si="3"/>
        <v>2.4916152258064095</v>
      </c>
      <c r="P22" s="14">
        <f t="shared" si="4"/>
        <v>491.13594105201071</v>
      </c>
      <c r="Q22" s="14">
        <f t="shared" si="5"/>
        <v>787.18439999999998</v>
      </c>
      <c r="R22" s="14" t="str">
        <f t="shared" si="6"/>
        <v>Jul</v>
      </c>
    </row>
    <row r="23" spans="1:18" x14ac:dyDescent="0.3">
      <c r="A23" t="s">
        <v>1632</v>
      </c>
      <c r="B23" s="1">
        <v>45447</v>
      </c>
      <c r="C23" t="s">
        <v>1217</v>
      </c>
      <c r="D23" t="s">
        <v>1419</v>
      </c>
      <c r="E23" t="s">
        <v>1595</v>
      </c>
      <c r="F23">
        <v>1</v>
      </c>
      <c r="G23" s="14">
        <v>589.55999999999995</v>
      </c>
      <c r="H23" s="17">
        <v>0.22</v>
      </c>
      <c r="I23" t="s">
        <v>1609</v>
      </c>
      <c r="J23" s="14">
        <v>459.85680000000002</v>
      </c>
      <c r="K23" s="14">
        <f t="shared" si="7"/>
        <v>679792.2535318844</v>
      </c>
      <c r="L23" s="14">
        <f t="shared" si="0"/>
        <v>661</v>
      </c>
      <c r="M23" s="14" t="str">
        <f t="shared" si="1"/>
        <v>04-06-2024</v>
      </c>
      <c r="N23" s="14">
        <f t="shared" si="2"/>
        <v>0.15270404125287065</v>
      </c>
      <c r="O23" s="20">
        <f t="shared" si="3"/>
        <v>2.4913580761988254</v>
      </c>
      <c r="P23" s="14">
        <f t="shared" si="4"/>
        <v>490.88561021794493</v>
      </c>
      <c r="Q23" s="14">
        <f t="shared" si="5"/>
        <v>262.6592</v>
      </c>
      <c r="R23" s="14" t="str">
        <f t="shared" si="6"/>
        <v>Jun</v>
      </c>
    </row>
    <row r="24" spans="1:18" x14ac:dyDescent="0.3">
      <c r="A24" t="s">
        <v>1633</v>
      </c>
      <c r="B24" s="1">
        <v>45394</v>
      </c>
      <c r="C24" t="s">
        <v>1297</v>
      </c>
      <c r="D24" t="s">
        <v>1471</v>
      </c>
      <c r="E24" t="s">
        <v>1574</v>
      </c>
      <c r="F24">
        <v>3</v>
      </c>
      <c r="G24" s="14">
        <v>979.42</v>
      </c>
      <c r="H24" s="17">
        <v>0.03</v>
      </c>
      <c r="I24" t="s">
        <v>1611</v>
      </c>
      <c r="J24" s="14">
        <v>2850.1122</v>
      </c>
      <c r="K24" s="14">
        <f t="shared" si="7"/>
        <v>679332.39673188434</v>
      </c>
      <c r="L24" s="14">
        <f t="shared" si="0"/>
        <v>660</v>
      </c>
      <c r="M24" s="14" t="str">
        <f t="shared" si="1"/>
        <v>12-04-2024</v>
      </c>
      <c r="N24" s="14">
        <f t="shared" si="2"/>
        <v>0.15266996734970756</v>
      </c>
      <c r="O24" s="20">
        <f t="shared" si="3"/>
        <v>2.4921128120673472</v>
      </c>
      <c r="P24" s="14">
        <f t="shared" si="4"/>
        <v>490.83567378586895</v>
      </c>
      <c r="Q24" s="14">
        <f t="shared" si="5"/>
        <v>958.14054999999996</v>
      </c>
      <c r="R24" s="14" t="str">
        <f t="shared" si="6"/>
        <v>Apr</v>
      </c>
    </row>
    <row r="25" spans="1:18" x14ac:dyDescent="0.3">
      <c r="A25" t="s">
        <v>1634</v>
      </c>
      <c r="B25" s="1">
        <v>45466</v>
      </c>
      <c r="C25" t="s">
        <v>1151</v>
      </c>
      <c r="D25" t="s">
        <v>1357</v>
      </c>
      <c r="E25" t="s">
        <v>1567</v>
      </c>
      <c r="F25">
        <v>1</v>
      </c>
      <c r="G25" s="14">
        <v>719.28</v>
      </c>
      <c r="H25" s="17">
        <v>0.08</v>
      </c>
      <c r="I25" t="s">
        <v>1609</v>
      </c>
      <c r="J25" s="14">
        <v>661.73760000000004</v>
      </c>
      <c r="K25" s="14">
        <f t="shared" si="7"/>
        <v>679332.39673188434</v>
      </c>
      <c r="L25" s="14">
        <f t="shared" si="0"/>
        <v>660</v>
      </c>
      <c r="M25" s="14" t="str">
        <f t="shared" si="1"/>
        <v>23-06-2024</v>
      </c>
      <c r="N25" s="14">
        <f t="shared" si="2"/>
        <v>0.15273211019031022</v>
      </c>
      <c r="O25" s="20">
        <f t="shared" si="3"/>
        <v>2.4918556539975079</v>
      </c>
      <c r="P25" s="14">
        <f t="shared" si="4"/>
        <v>490.58828931689982</v>
      </c>
      <c r="Q25" s="14">
        <f t="shared" si="5"/>
        <v>345.52440000000001</v>
      </c>
      <c r="R25" s="14" t="str">
        <f t="shared" si="6"/>
        <v>Jun</v>
      </c>
    </row>
    <row r="26" spans="1:18" x14ac:dyDescent="0.3">
      <c r="A26" t="s">
        <v>1635</v>
      </c>
      <c r="B26" s="1">
        <v>45908</v>
      </c>
      <c r="C26" t="s">
        <v>613</v>
      </c>
      <c r="D26" t="s">
        <v>1467</v>
      </c>
      <c r="E26" t="s">
        <v>1561</v>
      </c>
      <c r="F26">
        <v>3</v>
      </c>
      <c r="G26" s="14">
        <v>77.599999999999994</v>
      </c>
      <c r="H26" s="17">
        <v>7.0000000000000007E-2</v>
      </c>
      <c r="I26" t="s">
        <v>1609</v>
      </c>
      <c r="J26" s="14">
        <v>216.50399999999999</v>
      </c>
      <c r="K26" s="14">
        <f t="shared" si="7"/>
        <v>678670.65913188434</v>
      </c>
      <c r="L26" s="14">
        <f t="shared" si="0"/>
        <v>659</v>
      </c>
      <c r="M26" s="14" t="str">
        <f t="shared" si="1"/>
        <v>08-09-2025</v>
      </c>
      <c r="N26" s="14">
        <f t="shared" si="2"/>
        <v>0.15276897390556129</v>
      </c>
      <c r="O26" s="20">
        <f t="shared" si="3"/>
        <v>2.4926114066084488</v>
      </c>
      <c r="P26" s="14">
        <f t="shared" si="4"/>
        <v>490.47243738646256</v>
      </c>
      <c r="Q26" s="14">
        <f t="shared" si="5"/>
        <v>74.293499999999995</v>
      </c>
      <c r="R26" s="14" t="str">
        <f t="shared" si="6"/>
        <v>Sep</v>
      </c>
    </row>
    <row r="27" spans="1:18" x14ac:dyDescent="0.3">
      <c r="A27" t="s">
        <v>1636</v>
      </c>
      <c r="B27" s="1">
        <v>45552</v>
      </c>
      <c r="C27" t="s">
        <v>1190</v>
      </c>
      <c r="D27" t="s">
        <v>1340</v>
      </c>
      <c r="E27" t="s">
        <v>1551</v>
      </c>
      <c r="F27">
        <v>4</v>
      </c>
      <c r="G27" s="14">
        <v>852.71</v>
      </c>
      <c r="H27" s="17">
        <v>0.14000000000000001</v>
      </c>
      <c r="I27" t="s">
        <v>1611</v>
      </c>
      <c r="J27" s="14">
        <v>2933.3224</v>
      </c>
      <c r="K27" s="14">
        <f t="shared" si="7"/>
        <v>678454.15513188438</v>
      </c>
      <c r="L27" s="14">
        <f t="shared" si="0"/>
        <v>658</v>
      </c>
      <c r="M27" s="14" t="str">
        <f t="shared" si="1"/>
        <v>17-09-2024</v>
      </c>
      <c r="N27" s="14">
        <f t="shared" si="2"/>
        <v>0.15281094600186232</v>
      </c>
      <c r="O27" s="20">
        <f t="shared" si="3"/>
        <v>2.4923542405702372</v>
      </c>
      <c r="P27" s="14">
        <f t="shared" si="4"/>
        <v>490.68169863197016</v>
      </c>
      <c r="Q27" s="14">
        <f t="shared" si="5"/>
        <v>947.54309999999998</v>
      </c>
      <c r="R27" s="14" t="str">
        <f t="shared" si="6"/>
        <v>Sep</v>
      </c>
    </row>
    <row r="28" spans="1:18" x14ac:dyDescent="0.3">
      <c r="A28" t="s">
        <v>1637</v>
      </c>
      <c r="B28" s="1">
        <v>45294</v>
      </c>
      <c r="C28" t="s">
        <v>693</v>
      </c>
      <c r="D28" t="s">
        <v>1529</v>
      </c>
      <c r="E28" t="s">
        <v>1567</v>
      </c>
      <c r="F28">
        <v>4</v>
      </c>
      <c r="G28" s="14">
        <v>156.16</v>
      </c>
      <c r="H28" s="17">
        <v>0.15</v>
      </c>
      <c r="I28" t="s">
        <v>1609</v>
      </c>
      <c r="J28" s="14">
        <v>599.65440000000001</v>
      </c>
      <c r="K28" s="14">
        <f t="shared" si="7"/>
        <v>678454.15513188438</v>
      </c>
      <c r="L28" s="14">
        <f t="shared" si="0"/>
        <v>658</v>
      </c>
      <c r="M28" s="14" t="str">
        <f t="shared" si="1"/>
        <v>03-01-2024</v>
      </c>
      <c r="N28" s="14">
        <f t="shared" si="2"/>
        <v>0.15281744572078765</v>
      </c>
      <c r="O28" s="20">
        <f t="shared" si="3"/>
        <v>2.4915897143230619</v>
      </c>
      <c r="P28" s="14">
        <f t="shared" si="4"/>
        <v>490.49811430064761</v>
      </c>
      <c r="Q28" s="14">
        <f t="shared" si="5"/>
        <v>189.99110000000002</v>
      </c>
      <c r="R28" s="14" t="str">
        <f t="shared" si="6"/>
        <v>Jan</v>
      </c>
    </row>
    <row r="29" spans="1:18" x14ac:dyDescent="0.3">
      <c r="A29" t="s">
        <v>1638</v>
      </c>
      <c r="B29" s="1">
        <v>45710</v>
      </c>
      <c r="C29" t="s">
        <v>654</v>
      </c>
      <c r="D29" t="s">
        <v>1487</v>
      </c>
      <c r="E29" t="s">
        <v>1567</v>
      </c>
      <c r="F29">
        <v>3</v>
      </c>
      <c r="G29" s="14">
        <v>815.49</v>
      </c>
      <c r="H29" s="17">
        <v>0.17</v>
      </c>
      <c r="I29" t="s">
        <v>1609</v>
      </c>
      <c r="J29" s="14">
        <v>2030.5700999999999</v>
      </c>
      <c r="K29" s="14">
        <f t="shared" si="7"/>
        <v>677854.50073188439</v>
      </c>
      <c r="L29" s="14">
        <f t="shared" si="0"/>
        <v>657</v>
      </c>
      <c r="M29" s="14" t="str">
        <f t="shared" si="1"/>
        <v>22-02-2025</v>
      </c>
      <c r="N29" s="14">
        <f t="shared" si="2"/>
        <v>0.1528188758962804</v>
      </c>
      <c r="O29" s="20">
        <f t="shared" si="3"/>
        <v>2.4908244123009022</v>
      </c>
      <c r="P29" s="14">
        <f t="shared" si="4"/>
        <v>490.66774297355511</v>
      </c>
      <c r="Q29" s="14">
        <f t="shared" si="5"/>
        <v>712.30752499999994</v>
      </c>
      <c r="R29" s="14" t="str">
        <f t="shared" si="6"/>
        <v>Feb</v>
      </c>
    </row>
    <row r="30" spans="1:18" x14ac:dyDescent="0.3">
      <c r="A30" t="s">
        <v>1639</v>
      </c>
      <c r="B30" s="1">
        <v>45923</v>
      </c>
      <c r="C30" t="s">
        <v>499</v>
      </c>
      <c r="D30" t="s">
        <v>1359</v>
      </c>
      <c r="E30" t="s">
        <v>1546</v>
      </c>
      <c r="F30">
        <v>2</v>
      </c>
      <c r="G30" s="14">
        <v>74.209999999999994</v>
      </c>
      <c r="H30" s="17">
        <v>0.11</v>
      </c>
      <c r="I30" t="s">
        <v>1611</v>
      </c>
      <c r="J30" s="14">
        <v>132.09379999999999</v>
      </c>
      <c r="K30" s="14">
        <f t="shared" si="7"/>
        <v>675823.93063188437</v>
      </c>
      <c r="L30" s="14">
        <f t="shared" si="0"/>
        <v>656</v>
      </c>
      <c r="M30" s="14" t="str">
        <f t="shared" si="1"/>
        <v>23-09-2025</v>
      </c>
      <c r="N30" s="14">
        <f t="shared" si="2"/>
        <v>0.15281015008414037</v>
      </c>
      <c r="O30" s="20">
        <f t="shared" si="3"/>
        <v>2.4905659475355724</v>
      </c>
      <c r="P30" s="14">
        <f t="shared" si="4"/>
        <v>490.50285857912553</v>
      </c>
      <c r="Q30" s="14">
        <f t="shared" si="5"/>
        <v>52.103449999999995</v>
      </c>
      <c r="R30" s="14" t="str">
        <f t="shared" si="6"/>
        <v>Sep</v>
      </c>
    </row>
    <row r="31" spans="1:18" x14ac:dyDescent="0.3">
      <c r="A31" t="s">
        <v>1640</v>
      </c>
      <c r="B31" s="1">
        <v>45302</v>
      </c>
      <c r="C31" t="s">
        <v>1092</v>
      </c>
      <c r="D31" t="s">
        <v>1531</v>
      </c>
      <c r="E31" t="s">
        <v>1551</v>
      </c>
      <c r="F31">
        <v>2</v>
      </c>
      <c r="G31" s="14">
        <v>451.67</v>
      </c>
      <c r="H31" s="17">
        <v>0.15</v>
      </c>
      <c r="I31" t="s">
        <v>1609</v>
      </c>
      <c r="J31" s="14">
        <v>1535.6780000000001</v>
      </c>
      <c r="K31" s="14">
        <f t="shared" si="7"/>
        <v>675823.93063188437</v>
      </c>
      <c r="L31" s="14">
        <f t="shared" si="0"/>
        <v>656</v>
      </c>
      <c r="M31" s="14" t="str">
        <f t="shared" si="1"/>
        <v>11-01-2024</v>
      </c>
      <c r="N31" s="14">
        <f t="shared" si="2"/>
        <v>0.15283190320918311</v>
      </c>
      <c r="O31" s="20">
        <f t="shared" si="3"/>
        <v>2.4908150922524519</v>
      </c>
      <c r="P31" s="14">
        <f t="shared" si="4"/>
        <v>490.71428207256332</v>
      </c>
      <c r="Q31" s="14">
        <f t="shared" si="5"/>
        <v>497.37450000000001</v>
      </c>
      <c r="R31" s="14" t="str">
        <f t="shared" si="6"/>
        <v>Jan</v>
      </c>
    </row>
    <row r="32" spans="1:18" x14ac:dyDescent="0.3">
      <c r="A32" t="s">
        <v>1641</v>
      </c>
      <c r="B32" s="1">
        <v>45217</v>
      </c>
      <c r="C32" t="s">
        <v>118</v>
      </c>
      <c r="D32" t="s">
        <v>1340</v>
      </c>
      <c r="E32" t="s">
        <v>1598</v>
      </c>
      <c r="F32">
        <v>1</v>
      </c>
      <c r="G32" s="14">
        <v>429.38</v>
      </c>
      <c r="H32" s="17">
        <v>0.13</v>
      </c>
      <c r="I32" t="s">
        <v>1611</v>
      </c>
      <c r="J32" s="14">
        <v>373.56060000000002</v>
      </c>
      <c r="K32" s="14">
        <f t="shared" si="7"/>
        <v>674288.2526318843</v>
      </c>
      <c r="L32" s="14">
        <f t="shared" si="0"/>
        <v>655</v>
      </c>
      <c r="M32" s="14" t="str">
        <f t="shared" si="1"/>
        <v>18-10-2023</v>
      </c>
      <c r="N32" s="14">
        <f t="shared" si="2"/>
        <v>0.15283334291594936</v>
      </c>
      <c r="O32" s="20">
        <f t="shared" si="3"/>
        <v>2.4910644901651819</v>
      </c>
      <c r="P32" s="14">
        <f t="shared" si="4"/>
        <v>490.73412164678717</v>
      </c>
      <c r="Q32" s="14">
        <f t="shared" si="5"/>
        <v>201.01765</v>
      </c>
      <c r="R32" s="14" t="str">
        <f t="shared" si="6"/>
        <v>Oct</v>
      </c>
    </row>
    <row r="33" spans="1:18" x14ac:dyDescent="0.3">
      <c r="A33" t="s">
        <v>1642</v>
      </c>
      <c r="B33" s="1">
        <v>45593</v>
      </c>
      <c r="C33" t="s">
        <v>1233</v>
      </c>
      <c r="D33" t="s">
        <v>1439</v>
      </c>
      <c r="E33" t="s">
        <v>1579</v>
      </c>
      <c r="F33">
        <v>2</v>
      </c>
      <c r="G33" s="14">
        <v>148.96</v>
      </c>
      <c r="H33" s="17">
        <v>0.03</v>
      </c>
      <c r="I33" t="s">
        <v>1614</v>
      </c>
      <c r="J33" s="14">
        <v>288.98239999999998</v>
      </c>
      <c r="K33" s="14">
        <f t="shared" si="7"/>
        <v>674288.2526318843</v>
      </c>
      <c r="L33" s="14">
        <f t="shared" si="0"/>
        <v>655</v>
      </c>
      <c r="M33" s="14" t="str">
        <f t="shared" si="1"/>
        <v>28-10-2024</v>
      </c>
      <c r="N33" s="14">
        <f t="shared" si="2"/>
        <v>0.1528449570273003</v>
      </c>
      <c r="O33" s="20">
        <f t="shared" si="3"/>
        <v>2.491822530068672</v>
      </c>
      <c r="P33" s="14">
        <f t="shared" si="4"/>
        <v>490.7653133710611</v>
      </c>
      <c r="Q33" s="14">
        <f t="shared" si="5"/>
        <v>109.9931</v>
      </c>
      <c r="R33" s="14" t="str">
        <f t="shared" si="6"/>
        <v>Oct</v>
      </c>
    </row>
    <row r="34" spans="1:18" x14ac:dyDescent="0.3">
      <c r="A34" t="s">
        <v>1643</v>
      </c>
      <c r="B34" s="1">
        <v>45597</v>
      </c>
      <c r="C34" t="s">
        <v>1219</v>
      </c>
      <c r="D34" t="s">
        <v>1483</v>
      </c>
      <c r="E34" t="s">
        <v>1567</v>
      </c>
      <c r="F34">
        <v>4</v>
      </c>
      <c r="G34" s="14">
        <v>313.83</v>
      </c>
      <c r="H34" s="17">
        <v>0.08</v>
      </c>
      <c r="I34" t="s">
        <v>1609</v>
      </c>
      <c r="J34" s="14">
        <v>1154.8943999999999</v>
      </c>
      <c r="K34" s="14">
        <f t="shared" si="7"/>
        <v>674288.2526318843</v>
      </c>
      <c r="L34" s="14">
        <f t="shared" si="0"/>
        <v>655</v>
      </c>
      <c r="M34" s="14" t="str">
        <f t="shared" si="1"/>
        <v>01-11-2024</v>
      </c>
      <c r="N34" s="14">
        <f t="shared" si="2"/>
        <v>0.15290747354487147</v>
      </c>
      <c r="O34" s="20">
        <f t="shared" si="3"/>
        <v>2.4920726941226237</v>
      </c>
      <c r="P34" s="14">
        <f t="shared" si="4"/>
        <v>490.93917161794354</v>
      </c>
      <c r="Q34" s="14">
        <f t="shared" si="5"/>
        <v>368.2011</v>
      </c>
      <c r="R34" s="14" t="str">
        <f t="shared" si="6"/>
        <v>Nov</v>
      </c>
    </row>
    <row r="35" spans="1:18" x14ac:dyDescent="0.3">
      <c r="A35" t="s">
        <v>1644</v>
      </c>
      <c r="B35" s="1">
        <v>45620</v>
      </c>
      <c r="C35" t="s">
        <v>1274</v>
      </c>
      <c r="D35" t="s">
        <v>1357</v>
      </c>
      <c r="E35" t="s">
        <v>1561</v>
      </c>
      <c r="F35">
        <v>2</v>
      </c>
      <c r="G35" s="14">
        <v>717.31</v>
      </c>
      <c r="H35" s="17">
        <v>0.15</v>
      </c>
      <c r="I35" t="s">
        <v>1609</v>
      </c>
      <c r="J35" s="14">
        <v>1219.4269999999999</v>
      </c>
      <c r="K35" s="14">
        <f t="shared" si="7"/>
        <v>673133.35823188431</v>
      </c>
      <c r="L35" s="14">
        <f t="shared" si="0"/>
        <v>654</v>
      </c>
      <c r="M35" s="14" t="str">
        <f t="shared" si="1"/>
        <v>24-11-2024</v>
      </c>
      <c r="N35" s="14">
        <f t="shared" si="2"/>
        <v>0.15294459547641159</v>
      </c>
      <c r="O35" s="20">
        <f t="shared" si="3"/>
        <v>2.4913053010916428</v>
      </c>
      <c r="P35" s="14">
        <f t="shared" si="4"/>
        <v>491.02930351189673</v>
      </c>
      <c r="Q35" s="14">
        <f t="shared" si="5"/>
        <v>484.72174999999993</v>
      </c>
      <c r="R35" s="14" t="str">
        <f t="shared" si="6"/>
        <v>Nov</v>
      </c>
    </row>
    <row r="36" spans="1:18" x14ac:dyDescent="0.3">
      <c r="A36" t="s">
        <v>1645</v>
      </c>
      <c r="B36" s="1">
        <v>45215</v>
      </c>
      <c r="C36" t="s">
        <v>1080</v>
      </c>
      <c r="D36" t="s">
        <v>1491</v>
      </c>
      <c r="E36" t="s">
        <v>1542</v>
      </c>
      <c r="F36">
        <v>2</v>
      </c>
      <c r="G36" s="14">
        <v>873.22</v>
      </c>
      <c r="H36" s="17">
        <v>0.18</v>
      </c>
      <c r="I36" t="s">
        <v>1609</v>
      </c>
      <c r="J36" s="14">
        <v>2148.1212</v>
      </c>
      <c r="K36" s="14">
        <f t="shared" si="7"/>
        <v>671913.93123188429</v>
      </c>
      <c r="L36" s="14">
        <f t="shared" si="0"/>
        <v>653</v>
      </c>
      <c r="M36" s="14" t="str">
        <f t="shared" si="1"/>
        <v>16-10-2023</v>
      </c>
      <c r="N36" s="14">
        <f t="shared" si="2"/>
        <v>0.15294609552504965</v>
      </c>
      <c r="O36" s="20">
        <f t="shared" si="3"/>
        <v>2.4915554565402638</v>
      </c>
      <c r="P36" s="14">
        <f t="shared" si="4"/>
        <v>490.91408930798224</v>
      </c>
      <c r="Q36" s="14">
        <f t="shared" si="5"/>
        <v>755.88030000000003</v>
      </c>
      <c r="R36" s="14" t="str">
        <f t="shared" si="6"/>
        <v>Oct</v>
      </c>
    </row>
    <row r="37" spans="1:18" x14ac:dyDescent="0.3">
      <c r="A37" t="s">
        <v>1646</v>
      </c>
      <c r="B37" s="1">
        <v>45878</v>
      </c>
      <c r="C37" t="s">
        <v>708</v>
      </c>
      <c r="D37" t="s">
        <v>1365</v>
      </c>
      <c r="E37" t="s">
        <v>1551</v>
      </c>
      <c r="F37">
        <v>4</v>
      </c>
      <c r="G37" s="14">
        <v>109.36</v>
      </c>
      <c r="H37" s="17">
        <v>0.19</v>
      </c>
      <c r="I37" t="s">
        <v>1614</v>
      </c>
      <c r="J37" s="14">
        <v>354.32639999999998</v>
      </c>
      <c r="K37" s="14">
        <f t="shared" si="7"/>
        <v>669765.81003188435</v>
      </c>
      <c r="L37" s="14">
        <f t="shared" si="0"/>
        <v>652</v>
      </c>
      <c r="M37" s="14" t="str">
        <f t="shared" si="1"/>
        <v>09-08-2025</v>
      </c>
      <c r="N37" s="14">
        <f t="shared" si="2"/>
        <v>0.15293230658291154</v>
      </c>
      <c r="O37" s="20">
        <f t="shared" si="3"/>
        <v>2.4918058668594387</v>
      </c>
      <c r="P37" s="14">
        <f t="shared" si="4"/>
        <v>490.71933336774174</v>
      </c>
      <c r="Q37" s="14">
        <f t="shared" si="5"/>
        <v>116.9691</v>
      </c>
      <c r="R37" s="14" t="str">
        <f t="shared" si="6"/>
        <v>Aug</v>
      </c>
    </row>
    <row r="38" spans="1:18" x14ac:dyDescent="0.3">
      <c r="A38" t="s">
        <v>1647</v>
      </c>
      <c r="B38" s="1">
        <v>45635</v>
      </c>
      <c r="C38" t="s">
        <v>310</v>
      </c>
      <c r="D38" t="s">
        <v>1340</v>
      </c>
      <c r="E38" t="s">
        <v>1564</v>
      </c>
      <c r="F38">
        <v>3</v>
      </c>
      <c r="G38" s="14">
        <v>559.52</v>
      </c>
      <c r="H38" s="17">
        <v>0.16</v>
      </c>
      <c r="I38" t="s">
        <v>1611</v>
      </c>
      <c r="J38" s="14">
        <v>1409.9903999999999</v>
      </c>
      <c r="K38" s="14">
        <f t="shared" si="7"/>
        <v>669765.81003188435</v>
      </c>
      <c r="L38" s="14">
        <f t="shared" si="0"/>
        <v>652</v>
      </c>
      <c r="M38" s="14" t="str">
        <f t="shared" si="1"/>
        <v>09-12-2024</v>
      </c>
      <c r="N38" s="14">
        <f t="shared" si="2"/>
        <v>0.15291340413853768</v>
      </c>
      <c r="O38" s="20">
        <f t="shared" si="3"/>
        <v>2.4910371644470324</v>
      </c>
      <c r="P38" s="14">
        <f t="shared" si="4"/>
        <v>490.91370611665496</v>
      </c>
      <c r="Q38" s="14">
        <f t="shared" si="5"/>
        <v>493.16759999999999</v>
      </c>
      <c r="R38" s="14" t="str">
        <f t="shared" si="6"/>
        <v>Dec</v>
      </c>
    </row>
    <row r="39" spans="1:18" x14ac:dyDescent="0.3">
      <c r="A39" t="s">
        <v>1648</v>
      </c>
      <c r="B39" s="1">
        <v>45329</v>
      </c>
      <c r="C39" t="s">
        <v>1313</v>
      </c>
      <c r="D39" t="s">
        <v>1353</v>
      </c>
      <c r="E39" t="s">
        <v>1592</v>
      </c>
      <c r="F39">
        <v>3</v>
      </c>
      <c r="G39" s="14">
        <v>121.76</v>
      </c>
      <c r="H39" s="17">
        <v>0.27</v>
      </c>
      <c r="I39" t="s">
        <v>1611</v>
      </c>
      <c r="J39" s="14">
        <v>266.65440000000001</v>
      </c>
      <c r="K39" s="14">
        <f t="shared" si="7"/>
        <v>669765.81003188435</v>
      </c>
      <c r="L39" s="14">
        <f t="shared" si="0"/>
        <v>652</v>
      </c>
      <c r="M39" s="14" t="str">
        <f t="shared" si="1"/>
        <v>07-02-2024</v>
      </c>
      <c r="N39" s="14">
        <f t="shared" si="2"/>
        <v>0.15290978852840431</v>
      </c>
      <c r="O39" s="20">
        <f t="shared" si="3"/>
        <v>2.4907776219505751</v>
      </c>
      <c r="P39" s="14">
        <f t="shared" si="4"/>
        <v>490.87872075516424</v>
      </c>
      <c r="Q39" s="14">
        <f t="shared" si="5"/>
        <v>97.921099999999996</v>
      </c>
      <c r="R39" s="14" t="str">
        <f t="shared" si="6"/>
        <v>Feb</v>
      </c>
    </row>
    <row r="40" spans="1:18" x14ac:dyDescent="0.3">
      <c r="A40" t="s">
        <v>1649</v>
      </c>
      <c r="B40" s="1">
        <v>45378</v>
      </c>
      <c r="C40" t="s">
        <v>622</v>
      </c>
      <c r="D40" t="s">
        <v>1399</v>
      </c>
      <c r="E40" t="s">
        <v>1582</v>
      </c>
      <c r="F40">
        <v>4</v>
      </c>
      <c r="G40" s="14">
        <v>735.32</v>
      </c>
      <c r="H40" s="17">
        <v>0.06</v>
      </c>
      <c r="I40" t="s">
        <v>1614</v>
      </c>
      <c r="J40" s="14">
        <v>2764.8031999999998</v>
      </c>
      <c r="K40" s="14">
        <f t="shared" si="7"/>
        <v>669765.81003188435</v>
      </c>
      <c r="L40" s="14">
        <f t="shared" si="0"/>
        <v>652</v>
      </c>
      <c r="M40" s="14" t="str">
        <f t="shared" si="1"/>
        <v>27-03-2024</v>
      </c>
      <c r="N40" s="14">
        <f t="shared" si="2"/>
        <v>0.15285001812949076</v>
      </c>
      <c r="O40" s="20">
        <f t="shared" si="3"/>
        <v>2.4905178146148357</v>
      </c>
      <c r="P40" s="14">
        <f t="shared" si="4"/>
        <v>491.06704663310052</v>
      </c>
      <c r="Q40" s="14">
        <f t="shared" si="5"/>
        <v>876.04579999999999</v>
      </c>
      <c r="R40" s="14" t="str">
        <f t="shared" si="6"/>
        <v>Mar</v>
      </c>
    </row>
    <row r="41" spans="1:18" x14ac:dyDescent="0.3">
      <c r="A41" t="s">
        <v>1650</v>
      </c>
      <c r="B41" s="1">
        <v>45264</v>
      </c>
      <c r="C41" t="s">
        <v>1252</v>
      </c>
      <c r="D41" t="s">
        <v>1521</v>
      </c>
      <c r="E41" t="s">
        <v>1551</v>
      </c>
      <c r="F41">
        <v>2</v>
      </c>
      <c r="G41" s="14">
        <v>600.73</v>
      </c>
      <c r="H41" s="17">
        <v>0.08</v>
      </c>
      <c r="I41" t="s">
        <v>1609</v>
      </c>
      <c r="J41" s="14">
        <v>1105.3432</v>
      </c>
      <c r="K41" s="14">
        <f t="shared" si="7"/>
        <v>669765.81003188435</v>
      </c>
      <c r="L41" s="14">
        <f t="shared" si="0"/>
        <v>652</v>
      </c>
      <c r="M41" s="14" t="str">
        <f t="shared" si="1"/>
        <v>04-12-2023</v>
      </c>
      <c r="N41" s="14">
        <f t="shared" si="2"/>
        <v>0.15289743897633931</v>
      </c>
      <c r="O41" s="20">
        <f t="shared" si="3"/>
        <v>2.4897472775115252</v>
      </c>
      <c r="P41" s="14">
        <f t="shared" si="4"/>
        <v>490.94236416583823</v>
      </c>
      <c r="Q41" s="14">
        <f t="shared" si="5"/>
        <v>427.03830000000005</v>
      </c>
      <c r="R41" s="14" t="str">
        <f t="shared" si="6"/>
        <v>Dec</v>
      </c>
    </row>
    <row r="42" spans="1:18" x14ac:dyDescent="0.3">
      <c r="A42" t="s">
        <v>1651</v>
      </c>
      <c r="B42" s="1">
        <v>45486</v>
      </c>
      <c r="C42" t="s">
        <v>264</v>
      </c>
      <c r="D42" t="s">
        <v>1385</v>
      </c>
      <c r="E42" t="s">
        <v>1598</v>
      </c>
      <c r="F42">
        <v>2</v>
      </c>
      <c r="G42" s="14">
        <v>873.86</v>
      </c>
      <c r="H42" s="17">
        <v>7.0000000000000007E-2</v>
      </c>
      <c r="I42" t="s">
        <v>1614</v>
      </c>
      <c r="J42" s="14">
        <v>1625.3796</v>
      </c>
      <c r="K42" s="14">
        <f t="shared" si="7"/>
        <v>668660.46683188435</v>
      </c>
      <c r="L42" s="14">
        <f t="shared" si="0"/>
        <v>651</v>
      </c>
      <c r="M42" s="14" t="str">
        <f t="shared" si="1"/>
        <v>13-07-2024</v>
      </c>
      <c r="N42" s="14">
        <f t="shared" si="2"/>
        <v>0.15293468856191741</v>
      </c>
      <c r="O42" s="20">
        <f t="shared" si="3"/>
        <v>2.4899974038023891</v>
      </c>
      <c r="P42" s="14">
        <f t="shared" si="4"/>
        <v>490.88629285029475</v>
      </c>
      <c r="Q42" s="14">
        <f t="shared" si="5"/>
        <v>625.32740000000001</v>
      </c>
      <c r="R42" s="14" t="str">
        <f t="shared" si="6"/>
        <v>Jul</v>
      </c>
    </row>
    <row r="43" spans="1:18" x14ac:dyDescent="0.3">
      <c r="A43" t="s">
        <v>1652</v>
      </c>
      <c r="B43" s="1">
        <v>45241</v>
      </c>
      <c r="C43" t="s">
        <v>954</v>
      </c>
      <c r="D43" t="s">
        <v>1379</v>
      </c>
      <c r="E43" t="s">
        <v>1567</v>
      </c>
      <c r="F43">
        <v>3</v>
      </c>
      <c r="G43" s="14">
        <v>342.47</v>
      </c>
      <c r="H43" s="17">
        <v>0.08</v>
      </c>
      <c r="I43" t="s">
        <v>1611</v>
      </c>
      <c r="J43" s="14">
        <v>945.21720000000016</v>
      </c>
      <c r="K43" s="14">
        <f t="shared" si="7"/>
        <v>668660.46683188435</v>
      </c>
      <c r="L43" s="14">
        <f t="shared" si="0"/>
        <v>651</v>
      </c>
      <c r="M43" s="14" t="str">
        <f t="shared" si="1"/>
        <v>11-11-2023</v>
      </c>
      <c r="N43" s="14">
        <f t="shared" si="2"/>
        <v>0.15297708870944399</v>
      </c>
      <c r="O43" s="20">
        <f t="shared" si="3"/>
        <v>2.4902477857154204</v>
      </c>
      <c r="P43" s="14">
        <f t="shared" si="4"/>
        <v>490.69059856968681</v>
      </c>
      <c r="Q43" s="14">
        <f t="shared" si="5"/>
        <v>322.69180000000006</v>
      </c>
      <c r="R43" s="14" t="str">
        <f t="shared" si="6"/>
        <v>Nov</v>
      </c>
    </row>
    <row r="44" spans="1:18" x14ac:dyDescent="0.3">
      <c r="A44" t="s">
        <v>1653</v>
      </c>
      <c r="B44" s="1">
        <v>45649</v>
      </c>
      <c r="C44" t="s">
        <v>1053</v>
      </c>
      <c r="D44" t="s">
        <v>1391</v>
      </c>
      <c r="E44" t="s">
        <v>1571</v>
      </c>
      <c r="F44">
        <v>2</v>
      </c>
      <c r="G44" s="14">
        <v>915.15</v>
      </c>
      <c r="H44" s="17">
        <v>0.16</v>
      </c>
      <c r="I44" t="s">
        <v>1611</v>
      </c>
      <c r="J44" s="14">
        <v>1537.452</v>
      </c>
      <c r="K44" s="14">
        <f t="shared" si="7"/>
        <v>668660.46683188435</v>
      </c>
      <c r="L44" s="14">
        <f t="shared" si="0"/>
        <v>651</v>
      </c>
      <c r="M44" s="14" t="str">
        <f t="shared" si="1"/>
        <v>23-12-2024</v>
      </c>
      <c r="N44" s="14">
        <f t="shared" si="2"/>
        <v>0.15301441714356645</v>
      </c>
      <c r="O44" s="20">
        <f t="shared" si="3"/>
        <v>2.4899871761989152</v>
      </c>
      <c r="P44" s="14">
        <f t="shared" si="4"/>
        <v>490.76637597181855</v>
      </c>
      <c r="Q44" s="14">
        <f t="shared" si="5"/>
        <v>613.69049999999993</v>
      </c>
      <c r="R44" s="14" t="str">
        <f t="shared" si="6"/>
        <v>Dec</v>
      </c>
    </row>
    <row r="45" spans="1:18" x14ac:dyDescent="0.3">
      <c r="A45" t="s">
        <v>1654</v>
      </c>
      <c r="B45" s="1">
        <v>45677</v>
      </c>
      <c r="C45" t="s">
        <v>304</v>
      </c>
      <c r="D45" t="s">
        <v>1399</v>
      </c>
      <c r="E45" t="s">
        <v>1592</v>
      </c>
      <c r="F45">
        <v>2</v>
      </c>
      <c r="G45" s="14">
        <v>863.11</v>
      </c>
      <c r="H45" s="17">
        <v>0.28000000000000003</v>
      </c>
      <c r="I45" t="s">
        <v>1611</v>
      </c>
      <c r="J45" s="14">
        <v>1864.3176000000001</v>
      </c>
      <c r="K45" s="14">
        <f t="shared" si="7"/>
        <v>668660.46683188435</v>
      </c>
      <c r="L45" s="14">
        <f t="shared" si="0"/>
        <v>651</v>
      </c>
      <c r="M45" s="14" t="str">
        <f t="shared" si="1"/>
        <v>20-01-2025</v>
      </c>
      <c r="N45" s="14">
        <f t="shared" si="2"/>
        <v>0.15301084212675151</v>
      </c>
      <c r="O45" s="20">
        <f t="shared" si="3"/>
        <v>2.4902378090256154</v>
      </c>
      <c r="P45" s="14">
        <f t="shared" si="4"/>
        <v>490.54929994929773</v>
      </c>
      <c r="Q45" s="14">
        <f t="shared" si="5"/>
        <v>682.42690000000005</v>
      </c>
      <c r="R45" s="14" t="str">
        <f t="shared" si="6"/>
        <v>Jan</v>
      </c>
    </row>
    <row r="46" spans="1:18" x14ac:dyDescent="0.3">
      <c r="A46" t="s">
        <v>1655</v>
      </c>
      <c r="B46" s="1">
        <v>45538</v>
      </c>
      <c r="C46" t="s">
        <v>663</v>
      </c>
      <c r="D46" t="s">
        <v>1419</v>
      </c>
      <c r="E46" t="s">
        <v>1579</v>
      </c>
      <c r="F46">
        <v>2</v>
      </c>
      <c r="G46" s="14">
        <v>209.32</v>
      </c>
      <c r="H46" s="17">
        <v>0.23</v>
      </c>
      <c r="I46" t="s">
        <v>1614</v>
      </c>
      <c r="J46" s="14">
        <v>322.3528</v>
      </c>
      <c r="K46" s="14">
        <f t="shared" si="7"/>
        <v>668660.46683188435</v>
      </c>
      <c r="L46" s="14">
        <f t="shared" si="0"/>
        <v>651</v>
      </c>
      <c r="M46" s="14" t="str">
        <f t="shared" si="1"/>
        <v>03-09-2024</v>
      </c>
      <c r="N46" s="14">
        <f t="shared" si="2"/>
        <v>0.15294581951647335</v>
      </c>
      <c r="O46" s="20">
        <f t="shared" si="3"/>
        <v>2.4904886983854033</v>
      </c>
      <c r="P46" s="14">
        <f t="shared" si="4"/>
        <v>490.35863428908755</v>
      </c>
      <c r="Q46" s="14">
        <f t="shared" si="5"/>
        <v>133.47569999999999</v>
      </c>
      <c r="R46" s="14" t="str">
        <f t="shared" si="6"/>
        <v>Sep</v>
      </c>
    </row>
    <row r="47" spans="1:18" x14ac:dyDescent="0.3">
      <c r="A47" t="s">
        <v>1656</v>
      </c>
      <c r="B47" s="1">
        <v>45606</v>
      </c>
      <c r="C47" t="s">
        <v>1291</v>
      </c>
      <c r="D47" t="s">
        <v>1451</v>
      </c>
      <c r="E47" t="s">
        <v>1567</v>
      </c>
      <c r="F47">
        <v>4</v>
      </c>
      <c r="G47" s="14">
        <v>288.60000000000002</v>
      </c>
      <c r="H47" s="17">
        <v>0.09</v>
      </c>
      <c r="I47" t="s">
        <v>1611</v>
      </c>
      <c r="J47" s="14">
        <v>1050.5039999999999</v>
      </c>
      <c r="K47" s="14">
        <f t="shared" si="7"/>
        <v>668660.46683188435</v>
      </c>
      <c r="L47" s="14">
        <f t="shared" si="0"/>
        <v>651</v>
      </c>
      <c r="M47" s="14" t="str">
        <f t="shared" si="1"/>
        <v>10-11-2024</v>
      </c>
      <c r="N47" s="14">
        <f t="shared" si="2"/>
        <v>0.1529063450387666</v>
      </c>
      <c r="O47" s="20">
        <f t="shared" si="3"/>
        <v>2.4907398446723388</v>
      </c>
      <c r="P47" s="14">
        <f t="shared" si="4"/>
        <v>490.5025352795069</v>
      </c>
      <c r="Q47" s="14">
        <f t="shared" si="5"/>
        <v>335.79849999999999</v>
      </c>
      <c r="R47" s="14" t="str">
        <f t="shared" si="6"/>
        <v>Nov</v>
      </c>
    </row>
    <row r="48" spans="1:18" x14ac:dyDescent="0.3">
      <c r="A48" t="s">
        <v>1657</v>
      </c>
      <c r="B48" s="1">
        <v>45570</v>
      </c>
      <c r="C48" t="s">
        <v>258</v>
      </c>
      <c r="D48" t="s">
        <v>1489</v>
      </c>
      <c r="E48" t="s">
        <v>1589</v>
      </c>
      <c r="F48">
        <v>1</v>
      </c>
      <c r="G48" s="14">
        <v>418.69</v>
      </c>
      <c r="H48" s="17">
        <v>0.06</v>
      </c>
      <c r="I48" t="s">
        <v>1611</v>
      </c>
      <c r="J48" s="14">
        <v>393.5686</v>
      </c>
      <c r="K48" s="14">
        <f t="shared" si="7"/>
        <v>668660.46683188435</v>
      </c>
      <c r="L48" s="14">
        <f t="shared" si="0"/>
        <v>651</v>
      </c>
      <c r="M48" s="14" t="str">
        <f t="shared" si="1"/>
        <v>05-10-2024</v>
      </c>
      <c r="N48" s="14">
        <f t="shared" si="2"/>
        <v>0.152938588167951</v>
      </c>
      <c r="O48" s="20">
        <f t="shared" si="3"/>
        <v>2.4899666581173556</v>
      </c>
      <c r="P48" s="14">
        <f t="shared" si="4"/>
        <v>490.6059689553673</v>
      </c>
      <c r="Q48" s="14">
        <f t="shared" si="5"/>
        <v>203.32965000000002</v>
      </c>
      <c r="R48" s="14" t="str">
        <f t="shared" si="6"/>
        <v>Oct</v>
      </c>
    </row>
    <row r="49" spans="1:18" x14ac:dyDescent="0.3">
      <c r="A49" t="s">
        <v>1658</v>
      </c>
      <c r="B49" s="1">
        <v>45466</v>
      </c>
      <c r="C49" t="s">
        <v>44</v>
      </c>
      <c r="D49" t="s">
        <v>1393</v>
      </c>
      <c r="E49" t="s">
        <v>1577</v>
      </c>
      <c r="F49">
        <v>1</v>
      </c>
      <c r="G49" s="14">
        <v>135.78</v>
      </c>
      <c r="H49" s="17">
        <v>0.14000000000000001</v>
      </c>
      <c r="I49" t="s">
        <v>1611</v>
      </c>
      <c r="J49" s="14">
        <v>116.77079999999999</v>
      </c>
      <c r="K49" s="14">
        <f t="shared" si="7"/>
        <v>668660.46683188435</v>
      </c>
      <c r="L49" s="14">
        <f t="shared" si="0"/>
        <v>651</v>
      </c>
      <c r="M49" s="14" t="str">
        <f t="shared" si="1"/>
        <v>23-06-2024</v>
      </c>
      <c r="N49" s="14">
        <f t="shared" si="2"/>
        <v>0.1529862489823961</v>
      </c>
      <c r="O49" s="20">
        <f t="shared" si="3"/>
        <v>2.4907303519451962</v>
      </c>
      <c r="P49" s="14">
        <f t="shared" si="4"/>
        <v>490.64283003632852</v>
      </c>
      <c r="Q49" s="14">
        <f t="shared" si="5"/>
        <v>63.422699999999992</v>
      </c>
      <c r="R49" s="14" t="str">
        <f t="shared" si="6"/>
        <v>Jun</v>
      </c>
    </row>
    <row r="50" spans="1:18" x14ac:dyDescent="0.3">
      <c r="A50" t="s">
        <v>1659</v>
      </c>
      <c r="B50" s="1">
        <v>45218</v>
      </c>
      <c r="C50" t="s">
        <v>663</v>
      </c>
      <c r="D50" t="s">
        <v>1421</v>
      </c>
      <c r="E50" t="s">
        <v>1592</v>
      </c>
      <c r="F50">
        <v>1</v>
      </c>
      <c r="G50" s="14">
        <v>517.13</v>
      </c>
      <c r="H50" s="17">
        <v>0.28000000000000003</v>
      </c>
      <c r="I50" t="s">
        <v>1609</v>
      </c>
      <c r="J50" s="14">
        <v>372.33359999999999</v>
      </c>
      <c r="K50" s="14">
        <f t="shared" si="7"/>
        <v>668660.46683188435</v>
      </c>
      <c r="L50" s="14">
        <f t="shared" si="0"/>
        <v>651</v>
      </c>
      <c r="M50" s="14" t="str">
        <f t="shared" si="1"/>
        <v>19-10-2023</v>
      </c>
      <c r="N50" s="14">
        <f t="shared" si="2"/>
        <v>0.15299291201419826</v>
      </c>
      <c r="O50" s="20">
        <f t="shared" si="3"/>
        <v>2.491494829048758</v>
      </c>
      <c r="P50" s="14">
        <f t="shared" si="4"/>
        <v>490.82481097480866</v>
      </c>
      <c r="Q50" s="14">
        <f t="shared" si="5"/>
        <v>222.6859</v>
      </c>
      <c r="R50" s="14" t="str">
        <f t="shared" si="6"/>
        <v>Oct</v>
      </c>
    </row>
    <row r="51" spans="1:18" x14ac:dyDescent="0.3">
      <c r="A51" t="s">
        <v>1660</v>
      </c>
      <c r="B51" s="1">
        <v>45607</v>
      </c>
      <c r="C51" t="s">
        <v>1241</v>
      </c>
      <c r="D51" t="s">
        <v>1375</v>
      </c>
      <c r="E51" t="s">
        <v>1589</v>
      </c>
      <c r="F51">
        <v>2</v>
      </c>
      <c r="G51" s="14">
        <v>384.66</v>
      </c>
      <c r="H51" s="17">
        <v>0.08</v>
      </c>
      <c r="I51" t="s">
        <v>1614</v>
      </c>
      <c r="J51" s="14">
        <v>707.77440000000013</v>
      </c>
      <c r="K51" s="14">
        <f t="shared" si="7"/>
        <v>668288.13323188422</v>
      </c>
      <c r="L51" s="14">
        <f t="shared" si="0"/>
        <v>650</v>
      </c>
      <c r="M51" s="14" t="str">
        <f t="shared" si="1"/>
        <v>11-11-2024</v>
      </c>
      <c r="N51" s="14">
        <f t="shared" si="2"/>
        <v>0.15292771330373328</v>
      </c>
      <c r="O51" s="20">
        <f t="shared" si="3"/>
        <v>2.4922600906336982</v>
      </c>
      <c r="P51" s="14">
        <f t="shared" si="4"/>
        <v>490.81131421286659</v>
      </c>
      <c r="Q51" s="14">
        <f t="shared" si="5"/>
        <v>273.62860000000001</v>
      </c>
      <c r="R51" s="14" t="str">
        <f t="shared" si="6"/>
        <v>Nov</v>
      </c>
    </row>
    <row r="52" spans="1:18" x14ac:dyDescent="0.3">
      <c r="A52" t="s">
        <v>1661</v>
      </c>
      <c r="B52" s="1">
        <v>45291</v>
      </c>
      <c r="C52" t="s">
        <v>258</v>
      </c>
      <c r="D52" t="s">
        <v>1437</v>
      </c>
      <c r="E52" t="s">
        <v>1571</v>
      </c>
      <c r="F52">
        <v>3</v>
      </c>
      <c r="G52" s="14">
        <v>83.7</v>
      </c>
      <c r="H52" s="17">
        <v>0.24</v>
      </c>
      <c r="I52" t="s">
        <v>1611</v>
      </c>
      <c r="J52" s="14">
        <v>190.83600000000001</v>
      </c>
      <c r="K52" s="14">
        <f t="shared" si="7"/>
        <v>668288.13323188422</v>
      </c>
      <c r="L52" s="14">
        <f t="shared" si="0"/>
        <v>650</v>
      </c>
      <c r="M52" s="14" t="str">
        <f t="shared" si="1"/>
        <v>31-12-2023</v>
      </c>
      <c r="N52" s="14">
        <f t="shared" si="2"/>
        <v>0.1529651697563803</v>
      </c>
      <c r="O52" s="20">
        <f t="shared" si="3"/>
        <v>2.4925127908855638</v>
      </c>
      <c r="P52" s="14">
        <f t="shared" si="4"/>
        <v>490.86580667396152</v>
      </c>
      <c r="Q52" s="14">
        <f t="shared" si="5"/>
        <v>69.444000000000003</v>
      </c>
      <c r="R52" s="14" t="str">
        <f t="shared" si="6"/>
        <v>Dec</v>
      </c>
    </row>
    <row r="53" spans="1:18" x14ac:dyDescent="0.3">
      <c r="A53" t="s">
        <v>1662</v>
      </c>
      <c r="B53" s="1">
        <v>45689</v>
      </c>
      <c r="C53" t="s">
        <v>481</v>
      </c>
      <c r="D53" t="s">
        <v>1471</v>
      </c>
      <c r="E53" t="s">
        <v>1564</v>
      </c>
      <c r="F53">
        <v>3</v>
      </c>
      <c r="G53" s="14">
        <v>76.569999999999993</v>
      </c>
      <c r="H53" s="17">
        <v>0.26</v>
      </c>
      <c r="I53" t="s">
        <v>1609</v>
      </c>
      <c r="J53" s="14">
        <v>169.9854</v>
      </c>
      <c r="K53" s="14">
        <f t="shared" si="7"/>
        <v>668288.13323188422</v>
      </c>
      <c r="L53" s="14">
        <f t="shared" si="0"/>
        <v>650</v>
      </c>
      <c r="M53" s="14" t="str">
        <f t="shared" si="1"/>
        <v>01-02-2025</v>
      </c>
      <c r="N53" s="14">
        <f t="shared" si="2"/>
        <v>0.15292044476653258</v>
      </c>
      <c r="O53" s="20">
        <f t="shared" si="3"/>
        <v>2.4922521400334245</v>
      </c>
      <c r="P53" s="14">
        <f t="shared" si="4"/>
        <v>491.0749313820632</v>
      </c>
      <c r="Q53" s="14">
        <f t="shared" si="5"/>
        <v>62.453850000000003</v>
      </c>
      <c r="R53" s="14" t="str">
        <f t="shared" si="6"/>
        <v>Feb</v>
      </c>
    </row>
    <row r="54" spans="1:18" x14ac:dyDescent="0.3">
      <c r="A54" t="s">
        <v>1663</v>
      </c>
      <c r="B54" s="1">
        <v>45894</v>
      </c>
      <c r="C54" t="s">
        <v>499</v>
      </c>
      <c r="D54" t="s">
        <v>1511</v>
      </c>
      <c r="E54" t="s">
        <v>1561</v>
      </c>
      <c r="F54">
        <v>3</v>
      </c>
      <c r="G54" s="14">
        <v>514.49</v>
      </c>
      <c r="H54" s="17">
        <v>0.15</v>
      </c>
      <c r="I54" t="s">
        <v>1609</v>
      </c>
      <c r="J54" s="14">
        <v>486.06330000000003</v>
      </c>
      <c r="K54" s="14">
        <f t="shared" si="7"/>
        <v>668118.14783188421</v>
      </c>
      <c r="L54" s="14">
        <f t="shared" si="0"/>
        <v>649</v>
      </c>
      <c r="M54" s="14" t="str">
        <f t="shared" si="1"/>
        <v>25-08-2025</v>
      </c>
      <c r="N54" s="14">
        <f t="shared" si="2"/>
        <v>0.15286539101062846</v>
      </c>
      <c r="O54" s="20">
        <f t="shared" si="3"/>
        <v>2.4919912212975737</v>
      </c>
      <c r="P54" s="14">
        <f t="shared" si="4"/>
        <v>491.28793494392448</v>
      </c>
      <c r="Q54" s="14">
        <f t="shared" si="5"/>
        <v>250.925825</v>
      </c>
      <c r="R54" s="14" t="str">
        <f t="shared" si="6"/>
        <v>Aug</v>
      </c>
    </row>
    <row r="55" spans="1:18" x14ac:dyDescent="0.3">
      <c r="A55" t="s">
        <v>1664</v>
      </c>
      <c r="B55" s="1">
        <v>45677</v>
      </c>
      <c r="C55" t="s">
        <v>1020</v>
      </c>
      <c r="D55" t="s">
        <v>1373</v>
      </c>
      <c r="E55" t="s">
        <v>1567</v>
      </c>
      <c r="F55">
        <v>1</v>
      </c>
      <c r="G55" s="14">
        <v>900.35</v>
      </c>
      <c r="H55" s="17">
        <v>0.13</v>
      </c>
      <c r="I55" t="s">
        <v>1614</v>
      </c>
      <c r="J55" s="14">
        <v>783.30449999999996</v>
      </c>
      <c r="K55" s="14">
        <f t="shared" si="7"/>
        <v>667632.08453188429</v>
      </c>
      <c r="L55" s="14">
        <f t="shared" si="0"/>
        <v>648</v>
      </c>
      <c r="M55" s="14" t="str">
        <f t="shared" si="1"/>
        <v>20-01-2025</v>
      </c>
      <c r="N55" s="14">
        <f t="shared" si="2"/>
        <v>0.15286686497719773</v>
      </c>
      <c r="O55" s="20">
        <f t="shared" si="3"/>
        <v>2.4917300342648216</v>
      </c>
      <c r="P55" s="14">
        <f t="shared" si="4"/>
        <v>491.27600586163339</v>
      </c>
      <c r="Q55" s="14">
        <f t="shared" si="5"/>
        <v>421.19612499999999</v>
      </c>
      <c r="R55" s="14" t="str">
        <f t="shared" si="6"/>
        <v>Jan</v>
      </c>
    </row>
    <row r="56" spans="1:18" x14ac:dyDescent="0.3">
      <c r="A56" t="s">
        <v>1665</v>
      </c>
      <c r="B56" s="1">
        <v>45706</v>
      </c>
      <c r="C56" t="s">
        <v>341</v>
      </c>
      <c r="D56" t="s">
        <v>1413</v>
      </c>
      <c r="E56" t="s">
        <v>1574</v>
      </c>
      <c r="F56">
        <v>4</v>
      </c>
      <c r="G56" s="14">
        <v>428.09</v>
      </c>
      <c r="H56" s="17">
        <v>7.0000000000000007E-2</v>
      </c>
      <c r="I56" t="s">
        <v>1609</v>
      </c>
      <c r="J56" s="14">
        <v>1592.4947999999999</v>
      </c>
      <c r="K56" s="14">
        <f t="shared" si="7"/>
        <v>667632.08453188429</v>
      </c>
      <c r="L56" s="14">
        <f t="shared" si="0"/>
        <v>648</v>
      </c>
      <c r="M56" s="14" t="str">
        <f t="shared" si="1"/>
        <v>18-02-2025</v>
      </c>
      <c r="N56" s="14">
        <f t="shared" si="2"/>
        <v>0.15287863382175626</v>
      </c>
      <c r="O56" s="20">
        <f t="shared" si="3"/>
        <v>2.4924973851054926</v>
      </c>
      <c r="P56" s="14">
        <f t="shared" si="4"/>
        <v>491.06557685230291</v>
      </c>
      <c r="Q56" s="14">
        <f t="shared" si="5"/>
        <v>506.16369999999995</v>
      </c>
      <c r="R56" s="14" t="str">
        <f t="shared" si="6"/>
        <v>Feb</v>
      </c>
    </row>
    <row r="57" spans="1:18" x14ac:dyDescent="0.3">
      <c r="A57" t="s">
        <v>1666</v>
      </c>
      <c r="B57" s="1">
        <v>45589</v>
      </c>
      <c r="C57" t="s">
        <v>1237</v>
      </c>
      <c r="D57" t="s">
        <v>1431</v>
      </c>
      <c r="E57" t="s">
        <v>1577</v>
      </c>
      <c r="F57">
        <v>2</v>
      </c>
      <c r="G57" s="14">
        <v>559.71</v>
      </c>
      <c r="H57" s="17">
        <v>0.3</v>
      </c>
      <c r="I57" t="s">
        <v>1614</v>
      </c>
      <c r="J57" s="14">
        <v>783.59400000000005</v>
      </c>
      <c r="K57" s="14">
        <f t="shared" si="7"/>
        <v>666039.58973188431</v>
      </c>
      <c r="L57" s="14">
        <f t="shared" si="0"/>
        <v>647</v>
      </c>
      <c r="M57" s="14" t="str">
        <f t="shared" si="1"/>
        <v>24-10-2024</v>
      </c>
      <c r="N57" s="14">
        <f t="shared" si="2"/>
        <v>0.15292131077017121</v>
      </c>
      <c r="O57" s="20">
        <f t="shared" si="3"/>
        <v>2.4917215216907245</v>
      </c>
      <c r="P57" s="14">
        <f t="shared" si="4"/>
        <v>491.09798836895362</v>
      </c>
      <c r="Q57" s="14">
        <f t="shared" si="5"/>
        <v>336.40100000000001</v>
      </c>
      <c r="R57" s="14" t="str">
        <f t="shared" si="6"/>
        <v>Oct</v>
      </c>
    </row>
    <row r="58" spans="1:18" x14ac:dyDescent="0.3">
      <c r="A58" t="s">
        <v>1667</v>
      </c>
      <c r="B58" s="1">
        <v>45282</v>
      </c>
      <c r="C58" t="s">
        <v>292</v>
      </c>
      <c r="D58" t="s">
        <v>1401</v>
      </c>
      <c r="E58" t="s">
        <v>1561</v>
      </c>
      <c r="F58">
        <v>2</v>
      </c>
      <c r="G58" s="14">
        <v>833.7</v>
      </c>
      <c r="H58" s="17">
        <v>0.06</v>
      </c>
      <c r="I58" t="s">
        <v>1611</v>
      </c>
      <c r="J58" s="14">
        <v>1567.356</v>
      </c>
      <c r="K58" s="14">
        <f t="shared" si="7"/>
        <v>666039.58973188431</v>
      </c>
      <c r="L58" s="14">
        <f t="shared" si="0"/>
        <v>647</v>
      </c>
      <c r="M58" s="14" t="str">
        <f t="shared" si="1"/>
        <v>22-12-2023</v>
      </c>
      <c r="N58" s="14">
        <f t="shared" si="2"/>
        <v>0.15284553607195903</v>
      </c>
      <c r="O58" s="20">
        <f t="shared" si="3"/>
        <v>2.4919747253579185</v>
      </c>
      <c r="P58" s="14">
        <f t="shared" si="4"/>
        <v>491.06265777594075</v>
      </c>
      <c r="Q58" s="14">
        <f t="shared" si="5"/>
        <v>600.779</v>
      </c>
      <c r="R58" s="14" t="str">
        <f t="shared" si="6"/>
        <v>Dec</v>
      </c>
    </row>
    <row r="59" spans="1:18" x14ac:dyDescent="0.3">
      <c r="A59" t="s">
        <v>1668</v>
      </c>
      <c r="B59" s="1">
        <v>45462</v>
      </c>
      <c r="C59" t="s">
        <v>1288</v>
      </c>
      <c r="D59" t="s">
        <v>1427</v>
      </c>
      <c r="E59" t="s">
        <v>1584</v>
      </c>
      <c r="F59">
        <v>2</v>
      </c>
      <c r="G59" s="14">
        <v>680.16</v>
      </c>
      <c r="H59" s="17">
        <v>0.28000000000000003</v>
      </c>
      <c r="I59" t="s">
        <v>1609</v>
      </c>
      <c r="J59" s="14">
        <v>979.43039999999996</v>
      </c>
      <c r="K59" s="14">
        <f t="shared" si="7"/>
        <v>666039.58973188431</v>
      </c>
      <c r="L59" s="14">
        <f t="shared" si="0"/>
        <v>647</v>
      </c>
      <c r="M59" s="14" t="str">
        <f t="shared" si="1"/>
        <v>19-06-2024</v>
      </c>
      <c r="N59" s="14">
        <f t="shared" si="2"/>
        <v>0.15289339459570742</v>
      </c>
      <c r="O59" s="20">
        <f t="shared" si="3"/>
        <v>2.4922281899253362</v>
      </c>
      <c r="P59" s="14">
        <f t="shared" si="4"/>
        <v>490.88613158211069</v>
      </c>
      <c r="Q59" s="14">
        <f t="shared" si="5"/>
        <v>415.46759999999995</v>
      </c>
      <c r="R59" s="14" t="str">
        <f t="shared" si="6"/>
        <v>Jun</v>
      </c>
    </row>
    <row r="60" spans="1:18" x14ac:dyDescent="0.3">
      <c r="A60" t="s">
        <v>1669</v>
      </c>
      <c r="B60" s="1">
        <v>45633</v>
      </c>
      <c r="C60" t="s">
        <v>1225</v>
      </c>
      <c r="D60" t="s">
        <v>1363</v>
      </c>
      <c r="E60" t="s">
        <v>1564</v>
      </c>
      <c r="F60">
        <v>4</v>
      </c>
      <c r="G60" s="14">
        <v>733.42</v>
      </c>
      <c r="H60" s="17">
        <v>0.15</v>
      </c>
      <c r="I60" t="s">
        <v>1611</v>
      </c>
      <c r="J60" s="14">
        <v>2552.3015999999998</v>
      </c>
      <c r="K60" s="14">
        <f t="shared" si="7"/>
        <v>665060.15933188424</v>
      </c>
      <c r="L60" s="14">
        <f t="shared" si="0"/>
        <v>646</v>
      </c>
      <c r="M60" s="14" t="str">
        <f t="shared" si="1"/>
        <v>07-12-2024</v>
      </c>
      <c r="N60" s="14">
        <f t="shared" si="2"/>
        <v>0.15282784193691204</v>
      </c>
      <c r="O60" s="20">
        <f t="shared" si="3"/>
        <v>2.4924819157964317</v>
      </c>
      <c r="P60" s="14">
        <f t="shared" si="4"/>
        <v>490.7885677324108</v>
      </c>
      <c r="Q60" s="14">
        <f t="shared" si="5"/>
        <v>822.46789999999987</v>
      </c>
      <c r="R60" s="14" t="str">
        <f t="shared" si="6"/>
        <v>Dec</v>
      </c>
    </row>
    <row r="61" spans="1:18" x14ac:dyDescent="0.3">
      <c r="A61" t="s">
        <v>1670</v>
      </c>
      <c r="B61" s="1">
        <v>45257</v>
      </c>
      <c r="C61" t="s">
        <v>1148</v>
      </c>
      <c r="D61" t="s">
        <v>1511</v>
      </c>
      <c r="E61" t="s">
        <v>1577</v>
      </c>
      <c r="F61">
        <v>1</v>
      </c>
      <c r="G61" s="14">
        <v>996.33</v>
      </c>
      <c r="H61" s="17">
        <v>0.23</v>
      </c>
      <c r="I61" t="s">
        <v>1611</v>
      </c>
      <c r="J61" s="14">
        <v>767.17410000000007</v>
      </c>
      <c r="K61" s="14">
        <f t="shared" si="7"/>
        <v>665060.15933188424</v>
      </c>
      <c r="L61" s="14">
        <f t="shared" si="0"/>
        <v>646</v>
      </c>
      <c r="M61" s="14" t="str">
        <f t="shared" si="1"/>
        <v>27-11-2023</v>
      </c>
      <c r="N61" s="14">
        <f t="shared" si="2"/>
        <v>0.15282930109167822</v>
      </c>
      <c r="O61" s="20">
        <f t="shared" si="3"/>
        <v>2.4917044438602778</v>
      </c>
      <c r="P61" s="14">
        <f t="shared" si="4"/>
        <v>490.66343548265957</v>
      </c>
      <c r="Q61" s="14">
        <f t="shared" si="5"/>
        <v>441.18352500000003</v>
      </c>
      <c r="R61" s="14" t="str">
        <f t="shared" si="6"/>
        <v>Nov</v>
      </c>
    </row>
    <row r="62" spans="1:18" x14ac:dyDescent="0.3">
      <c r="A62" t="s">
        <v>1671</v>
      </c>
      <c r="B62" s="1">
        <v>45854</v>
      </c>
      <c r="C62" t="s">
        <v>1229</v>
      </c>
      <c r="D62" t="s">
        <v>1395</v>
      </c>
      <c r="E62" t="s">
        <v>1574</v>
      </c>
      <c r="F62">
        <v>1</v>
      </c>
      <c r="G62" s="14">
        <v>198.83</v>
      </c>
      <c r="H62" s="17">
        <v>0.09</v>
      </c>
      <c r="I62" t="s">
        <v>1614</v>
      </c>
      <c r="J62" s="14">
        <v>180.93530000000001</v>
      </c>
      <c r="K62" s="14">
        <f t="shared" si="7"/>
        <v>665060.15933188424</v>
      </c>
      <c r="L62" s="14">
        <f t="shared" si="0"/>
        <v>646</v>
      </c>
      <c r="M62" s="14" t="str">
        <f t="shared" si="1"/>
        <v>16-07-2025</v>
      </c>
      <c r="N62" s="14">
        <f t="shared" si="2"/>
        <v>0.15278946077215924</v>
      </c>
      <c r="O62" s="20">
        <f t="shared" si="3"/>
        <v>2.4924741571956033</v>
      </c>
      <c r="P62" s="14">
        <f t="shared" si="4"/>
        <v>490.40251362274347</v>
      </c>
      <c r="Q62" s="14">
        <f t="shared" si="5"/>
        <v>95.213825000000014</v>
      </c>
      <c r="R62" s="14" t="str">
        <f t="shared" si="6"/>
        <v>Jul</v>
      </c>
    </row>
    <row r="63" spans="1:18" x14ac:dyDescent="0.3">
      <c r="A63" t="s">
        <v>1672</v>
      </c>
      <c r="B63" s="1">
        <v>45716</v>
      </c>
      <c r="C63" t="s">
        <v>767</v>
      </c>
      <c r="D63" t="s">
        <v>1371</v>
      </c>
      <c r="E63" t="s">
        <v>1564</v>
      </c>
      <c r="F63">
        <v>1</v>
      </c>
      <c r="G63" s="14">
        <v>374.92</v>
      </c>
      <c r="H63" s="17">
        <v>0.18</v>
      </c>
      <c r="I63" t="s">
        <v>1611</v>
      </c>
      <c r="J63" s="14">
        <v>307.43439999999998</v>
      </c>
      <c r="K63" s="14">
        <f t="shared" si="7"/>
        <v>665060.15933188424</v>
      </c>
      <c r="L63" s="14">
        <f t="shared" si="0"/>
        <v>646</v>
      </c>
      <c r="M63" s="14" t="str">
        <f t="shared" si="1"/>
        <v>28-02-2025</v>
      </c>
      <c r="N63" s="14">
        <f t="shared" si="2"/>
        <v>0.15282189334487215</v>
      </c>
      <c r="O63" s="20">
        <f t="shared" si="3"/>
        <v>2.4932446652788225</v>
      </c>
      <c r="P63" s="14">
        <f t="shared" si="4"/>
        <v>490.55304150793847</v>
      </c>
      <c r="Q63" s="14">
        <f t="shared" si="5"/>
        <v>170.8836</v>
      </c>
      <c r="R63" s="14" t="str">
        <f t="shared" si="6"/>
        <v>Feb</v>
      </c>
    </row>
    <row r="64" spans="1:18" x14ac:dyDescent="0.3">
      <c r="A64" t="s">
        <v>1673</v>
      </c>
      <c r="B64" s="1">
        <v>45515</v>
      </c>
      <c r="C64" t="s">
        <v>1285</v>
      </c>
      <c r="D64" t="s">
        <v>1519</v>
      </c>
      <c r="E64" t="s">
        <v>1589</v>
      </c>
      <c r="F64">
        <v>1</v>
      </c>
      <c r="G64" s="14">
        <v>468.94</v>
      </c>
      <c r="H64" s="17">
        <v>0.12</v>
      </c>
      <c r="I64" t="s">
        <v>1609</v>
      </c>
      <c r="J64" s="14">
        <v>412.66719999999998</v>
      </c>
      <c r="K64" s="14">
        <f t="shared" si="7"/>
        <v>665060.15933188424</v>
      </c>
      <c r="L64" s="14">
        <f t="shared" si="0"/>
        <v>646</v>
      </c>
      <c r="M64" s="14" t="str">
        <f t="shared" si="1"/>
        <v>11-08-2024</v>
      </c>
      <c r="N64" s="14">
        <f t="shared" si="2"/>
        <v>0.15280784781171702</v>
      </c>
      <c r="O64" s="20">
        <f t="shared" si="3"/>
        <v>2.4940159693414663</v>
      </c>
      <c r="P64" s="14">
        <f t="shared" si="4"/>
        <v>490.61276931863466</v>
      </c>
      <c r="Q64" s="14">
        <f t="shared" si="5"/>
        <v>220.68180000000001</v>
      </c>
      <c r="R64" s="14" t="str">
        <f t="shared" si="6"/>
        <v>Aug</v>
      </c>
    </row>
    <row r="65" spans="1:18" x14ac:dyDescent="0.3">
      <c r="A65" t="s">
        <v>1674</v>
      </c>
      <c r="B65" s="1">
        <v>45927</v>
      </c>
      <c r="C65" t="s">
        <v>435</v>
      </c>
      <c r="D65" t="s">
        <v>1511</v>
      </c>
      <c r="E65" t="s">
        <v>1579</v>
      </c>
      <c r="F65">
        <v>2</v>
      </c>
      <c r="G65" s="14">
        <v>121.37</v>
      </c>
      <c r="H65" s="17">
        <v>0.05</v>
      </c>
      <c r="I65" t="s">
        <v>1609</v>
      </c>
      <c r="J65" s="14">
        <v>230.60300000000001</v>
      </c>
      <c r="K65" s="14">
        <f t="shared" si="7"/>
        <v>664647.49213188421</v>
      </c>
      <c r="L65" s="14">
        <f t="shared" si="0"/>
        <v>645</v>
      </c>
      <c r="M65" s="14" t="str">
        <f t="shared" si="1"/>
        <v>27-09-2025</v>
      </c>
      <c r="N65" s="14">
        <f t="shared" si="2"/>
        <v>0.15282481153861036</v>
      </c>
      <c r="O65" s="20">
        <f t="shared" si="3"/>
        <v>2.4947880706176115</v>
      </c>
      <c r="P65" s="14">
        <f t="shared" si="4"/>
        <v>490.62396971621541</v>
      </c>
      <c r="Q65" s="14">
        <f t="shared" si="5"/>
        <v>88.505750000000006</v>
      </c>
      <c r="R65" s="14" t="str">
        <f t="shared" si="6"/>
        <v>Sep</v>
      </c>
    </row>
    <row r="66" spans="1:18" x14ac:dyDescent="0.3">
      <c r="A66" t="s">
        <v>1675</v>
      </c>
      <c r="B66" s="1">
        <v>45914</v>
      </c>
      <c r="C66" t="s">
        <v>815</v>
      </c>
      <c r="D66" t="s">
        <v>1439</v>
      </c>
      <c r="E66" t="s">
        <v>1574</v>
      </c>
      <c r="F66">
        <v>3</v>
      </c>
      <c r="G66" s="14">
        <v>480.06</v>
      </c>
      <c r="H66" s="17">
        <v>0.01</v>
      </c>
      <c r="I66" t="s">
        <v>1609</v>
      </c>
      <c r="K66" s="14">
        <f t="shared" ref="K66:K129" si="8">SUMIF(I66:I2065,"Credit Card",J66:J2065)</f>
        <v>664416.88913188421</v>
      </c>
      <c r="L66" s="14">
        <f t="shared" ref="L66:L129" si="9">COUNTIF(I66:I2065,"Credit Card")</f>
        <v>644</v>
      </c>
      <c r="M66" s="14" t="str">
        <f t="shared" ref="M66:M129" si="10">TEXT(B66:B2065,"dd-mm-yyyy")</f>
        <v>14-09-2025</v>
      </c>
      <c r="N66" s="14">
        <f t="shared" ref="N66:N129" si="11">AVERAGE(H66:H2065)</f>
        <v>0.15287800595740941</v>
      </c>
      <c r="O66" s="20">
        <f t="shared" ref="O66:O129" si="12">AVERAGE(F66:F2065)</f>
        <v>2.4950439072621915</v>
      </c>
      <c r="P66" s="14">
        <f t="shared" ref="P66:P129" si="13">AVERAGE(G66:G2065)</f>
        <v>490.81489731172536</v>
      </c>
      <c r="Q66" s="14">
        <f t="shared" ref="Q66:Q129" si="14">AVERAGE(F66,G66,H66,J66)</f>
        <v>161.02333333333334</v>
      </c>
      <c r="R66" s="14" t="str">
        <f t="shared" ref="R66:R129" si="15">TEXT(M66,"mmm")</f>
        <v>Sep</v>
      </c>
    </row>
    <row r="67" spans="1:18" x14ac:dyDescent="0.3">
      <c r="A67" t="s">
        <v>1676</v>
      </c>
      <c r="B67" s="1">
        <v>45290</v>
      </c>
      <c r="C67" t="s">
        <v>541</v>
      </c>
      <c r="D67" t="s">
        <v>1531</v>
      </c>
      <c r="E67" t="s">
        <v>1592</v>
      </c>
      <c r="F67">
        <v>2</v>
      </c>
      <c r="G67" s="14">
        <v>856.57</v>
      </c>
      <c r="H67" s="17">
        <v>0.24</v>
      </c>
      <c r="I67" t="s">
        <v>1609</v>
      </c>
      <c r="J67" s="14">
        <v>1301.9864</v>
      </c>
      <c r="K67" s="14">
        <f t="shared" si="8"/>
        <v>664416.88913188421</v>
      </c>
      <c r="L67" s="14">
        <f t="shared" si="9"/>
        <v>643</v>
      </c>
      <c r="M67" s="14" t="str">
        <f t="shared" si="10"/>
        <v>30-12-2023</v>
      </c>
      <c r="N67" s="14">
        <f t="shared" si="11"/>
        <v>0.15295195937664202</v>
      </c>
      <c r="O67" s="20">
        <f t="shared" si="12"/>
        <v>2.494782678036771</v>
      </c>
      <c r="P67" s="14">
        <f t="shared" si="13"/>
        <v>490.82046114892751</v>
      </c>
      <c r="Q67" s="14">
        <f t="shared" si="14"/>
        <v>540.19910000000004</v>
      </c>
      <c r="R67" s="14" t="str">
        <f t="shared" si="15"/>
        <v>Dec</v>
      </c>
    </row>
    <row r="68" spans="1:18" x14ac:dyDescent="0.3">
      <c r="A68" t="s">
        <v>1677</v>
      </c>
      <c r="B68" s="1">
        <v>45213</v>
      </c>
      <c r="C68" t="s">
        <v>857</v>
      </c>
      <c r="D68" t="s">
        <v>1487</v>
      </c>
      <c r="E68" t="s">
        <v>1546</v>
      </c>
      <c r="F68">
        <v>4</v>
      </c>
      <c r="G68" s="14">
        <v>814.25</v>
      </c>
      <c r="H68" s="17">
        <v>0.18</v>
      </c>
      <c r="I68" t="s">
        <v>1609</v>
      </c>
      <c r="J68" s="14">
        <v>2670.74</v>
      </c>
      <c r="K68" s="14">
        <f t="shared" si="8"/>
        <v>663114.90273188415</v>
      </c>
      <c r="L68" s="14">
        <f t="shared" si="9"/>
        <v>642</v>
      </c>
      <c r="M68" s="14" t="str">
        <f t="shared" si="10"/>
        <v>14-10-2023</v>
      </c>
      <c r="N68" s="14">
        <f t="shared" si="11"/>
        <v>0.15290688012204681</v>
      </c>
      <c r="O68" s="20">
        <f t="shared" si="12"/>
        <v>2.4950387767314068</v>
      </c>
      <c r="P68" s="14">
        <f t="shared" si="13"/>
        <v>490.63114979341447</v>
      </c>
      <c r="Q68" s="14">
        <f t="shared" si="14"/>
        <v>872.2924999999999</v>
      </c>
      <c r="R68" s="14" t="str">
        <f t="shared" si="15"/>
        <v>Oct</v>
      </c>
    </row>
    <row r="69" spans="1:18" x14ac:dyDescent="0.3">
      <c r="A69" t="s">
        <v>1678</v>
      </c>
      <c r="B69" s="1">
        <v>45255</v>
      </c>
      <c r="C69" t="s">
        <v>1304</v>
      </c>
      <c r="D69" t="s">
        <v>1357</v>
      </c>
      <c r="E69" t="s">
        <v>1546</v>
      </c>
      <c r="F69">
        <v>1</v>
      </c>
      <c r="G69" s="14">
        <v>989.17</v>
      </c>
      <c r="H69" s="17">
        <v>0.2</v>
      </c>
      <c r="I69" t="s">
        <v>1611</v>
      </c>
      <c r="J69" s="14">
        <v>791.33600000000001</v>
      </c>
      <c r="K69" s="14">
        <f t="shared" si="8"/>
        <v>660444.16273188416</v>
      </c>
      <c r="L69" s="14">
        <f t="shared" si="9"/>
        <v>641</v>
      </c>
      <c r="M69" s="14" t="str">
        <f t="shared" si="10"/>
        <v>25-11-2023</v>
      </c>
      <c r="N69" s="14">
        <f t="shared" si="11"/>
        <v>0.15289284223609967</v>
      </c>
      <c r="O69" s="20">
        <f t="shared" si="12"/>
        <v>2.4942594078949134</v>
      </c>
      <c r="P69" s="14">
        <f t="shared" si="13"/>
        <v>490.46355846756956</v>
      </c>
      <c r="Q69" s="14">
        <f t="shared" si="14"/>
        <v>445.42650000000003</v>
      </c>
      <c r="R69" s="14" t="str">
        <f t="shared" si="15"/>
        <v>Nov</v>
      </c>
    </row>
    <row r="70" spans="1:18" x14ac:dyDescent="0.3">
      <c r="A70" t="s">
        <v>1679</v>
      </c>
      <c r="B70" s="1">
        <v>45270</v>
      </c>
      <c r="C70" t="s">
        <v>1163</v>
      </c>
      <c r="D70" t="s">
        <v>1477</v>
      </c>
      <c r="E70" t="s">
        <v>1574</v>
      </c>
      <c r="F70">
        <v>4</v>
      </c>
      <c r="G70" s="14">
        <v>62.48</v>
      </c>
      <c r="H70" s="17">
        <v>0.18</v>
      </c>
      <c r="I70" t="s">
        <v>1609</v>
      </c>
      <c r="J70" s="14">
        <v>204.93440000000001</v>
      </c>
      <c r="K70" s="14">
        <f t="shared" si="8"/>
        <v>660444.16273188416</v>
      </c>
      <c r="L70" s="14">
        <f t="shared" si="9"/>
        <v>641</v>
      </c>
      <c r="M70" s="14" t="str">
        <f t="shared" si="10"/>
        <v>10-12-2023</v>
      </c>
      <c r="N70" s="14">
        <f t="shared" si="11"/>
        <v>0.15286842172922363</v>
      </c>
      <c r="O70" s="20">
        <f t="shared" si="12"/>
        <v>2.4950336355673981</v>
      </c>
      <c r="P70" s="14">
        <f t="shared" si="13"/>
        <v>490.20516134760453</v>
      </c>
      <c r="Q70" s="14">
        <f t="shared" si="14"/>
        <v>67.898600000000002</v>
      </c>
      <c r="R70" s="14" t="str">
        <f t="shared" si="15"/>
        <v>Dec</v>
      </c>
    </row>
    <row r="71" spans="1:18" x14ac:dyDescent="0.3">
      <c r="A71" t="s">
        <v>1680</v>
      </c>
      <c r="B71" s="1">
        <v>45897</v>
      </c>
      <c r="C71" t="s">
        <v>1244</v>
      </c>
      <c r="D71" t="s">
        <v>1359</v>
      </c>
      <c r="E71" t="s">
        <v>1589</v>
      </c>
      <c r="F71">
        <v>4</v>
      </c>
      <c r="G71" s="14">
        <v>561.24</v>
      </c>
      <c r="H71" s="17">
        <v>0.24</v>
      </c>
      <c r="I71" t="s">
        <v>1609</v>
      </c>
      <c r="J71" s="14">
        <v>1706.1695999999999</v>
      </c>
      <c r="K71" s="14">
        <f t="shared" si="8"/>
        <v>660239.22833188414</v>
      </c>
      <c r="L71" s="14">
        <f t="shared" si="9"/>
        <v>640</v>
      </c>
      <c r="M71" s="14" t="str">
        <f t="shared" si="10"/>
        <v>28-08-2025</v>
      </c>
      <c r="N71" s="14">
        <f t="shared" si="11"/>
        <v>0.152854349333855</v>
      </c>
      <c r="O71" s="20">
        <f t="shared" si="12"/>
        <v>2.4942534560109273</v>
      </c>
      <c r="P71" s="14">
        <f t="shared" si="13"/>
        <v>490.42689549034566</v>
      </c>
      <c r="Q71" s="14">
        <f t="shared" si="14"/>
        <v>567.91239999999993</v>
      </c>
      <c r="R71" s="14" t="str">
        <f t="shared" si="15"/>
        <v>Aug</v>
      </c>
    </row>
    <row r="72" spans="1:18" x14ac:dyDescent="0.3">
      <c r="A72" t="s">
        <v>1681</v>
      </c>
      <c r="B72" s="1">
        <v>45849</v>
      </c>
      <c r="C72" t="s">
        <v>218</v>
      </c>
      <c r="D72" t="s">
        <v>1453</v>
      </c>
      <c r="E72" t="s">
        <v>1558</v>
      </c>
      <c r="F72">
        <v>3</v>
      </c>
      <c r="G72" s="14">
        <v>92.24</v>
      </c>
      <c r="H72" s="17">
        <v>0.28000000000000003</v>
      </c>
      <c r="I72" t="s">
        <v>1614</v>
      </c>
      <c r="K72" s="14">
        <f t="shared" si="8"/>
        <v>658533.058731884</v>
      </c>
      <c r="L72" s="14">
        <f t="shared" si="9"/>
        <v>639</v>
      </c>
      <c r="M72" s="14" t="str">
        <f t="shared" si="10"/>
        <v>11-07-2025</v>
      </c>
      <c r="N72" s="14">
        <f t="shared" si="11"/>
        <v>0.15280912585141274</v>
      </c>
      <c r="O72" s="20">
        <f t="shared" si="12"/>
        <v>2.4934724671395632</v>
      </c>
      <c r="P72" s="14">
        <f t="shared" si="13"/>
        <v>490.39016670169957</v>
      </c>
      <c r="Q72" s="14">
        <f t="shared" si="14"/>
        <v>31.84</v>
      </c>
      <c r="R72" s="14" t="str">
        <f t="shared" si="15"/>
        <v>Jul</v>
      </c>
    </row>
    <row r="73" spans="1:18" x14ac:dyDescent="0.3">
      <c r="A73" t="s">
        <v>1682</v>
      </c>
      <c r="B73" s="1">
        <v>45889</v>
      </c>
      <c r="C73" t="s">
        <v>559</v>
      </c>
      <c r="D73" t="s">
        <v>1477</v>
      </c>
      <c r="E73" t="s">
        <v>1542</v>
      </c>
      <c r="F73">
        <v>2</v>
      </c>
      <c r="G73" s="14">
        <v>668.3</v>
      </c>
      <c r="H73" s="17">
        <v>7.0000000000000007E-2</v>
      </c>
      <c r="I73" t="s">
        <v>1609</v>
      </c>
      <c r="J73" s="14">
        <v>1243.038</v>
      </c>
      <c r="K73" s="14">
        <f t="shared" si="8"/>
        <v>658533.058731884</v>
      </c>
      <c r="L73" s="14">
        <f t="shared" si="9"/>
        <v>639</v>
      </c>
      <c r="M73" s="14" t="str">
        <f t="shared" si="10"/>
        <v>20-08-2025</v>
      </c>
      <c r="N73" s="14">
        <f t="shared" si="11"/>
        <v>0.15274308697594619</v>
      </c>
      <c r="O73" s="20">
        <f t="shared" si="12"/>
        <v>2.4932096090529723</v>
      </c>
      <c r="P73" s="14">
        <f t="shared" si="13"/>
        <v>490.59678329054321</v>
      </c>
      <c r="Q73" s="14">
        <f t="shared" si="14"/>
        <v>478.35199999999998</v>
      </c>
      <c r="R73" s="14" t="str">
        <f t="shared" si="15"/>
        <v>Aug</v>
      </c>
    </row>
    <row r="74" spans="1:18" x14ac:dyDescent="0.3">
      <c r="A74" t="s">
        <v>1683</v>
      </c>
      <c r="B74" s="1">
        <v>45533</v>
      </c>
      <c r="C74" t="s">
        <v>1230</v>
      </c>
      <c r="D74" t="s">
        <v>1409</v>
      </c>
      <c r="E74" t="s">
        <v>1558</v>
      </c>
      <c r="F74">
        <v>1</v>
      </c>
      <c r="G74" s="14">
        <v>553.82000000000005</v>
      </c>
      <c r="H74" s="17">
        <v>0.09</v>
      </c>
      <c r="I74" t="s">
        <v>1609</v>
      </c>
      <c r="J74" s="14">
        <v>503.97620000000012</v>
      </c>
      <c r="K74" s="14">
        <f t="shared" si="8"/>
        <v>657290.02073188405</v>
      </c>
      <c r="L74" s="14">
        <f t="shared" si="9"/>
        <v>638</v>
      </c>
      <c r="M74" s="14" t="str">
        <f t="shared" si="10"/>
        <v>29-08-2024</v>
      </c>
      <c r="N74" s="14">
        <f t="shared" si="11"/>
        <v>0.15278607039775186</v>
      </c>
      <c r="O74" s="20">
        <f t="shared" si="12"/>
        <v>2.4934656888084517</v>
      </c>
      <c r="P74" s="14">
        <f t="shared" si="13"/>
        <v>490.50451786130674</v>
      </c>
      <c r="Q74" s="14">
        <f t="shared" si="14"/>
        <v>264.72155000000004</v>
      </c>
      <c r="R74" s="14" t="str">
        <f t="shared" si="15"/>
        <v>Aug</v>
      </c>
    </row>
    <row r="75" spans="1:18" x14ac:dyDescent="0.3">
      <c r="A75" t="s">
        <v>1684</v>
      </c>
      <c r="B75" s="1">
        <v>45626</v>
      </c>
      <c r="C75" t="s">
        <v>147</v>
      </c>
      <c r="D75" t="s">
        <v>1423</v>
      </c>
      <c r="E75" t="s">
        <v>1577</v>
      </c>
      <c r="F75">
        <v>2</v>
      </c>
      <c r="G75" s="14">
        <v>556.42999999999995</v>
      </c>
      <c r="H75" s="17">
        <v>0.13</v>
      </c>
      <c r="I75" t="s">
        <v>1609</v>
      </c>
      <c r="J75" s="14">
        <v>968.18819999999994</v>
      </c>
      <c r="K75" s="14">
        <f t="shared" si="8"/>
        <v>656786.04453188402</v>
      </c>
      <c r="L75" s="14">
        <f t="shared" si="9"/>
        <v>637</v>
      </c>
      <c r="M75" s="14" t="str">
        <f t="shared" si="10"/>
        <v>30-11-2024</v>
      </c>
      <c r="N75" s="14">
        <f t="shared" si="11"/>
        <v>0.15281870349047416</v>
      </c>
      <c r="O75" s="20">
        <f t="shared" si="12"/>
        <v>2.4942415151403003</v>
      </c>
      <c r="P75" s="14">
        <f t="shared" si="13"/>
        <v>490.47162670175413</v>
      </c>
      <c r="Q75" s="14">
        <f t="shared" si="14"/>
        <v>381.68705</v>
      </c>
      <c r="R75" s="14" t="str">
        <f t="shared" si="15"/>
        <v>Nov</v>
      </c>
    </row>
    <row r="76" spans="1:18" x14ac:dyDescent="0.3">
      <c r="A76" t="s">
        <v>1685</v>
      </c>
      <c r="B76" s="1">
        <v>45942</v>
      </c>
      <c r="C76" t="s">
        <v>869</v>
      </c>
      <c r="D76" t="s">
        <v>1373</v>
      </c>
      <c r="E76" t="s">
        <v>1567</v>
      </c>
      <c r="F76">
        <v>1</v>
      </c>
      <c r="G76" s="14">
        <v>184.98</v>
      </c>
      <c r="H76" s="17">
        <v>0.1</v>
      </c>
      <c r="I76" t="s">
        <v>1614</v>
      </c>
      <c r="J76" s="14">
        <v>166.482</v>
      </c>
      <c r="K76" s="14">
        <f t="shared" si="8"/>
        <v>655817.85633188405</v>
      </c>
      <c r="L76" s="14">
        <f t="shared" si="9"/>
        <v>636</v>
      </c>
      <c r="M76" s="14" t="str">
        <f t="shared" si="10"/>
        <v>12-10-2025</v>
      </c>
      <c r="N76" s="14">
        <f t="shared" si="11"/>
        <v>0.15283056969093725</v>
      </c>
      <c r="O76" s="20">
        <f t="shared" si="12"/>
        <v>2.4944983974246768</v>
      </c>
      <c r="P76" s="14">
        <f t="shared" si="13"/>
        <v>490.43734480295046</v>
      </c>
      <c r="Q76" s="14">
        <f t="shared" si="14"/>
        <v>88.140500000000003</v>
      </c>
      <c r="R76" s="14" t="str">
        <f t="shared" si="15"/>
        <v>Oct</v>
      </c>
    </row>
    <row r="77" spans="1:18" x14ac:dyDescent="0.3">
      <c r="A77" t="s">
        <v>1686</v>
      </c>
      <c r="B77" s="1">
        <v>45500</v>
      </c>
      <c r="C77" t="s">
        <v>141</v>
      </c>
      <c r="D77" t="s">
        <v>1527</v>
      </c>
      <c r="E77" t="s">
        <v>1579</v>
      </c>
      <c r="F77">
        <v>4</v>
      </c>
      <c r="G77" s="14">
        <v>700.18</v>
      </c>
      <c r="H77" s="17">
        <v>0.23</v>
      </c>
      <c r="I77" t="s">
        <v>1609</v>
      </c>
      <c r="J77" s="14">
        <v>2156.5544</v>
      </c>
      <c r="K77" s="14">
        <f t="shared" si="8"/>
        <v>655817.85633188405</v>
      </c>
      <c r="L77" s="14">
        <f t="shared" si="9"/>
        <v>636</v>
      </c>
      <c r="M77" s="14" t="str">
        <f t="shared" si="10"/>
        <v>27-07-2024</v>
      </c>
      <c r="N77" s="14">
        <f t="shared" si="11"/>
        <v>0.15285805698005844</v>
      </c>
      <c r="O77" s="20">
        <f t="shared" si="12"/>
        <v>2.4952755676781475</v>
      </c>
      <c r="P77" s="14">
        <f t="shared" si="13"/>
        <v>490.59618897601496</v>
      </c>
      <c r="Q77" s="14">
        <f t="shared" si="14"/>
        <v>715.24109999999996</v>
      </c>
      <c r="R77" s="14" t="str">
        <f t="shared" si="15"/>
        <v>Jul</v>
      </c>
    </row>
    <row r="78" spans="1:18" x14ac:dyDescent="0.3">
      <c r="A78" t="s">
        <v>1687</v>
      </c>
      <c r="B78" s="1">
        <v>45285</v>
      </c>
      <c r="C78" t="s">
        <v>85</v>
      </c>
      <c r="D78" t="s">
        <v>1485</v>
      </c>
      <c r="E78" t="s">
        <v>1574</v>
      </c>
      <c r="F78">
        <v>2</v>
      </c>
      <c r="G78" s="14">
        <v>686.31</v>
      </c>
      <c r="H78" s="17">
        <v>0.25</v>
      </c>
      <c r="I78" t="s">
        <v>1609</v>
      </c>
      <c r="J78" s="14">
        <v>1029.4649999999999</v>
      </c>
      <c r="K78" s="14">
        <f t="shared" si="8"/>
        <v>653661.30193188391</v>
      </c>
      <c r="L78" s="14">
        <f t="shared" si="9"/>
        <v>635</v>
      </c>
      <c r="M78" s="14" t="str">
        <f t="shared" si="10"/>
        <v>25-12-2023</v>
      </c>
      <c r="N78" s="14">
        <f t="shared" si="11"/>
        <v>0.15281789979993354</v>
      </c>
      <c r="O78" s="20">
        <f t="shared" si="12"/>
        <v>2.4944926725520697</v>
      </c>
      <c r="P78" s="14">
        <f t="shared" si="13"/>
        <v>490.48714432928023</v>
      </c>
      <c r="Q78" s="14">
        <f t="shared" si="14"/>
        <v>429.50624999999997</v>
      </c>
      <c r="R78" s="14" t="str">
        <f t="shared" si="15"/>
        <v>Dec</v>
      </c>
    </row>
    <row r="79" spans="1:18" x14ac:dyDescent="0.3">
      <c r="A79" t="s">
        <v>1688</v>
      </c>
      <c r="B79" s="1">
        <v>45800</v>
      </c>
      <c r="C79" t="s">
        <v>40</v>
      </c>
      <c r="D79" t="s">
        <v>1467</v>
      </c>
      <c r="E79" t="s">
        <v>1586</v>
      </c>
      <c r="F79">
        <v>1</v>
      </c>
      <c r="G79" s="14">
        <v>687.82</v>
      </c>
      <c r="H79" s="17">
        <v>0.27</v>
      </c>
      <c r="I79" t="s">
        <v>1614</v>
      </c>
      <c r="J79" s="14">
        <v>502.10860000000002</v>
      </c>
      <c r="K79" s="14">
        <f t="shared" si="8"/>
        <v>652631.83693188394</v>
      </c>
      <c r="L79" s="14">
        <f t="shared" si="9"/>
        <v>634</v>
      </c>
      <c r="M79" s="14" t="str">
        <f t="shared" si="10"/>
        <v>23-05-2025</v>
      </c>
      <c r="N79" s="14">
        <f t="shared" si="11"/>
        <v>0.15276728412274604</v>
      </c>
      <c r="O79" s="20">
        <f t="shared" si="12"/>
        <v>2.4947500867491299</v>
      </c>
      <c r="P79" s="14">
        <f t="shared" si="13"/>
        <v>490.38520635131533</v>
      </c>
      <c r="Q79" s="14">
        <f t="shared" si="14"/>
        <v>297.79965000000004</v>
      </c>
      <c r="R79" s="14" t="str">
        <f t="shared" si="15"/>
        <v>May</v>
      </c>
    </row>
    <row r="80" spans="1:18" x14ac:dyDescent="0.3">
      <c r="A80" t="s">
        <v>1689</v>
      </c>
      <c r="B80" s="1">
        <v>45609</v>
      </c>
      <c r="C80" t="s">
        <v>716</v>
      </c>
      <c r="D80" t="s">
        <v>1499</v>
      </c>
      <c r="E80" t="s">
        <v>1567</v>
      </c>
      <c r="F80">
        <v>2</v>
      </c>
      <c r="G80" s="14">
        <v>900.55</v>
      </c>
      <c r="H80" s="17">
        <v>0.16</v>
      </c>
      <c r="I80" t="s">
        <v>1609</v>
      </c>
      <c r="J80" s="14">
        <v>1512.924</v>
      </c>
      <c r="K80" s="14">
        <f t="shared" si="8"/>
        <v>652631.83693188394</v>
      </c>
      <c r="L80" s="14">
        <f t="shared" si="9"/>
        <v>634</v>
      </c>
      <c r="M80" s="14" t="str">
        <f t="shared" si="10"/>
        <v>13-11-2024</v>
      </c>
      <c r="N80" s="14">
        <f t="shared" si="11"/>
        <v>0.15270619359857862</v>
      </c>
      <c r="O80" s="20">
        <f t="shared" si="12"/>
        <v>2.495528602419312</v>
      </c>
      <c r="P80" s="14">
        <f t="shared" si="13"/>
        <v>490.28237572962331</v>
      </c>
      <c r="Q80" s="14">
        <f t="shared" si="14"/>
        <v>603.9085</v>
      </c>
      <c r="R80" s="14" t="str">
        <f t="shared" si="15"/>
        <v>Nov</v>
      </c>
    </row>
    <row r="81" spans="1:18" x14ac:dyDescent="0.3">
      <c r="A81" t="s">
        <v>1690</v>
      </c>
      <c r="B81" s="1">
        <v>45268</v>
      </c>
      <c r="C81" t="s">
        <v>402</v>
      </c>
      <c r="D81" t="s">
        <v>1375</v>
      </c>
      <c r="E81" t="s">
        <v>1546</v>
      </c>
      <c r="F81">
        <v>1</v>
      </c>
      <c r="G81" s="14">
        <v>341.17</v>
      </c>
      <c r="H81" s="17">
        <v>0.15</v>
      </c>
      <c r="I81" t="s">
        <v>1609</v>
      </c>
      <c r="J81" s="14">
        <v>289.99450000000002</v>
      </c>
      <c r="K81" s="14">
        <f t="shared" si="8"/>
        <v>651118.91293188394</v>
      </c>
      <c r="L81" s="14">
        <f t="shared" si="9"/>
        <v>633</v>
      </c>
      <c r="M81" s="14" t="str">
        <f t="shared" si="10"/>
        <v>08-12-2023</v>
      </c>
      <c r="N81" s="14">
        <f t="shared" si="11"/>
        <v>0.15270239077980829</v>
      </c>
      <c r="O81" s="20">
        <f t="shared" si="12"/>
        <v>2.4957868247238557</v>
      </c>
      <c r="P81" s="14">
        <f t="shared" si="13"/>
        <v>490.06858332510501</v>
      </c>
      <c r="Q81" s="14">
        <f t="shared" si="14"/>
        <v>158.07862499999999</v>
      </c>
      <c r="R81" s="14" t="str">
        <f t="shared" si="15"/>
        <v>Dec</v>
      </c>
    </row>
    <row r="82" spans="1:18" x14ac:dyDescent="0.3">
      <c r="A82" t="s">
        <v>1691</v>
      </c>
      <c r="B82" s="1">
        <v>45885</v>
      </c>
      <c r="C82" t="s">
        <v>582</v>
      </c>
      <c r="D82" t="s">
        <v>1437</v>
      </c>
      <c r="E82" t="s">
        <v>1567</v>
      </c>
      <c r="F82">
        <v>1</v>
      </c>
      <c r="G82" s="14">
        <v>442.27</v>
      </c>
      <c r="H82" s="17">
        <v>0.06</v>
      </c>
      <c r="I82" t="s">
        <v>1614</v>
      </c>
      <c r="J82" s="14">
        <v>415.73379999999997</v>
      </c>
      <c r="K82" s="14">
        <f t="shared" si="8"/>
        <v>650828.91843188391</v>
      </c>
      <c r="L82" s="14">
        <f t="shared" si="9"/>
        <v>632</v>
      </c>
      <c r="M82" s="14" t="str">
        <f t="shared" si="10"/>
        <v>16-08-2025</v>
      </c>
      <c r="N82" s="14">
        <f t="shared" si="11"/>
        <v>0.15270380047765902</v>
      </c>
      <c r="O82" s="20">
        <f t="shared" si="12"/>
        <v>2.4965666927242331</v>
      </c>
      <c r="P82" s="14">
        <f t="shared" si="13"/>
        <v>490.14621553747469</v>
      </c>
      <c r="Q82" s="14">
        <f t="shared" si="14"/>
        <v>214.76594999999998</v>
      </c>
      <c r="R82" s="14" t="str">
        <f t="shared" si="15"/>
        <v>Aug</v>
      </c>
    </row>
    <row r="83" spans="1:18" x14ac:dyDescent="0.3">
      <c r="A83" t="s">
        <v>1692</v>
      </c>
      <c r="B83" s="1">
        <v>45616</v>
      </c>
      <c r="C83" t="s">
        <v>809</v>
      </c>
      <c r="D83" t="s">
        <v>1475</v>
      </c>
      <c r="E83" t="s">
        <v>1571</v>
      </c>
      <c r="F83">
        <v>1</v>
      </c>
      <c r="G83" s="14">
        <v>363.73</v>
      </c>
      <c r="H83" s="17">
        <v>0.25</v>
      </c>
      <c r="I83" t="s">
        <v>1611</v>
      </c>
      <c r="J83" s="14">
        <v>272.79750000000001</v>
      </c>
      <c r="K83" s="14">
        <f t="shared" si="8"/>
        <v>650828.91843188391</v>
      </c>
      <c r="L83" s="14">
        <f t="shared" si="9"/>
        <v>632</v>
      </c>
      <c r="M83" s="14" t="str">
        <f t="shared" si="10"/>
        <v>20-11-2024</v>
      </c>
      <c r="N83" s="14">
        <f t="shared" si="11"/>
        <v>0.15275218450713587</v>
      </c>
      <c r="O83" s="20">
        <f t="shared" si="12"/>
        <v>2.4973473743584131</v>
      </c>
      <c r="P83" s="14">
        <f t="shared" si="13"/>
        <v>490.1711900891375</v>
      </c>
      <c r="Q83" s="14">
        <f t="shared" si="14"/>
        <v>159.44437500000001</v>
      </c>
      <c r="R83" s="14" t="str">
        <f t="shared" si="15"/>
        <v>Nov</v>
      </c>
    </row>
    <row r="84" spans="1:18" x14ac:dyDescent="0.3">
      <c r="A84" t="s">
        <v>1693</v>
      </c>
      <c r="B84" s="1">
        <v>45518</v>
      </c>
      <c r="C84" t="s">
        <v>1181</v>
      </c>
      <c r="D84" t="s">
        <v>1515</v>
      </c>
      <c r="E84" t="s">
        <v>1592</v>
      </c>
      <c r="F84">
        <v>2</v>
      </c>
      <c r="G84" s="14">
        <v>601.33000000000004</v>
      </c>
      <c r="H84" s="17">
        <v>0.16</v>
      </c>
      <c r="I84" t="s">
        <v>1611</v>
      </c>
      <c r="J84" s="14">
        <v>1010.2344000000001</v>
      </c>
      <c r="K84" s="14">
        <f t="shared" si="8"/>
        <v>650828.91843188391</v>
      </c>
      <c r="L84" s="14">
        <f t="shared" si="9"/>
        <v>632</v>
      </c>
      <c r="M84" s="14" t="str">
        <f t="shared" si="10"/>
        <v>14-08-2024</v>
      </c>
      <c r="N84" s="14">
        <f t="shared" si="11"/>
        <v>0.15270140235805346</v>
      </c>
      <c r="O84" s="20">
        <f t="shared" si="12"/>
        <v>2.498128870900354</v>
      </c>
      <c r="P84" s="14">
        <f t="shared" si="13"/>
        <v>490.23718235953891</v>
      </c>
      <c r="Q84" s="14">
        <f t="shared" si="14"/>
        <v>403.43110000000001</v>
      </c>
      <c r="R84" s="14" t="str">
        <f t="shared" si="15"/>
        <v>Aug</v>
      </c>
    </row>
    <row r="85" spans="1:18" x14ac:dyDescent="0.3">
      <c r="A85" t="s">
        <v>1694</v>
      </c>
      <c r="B85" s="1">
        <v>45427</v>
      </c>
      <c r="C85" t="s">
        <v>1224</v>
      </c>
      <c r="D85" t="s">
        <v>1367</v>
      </c>
      <c r="E85" t="s">
        <v>1595</v>
      </c>
      <c r="F85">
        <v>4</v>
      </c>
      <c r="G85" s="14">
        <v>34.39</v>
      </c>
      <c r="H85" s="17">
        <v>0.03</v>
      </c>
      <c r="I85" t="s">
        <v>1611</v>
      </c>
      <c r="J85" s="14">
        <v>133.4332</v>
      </c>
      <c r="K85" s="14">
        <f t="shared" si="8"/>
        <v>650828.91843188391</v>
      </c>
      <c r="L85" s="14">
        <f t="shared" si="9"/>
        <v>632</v>
      </c>
      <c r="M85" s="14" t="str">
        <f t="shared" si="10"/>
        <v>15-05-2024</v>
      </c>
      <c r="N85" s="14">
        <f t="shared" si="11"/>
        <v>0.15269758908864806</v>
      </c>
      <c r="O85" s="20">
        <f t="shared" si="12"/>
        <v>2.4983889904151844</v>
      </c>
      <c r="P85" s="14">
        <f t="shared" si="13"/>
        <v>490.17917044432198</v>
      </c>
      <c r="Q85" s="14">
        <f t="shared" si="14"/>
        <v>42.963300000000004</v>
      </c>
      <c r="R85" s="14" t="str">
        <f t="shared" si="15"/>
        <v>May</v>
      </c>
    </row>
    <row r="86" spans="1:18" x14ac:dyDescent="0.3">
      <c r="A86" t="s">
        <v>1695</v>
      </c>
      <c r="B86" s="1">
        <v>45268</v>
      </c>
      <c r="C86" t="s">
        <v>1244</v>
      </c>
      <c r="D86" t="s">
        <v>1425</v>
      </c>
      <c r="E86" t="s">
        <v>1592</v>
      </c>
      <c r="F86">
        <v>1</v>
      </c>
      <c r="G86" s="14">
        <v>773.57</v>
      </c>
      <c r="H86" s="17">
        <v>0.05</v>
      </c>
      <c r="I86" t="s">
        <v>1614</v>
      </c>
      <c r="K86" s="14">
        <f t="shared" si="8"/>
        <v>650828.91843188391</v>
      </c>
      <c r="L86" s="14">
        <f t="shared" si="9"/>
        <v>632</v>
      </c>
      <c r="M86" s="14" t="str">
        <f t="shared" si="10"/>
        <v>08-12-2023</v>
      </c>
      <c r="N86" s="14">
        <f t="shared" si="11"/>
        <v>0.15276172792246334</v>
      </c>
      <c r="O86" s="20">
        <f t="shared" si="12"/>
        <v>2.4976044496578256</v>
      </c>
      <c r="P86" s="14">
        <f t="shared" si="13"/>
        <v>490.41730480714551</v>
      </c>
      <c r="Q86" s="14">
        <f t="shared" si="14"/>
        <v>258.20666666666665</v>
      </c>
      <c r="R86" s="14" t="str">
        <f t="shared" si="15"/>
        <v>Dec</v>
      </c>
    </row>
    <row r="87" spans="1:18" x14ac:dyDescent="0.3">
      <c r="A87" t="s">
        <v>1696</v>
      </c>
      <c r="B87" s="1">
        <v>45282</v>
      </c>
      <c r="C87" t="s">
        <v>205</v>
      </c>
      <c r="D87" t="s">
        <v>1509</v>
      </c>
      <c r="E87" t="s">
        <v>1564</v>
      </c>
      <c r="F87">
        <v>4</v>
      </c>
      <c r="G87" s="14">
        <v>127.1</v>
      </c>
      <c r="H87" s="17">
        <v>0.24</v>
      </c>
      <c r="I87" t="s">
        <v>1614</v>
      </c>
      <c r="J87" s="14">
        <v>386.38400000000001</v>
      </c>
      <c r="K87" s="14">
        <f t="shared" si="8"/>
        <v>650828.91843188391</v>
      </c>
      <c r="L87" s="14">
        <f t="shared" si="9"/>
        <v>632</v>
      </c>
      <c r="M87" s="14" t="str">
        <f t="shared" si="10"/>
        <v>22-12-2023</v>
      </c>
      <c r="N87" s="14">
        <f t="shared" si="11"/>
        <v>0.15281547359606293</v>
      </c>
      <c r="O87" s="20">
        <f t="shared" si="12"/>
        <v>2.498387306139612</v>
      </c>
      <c r="P87" s="14">
        <f t="shared" si="13"/>
        <v>490.26928980704463</v>
      </c>
      <c r="Q87" s="14">
        <f t="shared" si="14"/>
        <v>129.43100000000001</v>
      </c>
      <c r="R87" s="14" t="str">
        <f t="shared" si="15"/>
        <v>Dec</v>
      </c>
    </row>
    <row r="88" spans="1:18" x14ac:dyDescent="0.3">
      <c r="A88" t="s">
        <v>1697</v>
      </c>
      <c r="B88" s="1">
        <v>45545</v>
      </c>
      <c r="C88" t="s">
        <v>957</v>
      </c>
      <c r="D88" t="s">
        <v>1373</v>
      </c>
      <c r="E88" t="s">
        <v>1551</v>
      </c>
      <c r="F88">
        <v>3</v>
      </c>
      <c r="G88" s="14">
        <v>899.58</v>
      </c>
      <c r="H88" s="17">
        <v>0.28000000000000003</v>
      </c>
      <c r="I88" t="s">
        <v>1611</v>
      </c>
      <c r="J88" s="14">
        <v>1943.0927999999999</v>
      </c>
      <c r="K88" s="14">
        <f t="shared" si="8"/>
        <v>650828.91843188391</v>
      </c>
      <c r="L88" s="14">
        <f t="shared" si="9"/>
        <v>632</v>
      </c>
      <c r="M88" s="14" t="str">
        <f t="shared" si="10"/>
        <v>10-09-2024</v>
      </c>
      <c r="N88" s="14">
        <f t="shared" si="11"/>
        <v>0.15276985113326652</v>
      </c>
      <c r="O88" s="20">
        <f t="shared" si="12"/>
        <v>2.4976019438520281</v>
      </c>
      <c r="P88" s="14">
        <f t="shared" si="13"/>
        <v>490.45923190422405</v>
      </c>
      <c r="Q88" s="14">
        <f t="shared" si="14"/>
        <v>711.48820000000001</v>
      </c>
      <c r="R88" s="14" t="str">
        <f t="shared" si="15"/>
        <v>Sep</v>
      </c>
    </row>
    <row r="89" spans="1:18" x14ac:dyDescent="0.3">
      <c r="A89" t="s">
        <v>1698</v>
      </c>
      <c r="B89" s="1">
        <v>45755</v>
      </c>
      <c r="C89" t="s">
        <v>1029</v>
      </c>
      <c r="D89" t="s">
        <v>1331</v>
      </c>
      <c r="E89" t="s">
        <v>1574</v>
      </c>
      <c r="F89">
        <v>3</v>
      </c>
      <c r="G89" s="14">
        <v>964.39</v>
      </c>
      <c r="H89" s="17">
        <v>0.04</v>
      </c>
      <c r="I89" t="s">
        <v>1609</v>
      </c>
      <c r="J89" s="14">
        <v>2777.4432000000002</v>
      </c>
      <c r="K89" s="14">
        <f t="shared" si="8"/>
        <v>650828.91843188391</v>
      </c>
      <c r="L89" s="14">
        <f t="shared" si="9"/>
        <v>632</v>
      </c>
      <c r="M89" s="14" t="str">
        <f t="shared" si="10"/>
        <v>08-04-2025</v>
      </c>
      <c r="N89" s="14">
        <f t="shared" si="11"/>
        <v>0.15270323848988082</v>
      </c>
      <c r="O89" s="20">
        <f t="shared" si="12"/>
        <v>2.497339045863463</v>
      </c>
      <c r="P89" s="14">
        <f t="shared" si="13"/>
        <v>490.24514463677468</v>
      </c>
      <c r="Q89" s="14">
        <f t="shared" si="14"/>
        <v>936.2183</v>
      </c>
      <c r="R89" s="14" t="str">
        <f t="shared" si="15"/>
        <v>Apr</v>
      </c>
    </row>
    <row r="90" spans="1:18" x14ac:dyDescent="0.3">
      <c r="A90" t="s">
        <v>1699</v>
      </c>
      <c r="B90" s="1">
        <v>45588</v>
      </c>
      <c r="C90" t="s">
        <v>604</v>
      </c>
      <c r="D90" t="s">
        <v>1409</v>
      </c>
      <c r="E90" t="s">
        <v>1537</v>
      </c>
      <c r="F90">
        <v>2</v>
      </c>
      <c r="G90" s="14">
        <v>217.83</v>
      </c>
      <c r="H90" s="17">
        <v>0.14000000000000001</v>
      </c>
      <c r="I90" t="s">
        <v>1611</v>
      </c>
      <c r="J90" s="14">
        <v>374.66759999999999</v>
      </c>
      <c r="K90" s="14">
        <f t="shared" si="8"/>
        <v>648051.47523188393</v>
      </c>
      <c r="L90" s="14">
        <f t="shared" si="9"/>
        <v>631</v>
      </c>
      <c r="M90" s="14" t="str">
        <f t="shared" si="10"/>
        <v>23-10-2024</v>
      </c>
      <c r="N90" s="14">
        <f t="shared" si="11"/>
        <v>0.15276227633089173</v>
      </c>
      <c r="O90" s="20">
        <f t="shared" si="12"/>
        <v>2.4970758725890465</v>
      </c>
      <c r="P90" s="14">
        <f t="shared" si="13"/>
        <v>489.99690125700334</v>
      </c>
      <c r="Q90" s="14">
        <f t="shared" si="14"/>
        <v>148.65940000000001</v>
      </c>
      <c r="R90" s="14" t="str">
        <f t="shared" si="15"/>
        <v>Oct</v>
      </c>
    </row>
    <row r="91" spans="1:18" x14ac:dyDescent="0.3">
      <c r="A91" t="s">
        <v>1700</v>
      </c>
      <c r="B91" s="1">
        <v>45848</v>
      </c>
      <c r="C91" t="s">
        <v>484</v>
      </c>
      <c r="D91" t="s">
        <v>1367</v>
      </c>
      <c r="E91" t="s">
        <v>1542</v>
      </c>
      <c r="F91">
        <v>4</v>
      </c>
      <c r="G91" s="14">
        <v>187.71</v>
      </c>
      <c r="H91" s="17">
        <v>0.06</v>
      </c>
      <c r="I91" t="s">
        <v>1614</v>
      </c>
      <c r="J91" s="14">
        <v>705.78959999999995</v>
      </c>
      <c r="K91" s="14">
        <f t="shared" si="8"/>
        <v>648051.47523188393</v>
      </c>
      <c r="L91" s="14">
        <f t="shared" si="9"/>
        <v>631</v>
      </c>
      <c r="M91" s="14" t="str">
        <f t="shared" si="10"/>
        <v>10-07-2025</v>
      </c>
      <c r="N91" s="14">
        <f t="shared" si="11"/>
        <v>0.15276896515496458</v>
      </c>
      <c r="O91" s="20">
        <f t="shared" si="12"/>
        <v>2.4973362580644731</v>
      </c>
      <c r="P91" s="14">
        <f t="shared" si="13"/>
        <v>490.13947166101434</v>
      </c>
      <c r="Q91" s="14">
        <f t="shared" si="14"/>
        <v>224.38989999999998</v>
      </c>
      <c r="R91" s="14" t="str">
        <f t="shared" si="15"/>
        <v>Jul</v>
      </c>
    </row>
    <row r="92" spans="1:18" x14ac:dyDescent="0.3">
      <c r="A92" t="s">
        <v>1701</v>
      </c>
      <c r="B92" s="1">
        <v>45577</v>
      </c>
      <c r="C92" t="s">
        <v>52</v>
      </c>
      <c r="D92" t="s">
        <v>1399</v>
      </c>
      <c r="E92" t="s">
        <v>1595</v>
      </c>
      <c r="F92">
        <v>2</v>
      </c>
      <c r="G92" s="14">
        <v>350.12</v>
      </c>
      <c r="H92" s="17">
        <v>0.12</v>
      </c>
      <c r="I92" t="s">
        <v>1614</v>
      </c>
      <c r="J92" s="14">
        <v>616.21119999999996</v>
      </c>
      <c r="K92" s="14">
        <f t="shared" si="8"/>
        <v>648051.47523188393</v>
      </c>
      <c r="L92" s="14">
        <f t="shared" si="9"/>
        <v>631</v>
      </c>
      <c r="M92" s="14" t="str">
        <f t="shared" si="10"/>
        <v>12-10-2024</v>
      </c>
      <c r="N92" s="14">
        <f t="shared" si="11"/>
        <v>0.15281761170197819</v>
      </c>
      <c r="O92" s="20">
        <f t="shared" si="12"/>
        <v>2.4965486984512988</v>
      </c>
      <c r="P92" s="14">
        <f t="shared" si="13"/>
        <v>490.29797767341529</v>
      </c>
      <c r="Q92" s="14">
        <f t="shared" si="14"/>
        <v>242.11279999999999</v>
      </c>
      <c r="R92" s="14" t="str">
        <f t="shared" si="15"/>
        <v>Oct</v>
      </c>
    </row>
    <row r="93" spans="1:18" x14ac:dyDescent="0.3">
      <c r="A93" t="s">
        <v>1702</v>
      </c>
      <c r="B93" s="1">
        <v>45312</v>
      </c>
      <c r="C93" t="s">
        <v>1227</v>
      </c>
      <c r="D93" t="s">
        <v>1365</v>
      </c>
      <c r="E93" t="s">
        <v>1542</v>
      </c>
      <c r="F93">
        <v>4</v>
      </c>
      <c r="G93" s="14">
        <v>102.19</v>
      </c>
      <c r="H93" s="17">
        <v>0.17</v>
      </c>
      <c r="I93" t="s">
        <v>1611</v>
      </c>
      <c r="J93" s="14">
        <v>339.27080000000001</v>
      </c>
      <c r="K93" s="14">
        <f t="shared" si="8"/>
        <v>648051.47523188393</v>
      </c>
      <c r="L93" s="14">
        <f t="shared" si="9"/>
        <v>631</v>
      </c>
      <c r="M93" s="14" t="str">
        <f t="shared" si="10"/>
        <v>21-01-2024</v>
      </c>
      <c r="N93" s="14">
        <f t="shared" si="11"/>
        <v>0.15283482975638635</v>
      </c>
      <c r="O93" s="20">
        <f t="shared" si="12"/>
        <v>2.496809080568998</v>
      </c>
      <c r="P93" s="14">
        <f t="shared" si="13"/>
        <v>490.37148474088957</v>
      </c>
      <c r="Q93" s="14">
        <f t="shared" si="14"/>
        <v>111.40770000000001</v>
      </c>
      <c r="R93" s="14" t="str">
        <f t="shared" si="15"/>
        <v>Jan</v>
      </c>
    </row>
    <row r="94" spans="1:18" x14ac:dyDescent="0.3">
      <c r="A94" t="s">
        <v>1703</v>
      </c>
      <c r="B94" s="1">
        <v>45350</v>
      </c>
      <c r="C94" t="s">
        <v>40</v>
      </c>
      <c r="D94" t="s">
        <v>1505</v>
      </c>
      <c r="E94" t="s">
        <v>1554</v>
      </c>
      <c r="F94">
        <v>1</v>
      </c>
      <c r="G94" s="14">
        <v>696.53</v>
      </c>
      <c r="H94" s="17">
        <v>0.17</v>
      </c>
      <c r="I94" t="s">
        <v>1609</v>
      </c>
      <c r="J94" s="14">
        <v>578.11989999999992</v>
      </c>
      <c r="K94" s="14">
        <f t="shared" si="8"/>
        <v>648051.47523188393</v>
      </c>
      <c r="L94" s="14">
        <f t="shared" si="9"/>
        <v>631</v>
      </c>
      <c r="M94" s="14" t="str">
        <f t="shared" si="10"/>
        <v>28-02-2024</v>
      </c>
      <c r="N94" s="14">
        <f t="shared" si="11"/>
        <v>0.15282581916833196</v>
      </c>
      <c r="O94" s="20">
        <f t="shared" si="12"/>
        <v>2.4960204179669878</v>
      </c>
      <c r="P94" s="14">
        <f t="shared" si="13"/>
        <v>490.57514763949445</v>
      </c>
      <c r="Q94" s="14">
        <f t="shared" si="14"/>
        <v>318.95497499999999</v>
      </c>
      <c r="R94" s="14" t="str">
        <f t="shared" si="15"/>
        <v>Feb</v>
      </c>
    </row>
    <row r="95" spans="1:18" x14ac:dyDescent="0.3">
      <c r="A95" t="s">
        <v>1704</v>
      </c>
      <c r="B95" s="1">
        <v>45657</v>
      </c>
      <c r="C95" t="s">
        <v>241</v>
      </c>
      <c r="D95" t="s">
        <v>1371</v>
      </c>
      <c r="E95" t="s">
        <v>1554</v>
      </c>
      <c r="F95">
        <v>2</v>
      </c>
      <c r="G95" s="14">
        <v>327.52</v>
      </c>
      <c r="H95" s="17">
        <v>0.15</v>
      </c>
      <c r="I95" t="s">
        <v>1611</v>
      </c>
      <c r="J95" s="14">
        <v>556.78399999999999</v>
      </c>
      <c r="K95" s="14">
        <f t="shared" si="8"/>
        <v>647473.35533188388</v>
      </c>
      <c r="L95" s="14">
        <f t="shared" si="9"/>
        <v>630</v>
      </c>
      <c r="M95" s="14" t="str">
        <f t="shared" si="10"/>
        <v>31-12-2024</v>
      </c>
      <c r="N95" s="14">
        <f t="shared" si="11"/>
        <v>0.15281679911537413</v>
      </c>
      <c r="O95" s="20">
        <f t="shared" si="12"/>
        <v>2.4968057305223512</v>
      </c>
      <c r="P95" s="14">
        <f t="shared" si="13"/>
        <v>490.46703485610311</v>
      </c>
      <c r="Q95" s="14">
        <f t="shared" si="14"/>
        <v>221.61349999999999</v>
      </c>
      <c r="R95" s="14" t="str">
        <f t="shared" si="15"/>
        <v>Dec</v>
      </c>
    </row>
    <row r="96" spans="1:18" x14ac:dyDescent="0.3">
      <c r="A96" t="s">
        <v>1705</v>
      </c>
      <c r="B96" s="1">
        <v>45530</v>
      </c>
      <c r="C96" t="s">
        <v>942</v>
      </c>
      <c r="D96" t="s">
        <v>1527</v>
      </c>
      <c r="E96" t="s">
        <v>1598</v>
      </c>
      <c r="F96">
        <v>2</v>
      </c>
      <c r="G96" s="14">
        <v>569.36</v>
      </c>
      <c r="H96" s="17">
        <v>0.01</v>
      </c>
      <c r="I96" t="s">
        <v>1611</v>
      </c>
      <c r="K96" s="14">
        <f t="shared" si="8"/>
        <v>647473.35533188388</v>
      </c>
      <c r="L96" s="14">
        <f t="shared" si="9"/>
        <v>630</v>
      </c>
      <c r="M96" s="14" t="str">
        <f t="shared" si="10"/>
        <v>26-08-2024</v>
      </c>
      <c r="N96" s="14">
        <f t="shared" si="11"/>
        <v>0.15281827930408429</v>
      </c>
      <c r="O96" s="20">
        <f t="shared" si="12"/>
        <v>2.497066657901827</v>
      </c>
      <c r="P96" s="14">
        <f t="shared" si="13"/>
        <v>490.55261628197286</v>
      </c>
      <c r="Q96" s="14">
        <f t="shared" si="14"/>
        <v>190.45666666666668</v>
      </c>
      <c r="R96" s="14" t="str">
        <f t="shared" si="15"/>
        <v>Aug</v>
      </c>
    </row>
    <row r="97" spans="1:18" x14ac:dyDescent="0.3">
      <c r="A97" t="s">
        <v>1706</v>
      </c>
      <c r="B97" s="1">
        <v>45556</v>
      </c>
      <c r="C97" t="s">
        <v>1011</v>
      </c>
      <c r="D97" t="s">
        <v>1531</v>
      </c>
      <c r="E97" t="s">
        <v>1561</v>
      </c>
      <c r="F97">
        <v>2</v>
      </c>
      <c r="G97" s="14">
        <v>68.290000000000006</v>
      </c>
      <c r="H97" s="17">
        <v>0.14000000000000001</v>
      </c>
      <c r="I97" t="s">
        <v>1614</v>
      </c>
      <c r="J97" s="14">
        <v>117.4588</v>
      </c>
      <c r="K97" s="14">
        <f t="shared" si="8"/>
        <v>647473.35533188388</v>
      </c>
      <c r="L97" s="14">
        <f t="shared" si="9"/>
        <v>630</v>
      </c>
      <c r="M97" s="14" t="str">
        <f t="shared" si="10"/>
        <v>21-09-2024</v>
      </c>
      <c r="N97" s="14">
        <f t="shared" si="11"/>
        <v>0.15289336777900758</v>
      </c>
      <c r="O97" s="20">
        <f t="shared" si="12"/>
        <v>2.4973278595087121</v>
      </c>
      <c r="P97" s="14">
        <f t="shared" si="13"/>
        <v>490.51120409925187</v>
      </c>
      <c r="Q97" s="14">
        <f t="shared" si="14"/>
        <v>46.972200000000001</v>
      </c>
      <c r="R97" s="14" t="str">
        <f t="shared" si="15"/>
        <v>Sep</v>
      </c>
    </row>
    <row r="98" spans="1:18" x14ac:dyDescent="0.3">
      <c r="A98" t="s">
        <v>1707</v>
      </c>
      <c r="B98" s="1">
        <v>45523</v>
      </c>
      <c r="C98" t="s">
        <v>782</v>
      </c>
      <c r="D98" t="s">
        <v>1433</v>
      </c>
      <c r="E98" t="s">
        <v>1574</v>
      </c>
      <c r="F98">
        <v>1</v>
      </c>
      <c r="G98" s="14">
        <v>842.9</v>
      </c>
      <c r="H98" s="17">
        <v>0.06</v>
      </c>
      <c r="I98" t="s">
        <v>1614</v>
      </c>
      <c r="J98" s="14">
        <v>792.32599999999991</v>
      </c>
      <c r="K98" s="14">
        <f t="shared" si="8"/>
        <v>647473.35533188388</v>
      </c>
      <c r="L98" s="14">
        <f t="shared" si="9"/>
        <v>630</v>
      </c>
      <c r="M98" s="14" t="str">
        <f t="shared" si="10"/>
        <v>19-08-2024</v>
      </c>
      <c r="N98" s="14">
        <f t="shared" si="11"/>
        <v>0.15290015019235792</v>
      </c>
      <c r="O98" s="20">
        <f t="shared" si="12"/>
        <v>2.4975893357755408</v>
      </c>
      <c r="P98" s="14">
        <f t="shared" si="13"/>
        <v>490.73319211402537</v>
      </c>
      <c r="Q98" s="14">
        <f t="shared" si="14"/>
        <v>409.07149999999996</v>
      </c>
      <c r="R98" s="14" t="str">
        <f t="shared" si="15"/>
        <v>Aug</v>
      </c>
    </row>
    <row r="99" spans="1:18" x14ac:dyDescent="0.3">
      <c r="A99" t="s">
        <v>1708</v>
      </c>
      <c r="B99" s="1">
        <v>45587</v>
      </c>
      <c r="C99" t="s">
        <v>911</v>
      </c>
      <c r="D99" t="s">
        <v>1336</v>
      </c>
      <c r="E99" t="s">
        <v>1551</v>
      </c>
      <c r="F99">
        <v>3</v>
      </c>
      <c r="G99" s="14">
        <v>751.94</v>
      </c>
      <c r="H99" s="17">
        <v>0.26</v>
      </c>
      <c r="I99" t="s">
        <v>1611</v>
      </c>
      <c r="J99" s="14">
        <v>1669.3068000000001</v>
      </c>
      <c r="K99" s="14">
        <f t="shared" si="8"/>
        <v>647473.35533188388</v>
      </c>
      <c r="L99" s="14">
        <f t="shared" si="9"/>
        <v>630</v>
      </c>
      <c r="M99" s="14" t="str">
        <f t="shared" si="10"/>
        <v>22-10-2024</v>
      </c>
      <c r="N99" s="14">
        <f t="shared" si="11"/>
        <v>0.15294904500824863</v>
      </c>
      <c r="O99" s="20">
        <f t="shared" si="12"/>
        <v>2.49837712606264</v>
      </c>
      <c r="P99" s="14">
        <f t="shared" si="13"/>
        <v>490.54793866432203</v>
      </c>
      <c r="Q99" s="14">
        <f t="shared" si="14"/>
        <v>606.12670000000003</v>
      </c>
      <c r="R99" s="14" t="str">
        <f t="shared" si="15"/>
        <v>Oct</v>
      </c>
    </row>
    <row r="100" spans="1:18" x14ac:dyDescent="0.3">
      <c r="A100" t="s">
        <v>1709</v>
      </c>
      <c r="B100" s="1">
        <v>45580</v>
      </c>
      <c r="C100" t="s">
        <v>449</v>
      </c>
      <c r="D100" t="s">
        <v>1445</v>
      </c>
      <c r="E100" t="s">
        <v>1564</v>
      </c>
      <c r="F100">
        <v>4</v>
      </c>
      <c r="G100" s="14">
        <v>476.28</v>
      </c>
      <c r="H100" s="17">
        <v>0.17</v>
      </c>
      <c r="I100" t="s">
        <v>1609</v>
      </c>
      <c r="J100" s="14">
        <v>1581.2496000000001</v>
      </c>
      <c r="K100" s="14">
        <f t="shared" si="8"/>
        <v>647473.35533188388</v>
      </c>
      <c r="L100" s="14">
        <f t="shared" si="9"/>
        <v>630</v>
      </c>
      <c r="M100" s="14" t="str">
        <f t="shared" si="10"/>
        <v>15-10-2024</v>
      </c>
      <c r="N100" s="14">
        <f t="shared" si="11"/>
        <v>0.15289267273073848</v>
      </c>
      <c r="O100" s="20">
        <f t="shared" si="12"/>
        <v>2.4981131140237252</v>
      </c>
      <c r="P100" s="14">
        <f t="shared" si="13"/>
        <v>490.41036389519797</v>
      </c>
      <c r="Q100" s="14">
        <f t="shared" si="14"/>
        <v>515.42489999999998</v>
      </c>
      <c r="R100" s="14" t="str">
        <f t="shared" si="15"/>
        <v>Oct</v>
      </c>
    </row>
    <row r="101" spans="1:18" x14ac:dyDescent="0.3">
      <c r="A101" t="s">
        <v>1710</v>
      </c>
      <c r="B101" s="1">
        <v>45479</v>
      </c>
      <c r="C101" t="s">
        <v>1023</v>
      </c>
      <c r="D101" t="s">
        <v>1441</v>
      </c>
      <c r="E101" t="s">
        <v>1551</v>
      </c>
      <c r="F101">
        <v>3</v>
      </c>
      <c r="G101" s="14">
        <v>541.99</v>
      </c>
      <c r="H101" s="17">
        <v>0.24</v>
      </c>
      <c r="I101" t="s">
        <v>1614</v>
      </c>
      <c r="J101" s="14">
        <v>1235.7372</v>
      </c>
      <c r="K101" s="14">
        <f t="shared" si="8"/>
        <v>645892.10573188378</v>
      </c>
      <c r="L101" s="14">
        <f t="shared" si="9"/>
        <v>629</v>
      </c>
      <c r="M101" s="14" t="str">
        <f t="shared" si="10"/>
        <v>06-07-2024</v>
      </c>
      <c r="N101" s="14">
        <f t="shared" si="11"/>
        <v>0.1528836593865503</v>
      </c>
      <c r="O101" s="20">
        <f t="shared" si="12"/>
        <v>2.497322230987403</v>
      </c>
      <c r="P101" s="14">
        <f t="shared" si="13"/>
        <v>490.41780484511651</v>
      </c>
      <c r="Q101" s="14">
        <f t="shared" si="14"/>
        <v>445.24180000000001</v>
      </c>
      <c r="R101" s="14" t="str">
        <f t="shared" si="15"/>
        <v>Jul</v>
      </c>
    </row>
    <row r="102" spans="1:18" x14ac:dyDescent="0.3">
      <c r="A102" t="s">
        <v>1711</v>
      </c>
      <c r="B102" s="1">
        <v>45677</v>
      </c>
      <c r="C102" t="s">
        <v>1154</v>
      </c>
      <c r="D102" t="s">
        <v>1399</v>
      </c>
      <c r="E102" t="s">
        <v>1558</v>
      </c>
      <c r="F102">
        <v>2</v>
      </c>
      <c r="G102" s="14">
        <v>401.5</v>
      </c>
      <c r="H102" s="17">
        <v>0.18</v>
      </c>
      <c r="I102" t="s">
        <v>1609</v>
      </c>
      <c r="J102" s="14">
        <v>658.46</v>
      </c>
      <c r="K102" s="14">
        <f t="shared" si="8"/>
        <v>645892.10573188378</v>
      </c>
      <c r="L102" s="14">
        <f t="shared" si="9"/>
        <v>629</v>
      </c>
      <c r="M102" s="14" t="str">
        <f t="shared" si="10"/>
        <v>20-01-2025</v>
      </c>
      <c r="N102" s="14">
        <f t="shared" si="11"/>
        <v>0.1528377361706233</v>
      </c>
      <c r="O102" s="20">
        <f t="shared" si="12"/>
        <v>2.4970573849552578</v>
      </c>
      <c r="P102" s="14">
        <f t="shared" si="13"/>
        <v>490.39063298254808</v>
      </c>
      <c r="Q102" s="14">
        <f t="shared" si="14"/>
        <v>265.53500000000003</v>
      </c>
      <c r="R102" s="14" t="str">
        <f t="shared" si="15"/>
        <v>Jan</v>
      </c>
    </row>
    <row r="103" spans="1:18" x14ac:dyDescent="0.3">
      <c r="A103" t="s">
        <v>1712</v>
      </c>
      <c r="B103" s="1">
        <v>45453</v>
      </c>
      <c r="C103" t="s">
        <v>304</v>
      </c>
      <c r="D103" t="s">
        <v>1383</v>
      </c>
      <c r="E103" t="s">
        <v>1582</v>
      </c>
      <c r="F103">
        <v>3</v>
      </c>
      <c r="G103" s="14">
        <v>359.56</v>
      </c>
      <c r="H103" s="17">
        <v>0.17</v>
      </c>
      <c r="I103" t="s">
        <v>1611</v>
      </c>
      <c r="J103" s="14">
        <v>895.30439999999999</v>
      </c>
      <c r="K103" s="14">
        <f t="shared" si="8"/>
        <v>645233.64573188382</v>
      </c>
      <c r="L103" s="14">
        <f t="shared" si="9"/>
        <v>628</v>
      </c>
      <c r="M103" s="14" t="str">
        <f t="shared" si="10"/>
        <v>10-06-2024</v>
      </c>
      <c r="N103" s="14">
        <f t="shared" si="11"/>
        <v>0.15282341008210568</v>
      </c>
      <c r="O103" s="20">
        <f t="shared" si="12"/>
        <v>2.4973194078255556</v>
      </c>
      <c r="P103" s="14">
        <f t="shared" si="13"/>
        <v>490.43749151337698</v>
      </c>
      <c r="Q103" s="14">
        <f t="shared" si="14"/>
        <v>314.5086</v>
      </c>
      <c r="R103" s="14" t="str">
        <f t="shared" si="15"/>
        <v>Jun</v>
      </c>
    </row>
    <row r="104" spans="1:18" x14ac:dyDescent="0.3">
      <c r="A104" t="s">
        <v>1713</v>
      </c>
      <c r="B104" s="1">
        <v>45552</v>
      </c>
      <c r="C104" t="s">
        <v>347</v>
      </c>
      <c r="D104" t="s">
        <v>1493</v>
      </c>
      <c r="E104" t="s">
        <v>1579</v>
      </c>
      <c r="F104">
        <v>2</v>
      </c>
      <c r="G104" s="14">
        <v>471.88</v>
      </c>
      <c r="H104" s="17">
        <v>0.24</v>
      </c>
      <c r="I104" t="s">
        <v>1611</v>
      </c>
      <c r="J104" s="14">
        <v>717.25760000000002</v>
      </c>
      <c r="K104" s="14">
        <f t="shared" si="8"/>
        <v>645233.64573188382</v>
      </c>
      <c r="L104" s="14">
        <f t="shared" si="9"/>
        <v>628</v>
      </c>
      <c r="M104" s="14" t="str">
        <f t="shared" si="10"/>
        <v>17-09-2024</v>
      </c>
      <c r="N104" s="14">
        <f t="shared" si="11"/>
        <v>0.15281434591856063</v>
      </c>
      <c r="O104" s="20">
        <f t="shared" si="12"/>
        <v>2.4970542809309486</v>
      </c>
      <c r="P104" s="14">
        <f t="shared" si="13"/>
        <v>490.50651972620051</v>
      </c>
      <c r="Q104" s="14">
        <f t="shared" si="14"/>
        <v>297.84440000000001</v>
      </c>
      <c r="R104" s="14" t="str">
        <f t="shared" si="15"/>
        <v>Sep</v>
      </c>
    </row>
    <row r="105" spans="1:18" x14ac:dyDescent="0.3">
      <c r="A105" t="s">
        <v>1714</v>
      </c>
      <c r="B105" s="1">
        <v>45907</v>
      </c>
      <c r="C105" t="s">
        <v>601</v>
      </c>
      <c r="D105" t="s">
        <v>1401</v>
      </c>
      <c r="E105" t="s">
        <v>1554</v>
      </c>
      <c r="F105">
        <v>4</v>
      </c>
      <c r="G105" s="14">
        <v>925.19</v>
      </c>
      <c r="H105" s="17">
        <v>0.19</v>
      </c>
      <c r="I105" t="s">
        <v>1611</v>
      </c>
      <c r="J105" s="14">
        <v>2997.615600000001</v>
      </c>
      <c r="K105" s="14">
        <f t="shared" si="8"/>
        <v>645233.64573188382</v>
      </c>
      <c r="L105" s="14">
        <f t="shared" si="9"/>
        <v>628</v>
      </c>
      <c r="M105" s="14" t="str">
        <f t="shared" si="10"/>
        <v>07-09-2025</v>
      </c>
      <c r="N105" s="14">
        <f t="shared" si="11"/>
        <v>0.15276831336624735</v>
      </c>
      <c r="O105" s="20">
        <f t="shared" si="12"/>
        <v>2.4973165787045271</v>
      </c>
      <c r="P105" s="14">
        <f t="shared" si="13"/>
        <v>490.51634902420909</v>
      </c>
      <c r="Q105" s="14">
        <f t="shared" si="14"/>
        <v>981.74890000000028</v>
      </c>
      <c r="R105" s="14" t="str">
        <f t="shared" si="15"/>
        <v>Sep</v>
      </c>
    </row>
    <row r="106" spans="1:18" x14ac:dyDescent="0.3">
      <c r="A106" t="s">
        <v>1715</v>
      </c>
      <c r="B106" s="1">
        <v>45330</v>
      </c>
      <c r="C106" t="s">
        <v>121</v>
      </c>
      <c r="D106" t="s">
        <v>1505</v>
      </c>
      <c r="E106" t="s">
        <v>1577</v>
      </c>
      <c r="F106">
        <v>2</v>
      </c>
      <c r="G106" s="14">
        <v>879.63</v>
      </c>
      <c r="H106" s="17">
        <v>7.0000000000000007E-2</v>
      </c>
      <c r="I106" t="s">
        <v>1614</v>
      </c>
      <c r="J106" s="14">
        <v>1636.1117999999999</v>
      </c>
      <c r="K106" s="14">
        <f t="shared" si="8"/>
        <v>645233.64573188382</v>
      </c>
      <c r="L106" s="14">
        <f t="shared" si="9"/>
        <v>628</v>
      </c>
      <c r="M106" s="14" t="str">
        <f t="shared" si="10"/>
        <v>08-02-2024</v>
      </c>
      <c r="N106" s="14">
        <f t="shared" si="11"/>
        <v>0.15274864528033411</v>
      </c>
      <c r="O106" s="20">
        <f t="shared" si="12"/>
        <v>2.4965231872466096</v>
      </c>
      <c r="P106" s="14">
        <f t="shared" si="13"/>
        <v>490.28684868050487</v>
      </c>
      <c r="Q106" s="14">
        <f t="shared" si="14"/>
        <v>629.45294999999999</v>
      </c>
      <c r="R106" s="14" t="str">
        <f t="shared" si="15"/>
        <v>Feb</v>
      </c>
    </row>
    <row r="107" spans="1:18" x14ac:dyDescent="0.3">
      <c r="A107" t="s">
        <v>1716</v>
      </c>
      <c r="B107" s="1">
        <v>45214</v>
      </c>
      <c r="C107" t="s">
        <v>20</v>
      </c>
      <c r="D107" t="s">
        <v>1491</v>
      </c>
      <c r="E107" t="s">
        <v>1592</v>
      </c>
      <c r="F107">
        <v>2</v>
      </c>
      <c r="G107" s="14">
        <v>418.23</v>
      </c>
      <c r="H107" s="17">
        <v>0.28000000000000003</v>
      </c>
      <c r="I107" t="s">
        <v>1609</v>
      </c>
      <c r="J107" s="14">
        <v>602.25120000000004</v>
      </c>
      <c r="K107" s="14">
        <f t="shared" si="8"/>
        <v>645233.64573188382</v>
      </c>
      <c r="L107" s="14">
        <f t="shared" si="9"/>
        <v>628</v>
      </c>
      <c r="M107" s="14" t="str">
        <f t="shared" si="10"/>
        <v>15-10-2023</v>
      </c>
      <c r="N107" s="14">
        <f t="shared" si="11"/>
        <v>0.15279238135077824</v>
      </c>
      <c r="O107" s="20">
        <f t="shared" si="12"/>
        <v>2.4967854815874686</v>
      </c>
      <c r="P107" s="14">
        <f t="shared" si="13"/>
        <v>490.08117348170958</v>
      </c>
      <c r="Q107" s="14">
        <f t="shared" si="14"/>
        <v>255.69030000000001</v>
      </c>
      <c r="R107" s="14" t="str">
        <f t="shared" si="15"/>
        <v>Oct</v>
      </c>
    </row>
    <row r="108" spans="1:18" x14ac:dyDescent="0.3">
      <c r="A108" t="s">
        <v>1717</v>
      </c>
      <c r="B108" s="1">
        <v>45891</v>
      </c>
      <c r="C108" t="s">
        <v>857</v>
      </c>
      <c r="D108" t="s">
        <v>1371</v>
      </c>
      <c r="E108" t="s">
        <v>1595</v>
      </c>
      <c r="F108">
        <v>3</v>
      </c>
      <c r="G108" s="14">
        <v>551.72</v>
      </c>
      <c r="H108" s="17">
        <v>0.03</v>
      </c>
      <c r="I108" t="s">
        <v>1614</v>
      </c>
      <c r="J108" s="14">
        <v>1605.5052000000001</v>
      </c>
      <c r="K108" s="14">
        <f t="shared" si="8"/>
        <v>644631.39453188388</v>
      </c>
      <c r="L108" s="14">
        <f t="shared" si="9"/>
        <v>627</v>
      </c>
      <c r="M108" s="14" t="str">
        <f t="shared" si="10"/>
        <v>22-08-2025</v>
      </c>
      <c r="N108" s="14">
        <f t="shared" si="11"/>
        <v>0.15272511132505154</v>
      </c>
      <c r="O108" s="20">
        <f t="shared" si="12"/>
        <v>2.4970480531950727</v>
      </c>
      <c r="P108" s="14">
        <f t="shared" si="13"/>
        <v>490.11914978904667</v>
      </c>
      <c r="Q108" s="14">
        <f t="shared" si="14"/>
        <v>540.06380000000001</v>
      </c>
      <c r="R108" s="14" t="str">
        <f t="shared" si="15"/>
        <v>Aug</v>
      </c>
    </row>
    <row r="109" spans="1:18" x14ac:dyDescent="0.3">
      <c r="A109" t="s">
        <v>1718</v>
      </c>
      <c r="B109" s="1">
        <v>45323</v>
      </c>
      <c r="C109" t="s">
        <v>1062</v>
      </c>
      <c r="D109" t="s">
        <v>1505</v>
      </c>
      <c r="E109" t="s">
        <v>1564</v>
      </c>
      <c r="F109">
        <v>4</v>
      </c>
      <c r="G109" s="14">
        <v>525.61</v>
      </c>
      <c r="H109" s="17">
        <v>0.02</v>
      </c>
      <c r="I109" t="s">
        <v>1611</v>
      </c>
      <c r="J109" s="14">
        <v>2060.3912</v>
      </c>
      <c r="K109" s="14">
        <f t="shared" si="8"/>
        <v>644631.39453188388</v>
      </c>
      <c r="L109" s="14">
        <f t="shared" si="9"/>
        <v>627</v>
      </c>
      <c r="M109" s="14" t="str">
        <f t="shared" si="10"/>
        <v>01-02-2024</v>
      </c>
      <c r="N109" s="14">
        <f t="shared" si="11"/>
        <v>0.15279004524638756</v>
      </c>
      <c r="O109" s="20">
        <f t="shared" si="12"/>
        <v>2.4967820817795237</v>
      </c>
      <c r="P109" s="14">
        <f t="shared" si="13"/>
        <v>490.08657398248357</v>
      </c>
      <c r="Q109" s="14">
        <f t="shared" si="14"/>
        <v>647.50530000000003</v>
      </c>
      <c r="R109" s="14" t="str">
        <f t="shared" si="15"/>
        <v>Feb</v>
      </c>
    </row>
    <row r="110" spans="1:18" x14ac:dyDescent="0.3">
      <c r="A110" t="s">
        <v>1719</v>
      </c>
      <c r="B110" s="1">
        <v>45785</v>
      </c>
      <c r="C110" t="s">
        <v>160</v>
      </c>
      <c r="D110" t="s">
        <v>1377</v>
      </c>
      <c r="E110" t="s">
        <v>1582</v>
      </c>
      <c r="F110">
        <v>3</v>
      </c>
      <c r="G110" s="14">
        <v>815.3</v>
      </c>
      <c r="H110" s="17">
        <v>0.03</v>
      </c>
      <c r="I110" t="s">
        <v>1609</v>
      </c>
      <c r="J110" s="14">
        <v>2372.5230000000001</v>
      </c>
      <c r="K110" s="14">
        <f t="shared" si="8"/>
        <v>644631.39453188388</v>
      </c>
      <c r="L110" s="14">
        <f t="shared" si="9"/>
        <v>627</v>
      </c>
      <c r="M110" s="14" t="str">
        <f t="shared" si="10"/>
        <v>08-05-2025</v>
      </c>
      <c r="N110" s="14">
        <f t="shared" si="11"/>
        <v>0.15286034172348995</v>
      </c>
      <c r="O110" s="20">
        <f t="shared" si="12"/>
        <v>2.4959867283836394</v>
      </c>
      <c r="P110" s="14">
        <f t="shared" si="13"/>
        <v>490.06777851898215</v>
      </c>
      <c r="Q110" s="14">
        <f t="shared" si="14"/>
        <v>797.71325000000002</v>
      </c>
      <c r="R110" s="14" t="str">
        <f t="shared" si="15"/>
        <v>May</v>
      </c>
    </row>
    <row r="111" spans="1:18" x14ac:dyDescent="0.3">
      <c r="A111" t="s">
        <v>1720</v>
      </c>
      <c r="B111" s="1">
        <v>45738</v>
      </c>
      <c r="C111" t="s">
        <v>696</v>
      </c>
      <c r="D111" t="s">
        <v>1515</v>
      </c>
      <c r="E111" t="s">
        <v>1537</v>
      </c>
      <c r="F111">
        <v>3</v>
      </c>
      <c r="G111" s="14">
        <v>376.46</v>
      </c>
      <c r="H111" s="17">
        <v>0.09</v>
      </c>
      <c r="I111" t="s">
        <v>1614</v>
      </c>
      <c r="J111" s="14">
        <v>1027.7357999999999</v>
      </c>
      <c r="K111" s="14">
        <f t="shared" si="8"/>
        <v>642258.87153188384</v>
      </c>
      <c r="L111" s="14">
        <f t="shared" si="9"/>
        <v>626</v>
      </c>
      <c r="M111" s="14" t="str">
        <f t="shared" si="10"/>
        <v>22-03-2025</v>
      </c>
      <c r="N111" s="14">
        <f t="shared" si="11"/>
        <v>0.15292541605702992</v>
      </c>
      <c r="O111" s="20">
        <f t="shared" si="12"/>
        <v>2.4957199135230699</v>
      </c>
      <c r="P111" s="14">
        <f t="shared" si="13"/>
        <v>489.89560688241204</v>
      </c>
      <c r="Q111" s="14">
        <f t="shared" si="14"/>
        <v>351.82144999999997</v>
      </c>
      <c r="R111" s="14" t="str">
        <f t="shared" si="15"/>
        <v>Mar</v>
      </c>
    </row>
    <row r="112" spans="1:18" x14ac:dyDescent="0.3">
      <c r="A112" t="s">
        <v>1721</v>
      </c>
      <c r="B112" s="1">
        <v>45851</v>
      </c>
      <c r="C112" t="s">
        <v>40</v>
      </c>
      <c r="D112" t="s">
        <v>1417</v>
      </c>
      <c r="E112" t="s">
        <v>1567</v>
      </c>
      <c r="F112">
        <v>4</v>
      </c>
      <c r="G112" s="14">
        <v>239.83</v>
      </c>
      <c r="H112" s="17">
        <v>0.08</v>
      </c>
      <c r="I112" t="s">
        <v>1609</v>
      </c>
      <c r="J112" s="14">
        <v>882.57440000000008</v>
      </c>
      <c r="K112" s="14">
        <f t="shared" si="8"/>
        <v>642258.87153188384</v>
      </c>
      <c r="L112" s="14">
        <f t="shared" si="9"/>
        <v>626</v>
      </c>
      <c r="M112" s="14" t="str">
        <f t="shared" si="10"/>
        <v>13-07-2025</v>
      </c>
      <c r="N112" s="14">
        <f t="shared" si="11"/>
        <v>0.15295876285939189</v>
      </c>
      <c r="O112" s="20">
        <f t="shared" si="12"/>
        <v>2.4954528160196392</v>
      </c>
      <c r="P112" s="14">
        <f t="shared" si="13"/>
        <v>489.95568930131168</v>
      </c>
      <c r="Q112" s="14">
        <f t="shared" si="14"/>
        <v>281.62110000000001</v>
      </c>
      <c r="R112" s="14" t="str">
        <f t="shared" si="15"/>
        <v>Jul</v>
      </c>
    </row>
    <row r="113" spans="1:18" x14ac:dyDescent="0.3">
      <c r="A113" t="s">
        <v>1722</v>
      </c>
      <c r="B113" s="1">
        <v>45798</v>
      </c>
      <c r="C113" t="s">
        <v>414</v>
      </c>
      <c r="D113" t="s">
        <v>1513</v>
      </c>
      <c r="E113" t="s">
        <v>1551</v>
      </c>
      <c r="F113">
        <v>2</v>
      </c>
      <c r="G113" s="14">
        <v>845.71</v>
      </c>
      <c r="H113" s="17">
        <v>0.01</v>
      </c>
      <c r="I113" t="s">
        <v>1611</v>
      </c>
      <c r="J113" s="14">
        <v>1674.5057999999999</v>
      </c>
      <c r="K113" s="14">
        <f t="shared" si="8"/>
        <v>641376.2971318838</v>
      </c>
      <c r="L113" s="14">
        <f t="shared" si="9"/>
        <v>625</v>
      </c>
      <c r="M113" s="14" t="str">
        <f t="shared" si="10"/>
        <v>21-05-2025</v>
      </c>
      <c r="N113" s="14">
        <f t="shared" si="11"/>
        <v>0.15299744725115191</v>
      </c>
      <c r="O113" s="20">
        <f t="shared" si="12"/>
        <v>2.4946554937175827</v>
      </c>
      <c r="P113" s="14">
        <f t="shared" si="13"/>
        <v>490.08824133591753</v>
      </c>
      <c r="Q113" s="14">
        <f t="shared" si="14"/>
        <v>630.55645000000004</v>
      </c>
      <c r="R113" s="14" t="str">
        <f t="shared" si="15"/>
        <v>May</v>
      </c>
    </row>
    <row r="114" spans="1:18" x14ac:dyDescent="0.3">
      <c r="A114" t="s">
        <v>1723</v>
      </c>
      <c r="B114" s="1">
        <v>45705</v>
      </c>
      <c r="C114" t="s">
        <v>314</v>
      </c>
      <c r="D114" t="s">
        <v>1485</v>
      </c>
      <c r="E114" t="s">
        <v>1582</v>
      </c>
      <c r="F114">
        <v>3</v>
      </c>
      <c r="G114" s="14">
        <v>948.69</v>
      </c>
      <c r="H114" s="17">
        <v>0.28999999999999998</v>
      </c>
      <c r="I114" t="s">
        <v>1609</v>
      </c>
      <c r="J114" s="14">
        <v>2020.7097000000001</v>
      </c>
      <c r="K114" s="14">
        <f t="shared" si="8"/>
        <v>641376.2971318838</v>
      </c>
      <c r="L114" s="14">
        <f t="shared" si="9"/>
        <v>625</v>
      </c>
      <c r="M114" s="14" t="str">
        <f t="shared" si="10"/>
        <v>17-02-2025</v>
      </c>
      <c r="N114" s="14">
        <f t="shared" si="11"/>
        <v>0.15307330796587398</v>
      </c>
      <c r="O114" s="20">
        <f t="shared" si="12"/>
        <v>2.4949177712858313</v>
      </c>
      <c r="P114" s="14">
        <f t="shared" si="13"/>
        <v>489.89968260916032</v>
      </c>
      <c r="Q114" s="14">
        <f t="shared" si="14"/>
        <v>743.17242499999998</v>
      </c>
      <c r="R114" s="14" t="str">
        <f t="shared" si="15"/>
        <v>Feb</v>
      </c>
    </row>
    <row r="115" spans="1:18" x14ac:dyDescent="0.3">
      <c r="A115" t="s">
        <v>1724</v>
      </c>
      <c r="B115" s="1">
        <v>45413</v>
      </c>
      <c r="C115" t="s">
        <v>1288</v>
      </c>
      <c r="D115" t="s">
        <v>1387</v>
      </c>
      <c r="E115" t="s">
        <v>1574</v>
      </c>
      <c r="F115">
        <v>1</v>
      </c>
      <c r="G115" s="14">
        <v>281.97000000000003</v>
      </c>
      <c r="H115" s="17">
        <v>0.2</v>
      </c>
      <c r="I115" t="s">
        <v>1611</v>
      </c>
      <c r="J115" s="14">
        <v>225.57599999999999</v>
      </c>
      <c r="K115" s="14">
        <f t="shared" si="8"/>
        <v>639355.58743188379</v>
      </c>
      <c r="L115" s="14">
        <f t="shared" si="9"/>
        <v>624</v>
      </c>
      <c r="M115" s="14" t="str">
        <f t="shared" si="10"/>
        <v>01-05-2024</v>
      </c>
      <c r="N115" s="14">
        <f t="shared" si="11"/>
        <v>0.1530006292546032</v>
      </c>
      <c r="O115" s="20">
        <f t="shared" si="12"/>
        <v>2.4946498231538876</v>
      </c>
      <c r="P115" s="14">
        <f t="shared" si="13"/>
        <v>489.65629252035887</v>
      </c>
      <c r="Q115" s="14">
        <f t="shared" si="14"/>
        <v>127.1865</v>
      </c>
      <c r="R115" s="14" t="str">
        <f t="shared" si="15"/>
        <v>May</v>
      </c>
    </row>
    <row r="116" spans="1:18" x14ac:dyDescent="0.3">
      <c r="A116" t="s">
        <v>1725</v>
      </c>
      <c r="B116" s="1">
        <v>45482</v>
      </c>
      <c r="C116" t="s">
        <v>511</v>
      </c>
      <c r="D116" t="s">
        <v>1515</v>
      </c>
      <c r="E116" t="s">
        <v>1554</v>
      </c>
      <c r="F116">
        <v>2</v>
      </c>
      <c r="G116" s="14">
        <v>731.01</v>
      </c>
      <c r="H116" s="17">
        <v>0.05</v>
      </c>
      <c r="I116" t="s">
        <v>1611</v>
      </c>
      <c r="J116" s="14">
        <v>1388.9190000000001</v>
      </c>
      <c r="K116" s="14">
        <f t="shared" si="8"/>
        <v>639355.58743188379</v>
      </c>
      <c r="L116" s="14">
        <f t="shared" si="9"/>
        <v>624</v>
      </c>
      <c r="M116" s="14" t="str">
        <f t="shared" si="10"/>
        <v>09-07-2024</v>
      </c>
      <c r="N116" s="14">
        <f t="shared" si="11"/>
        <v>0.15297566941883831</v>
      </c>
      <c r="O116" s="20">
        <f t="shared" si="12"/>
        <v>2.4954431617012096</v>
      </c>
      <c r="P116" s="14">
        <f t="shared" si="13"/>
        <v>489.7665294059853</v>
      </c>
      <c r="Q116" s="14">
        <f t="shared" si="14"/>
        <v>530.49475000000007</v>
      </c>
      <c r="R116" s="14" t="str">
        <f t="shared" si="15"/>
        <v>Jul</v>
      </c>
    </row>
    <row r="117" spans="1:18" x14ac:dyDescent="0.3">
      <c r="A117" t="s">
        <v>1726</v>
      </c>
      <c r="B117" s="1">
        <v>45925</v>
      </c>
      <c r="C117" t="s">
        <v>821</v>
      </c>
      <c r="D117" t="s">
        <v>1503</v>
      </c>
      <c r="E117" t="s">
        <v>1564</v>
      </c>
      <c r="F117">
        <v>4</v>
      </c>
      <c r="G117" s="14">
        <v>930.85</v>
      </c>
      <c r="H117" s="17">
        <v>0.13</v>
      </c>
      <c r="I117" t="s">
        <v>1611</v>
      </c>
      <c r="J117" s="14">
        <v>3239.3580000000002</v>
      </c>
      <c r="K117" s="14">
        <f t="shared" si="8"/>
        <v>639355.58743188379</v>
      </c>
      <c r="L117" s="14">
        <f t="shared" si="9"/>
        <v>624</v>
      </c>
      <c r="M117" s="14" t="str">
        <f t="shared" si="10"/>
        <v>25-09-2025</v>
      </c>
      <c r="N117" s="14">
        <f t="shared" si="11"/>
        <v>0.15303038550248277</v>
      </c>
      <c r="O117" s="20">
        <f t="shared" si="12"/>
        <v>2.4957062754355173</v>
      </c>
      <c r="P117" s="14">
        <f t="shared" si="13"/>
        <v>489.63841285229762</v>
      </c>
      <c r="Q117" s="14">
        <f t="shared" si="14"/>
        <v>1043.5844999999999</v>
      </c>
      <c r="R117" s="14" t="str">
        <f t="shared" si="15"/>
        <v>Sep</v>
      </c>
    </row>
    <row r="118" spans="1:18" x14ac:dyDescent="0.3">
      <c r="A118" t="s">
        <v>1727</v>
      </c>
      <c r="B118" s="1">
        <v>45420</v>
      </c>
      <c r="C118" t="s">
        <v>1240</v>
      </c>
      <c r="D118" t="s">
        <v>1336</v>
      </c>
      <c r="E118" t="s">
        <v>1567</v>
      </c>
      <c r="F118">
        <v>4</v>
      </c>
      <c r="G118" s="14">
        <v>770.77</v>
      </c>
      <c r="H118" s="17">
        <v>0.22</v>
      </c>
      <c r="I118" t="s">
        <v>1609</v>
      </c>
      <c r="J118" s="14">
        <v>2404.8024</v>
      </c>
      <c r="K118" s="14">
        <f t="shared" si="8"/>
        <v>639355.58743188379</v>
      </c>
      <c r="L118" s="14">
        <f t="shared" si="9"/>
        <v>624</v>
      </c>
      <c r="M118" s="14" t="str">
        <f t="shared" si="10"/>
        <v>08-05-2024</v>
      </c>
      <c r="N118" s="14">
        <f t="shared" si="11"/>
        <v>0.15304262919493491</v>
      </c>
      <c r="O118" s="20">
        <f t="shared" si="12"/>
        <v>2.4949069695244841</v>
      </c>
      <c r="P118" s="14">
        <f t="shared" si="13"/>
        <v>489.40397523957296</v>
      </c>
      <c r="Q118" s="14">
        <f t="shared" si="14"/>
        <v>794.94810000000007</v>
      </c>
      <c r="R118" s="14" t="str">
        <f t="shared" si="15"/>
        <v>May</v>
      </c>
    </row>
    <row r="119" spans="1:18" x14ac:dyDescent="0.3">
      <c r="A119" t="s">
        <v>1728</v>
      </c>
      <c r="B119" s="1">
        <v>45554</v>
      </c>
      <c r="C119" t="s">
        <v>247</v>
      </c>
      <c r="D119" t="s">
        <v>1425</v>
      </c>
      <c r="E119" t="s">
        <v>1554</v>
      </c>
      <c r="F119">
        <v>3</v>
      </c>
      <c r="G119" s="14">
        <v>479.63</v>
      </c>
      <c r="H119" s="17">
        <v>0.3</v>
      </c>
      <c r="I119" t="s">
        <v>1611</v>
      </c>
      <c r="J119" s="14">
        <v>1007.223</v>
      </c>
      <c r="K119" s="14">
        <f t="shared" si="8"/>
        <v>636950.78503188398</v>
      </c>
      <c r="L119" s="14">
        <f t="shared" si="9"/>
        <v>623</v>
      </c>
      <c r="M119" s="14" t="str">
        <f t="shared" si="10"/>
        <v>19-09-2024</v>
      </c>
      <c r="N119" s="14">
        <f t="shared" si="11"/>
        <v>0.1530070135721662</v>
      </c>
      <c r="O119" s="20">
        <f t="shared" si="12"/>
        <v>2.4941068137400739</v>
      </c>
      <c r="P119" s="14">
        <f t="shared" si="13"/>
        <v>489.25439202598432</v>
      </c>
      <c r="Q119" s="14">
        <f t="shared" si="14"/>
        <v>372.53825000000001</v>
      </c>
      <c r="R119" s="14" t="str">
        <f t="shared" si="15"/>
        <v>Sep</v>
      </c>
    </row>
    <row r="120" spans="1:18" x14ac:dyDescent="0.3">
      <c r="A120" t="s">
        <v>1729</v>
      </c>
      <c r="B120" s="1">
        <v>45405</v>
      </c>
      <c r="C120" t="s">
        <v>372</v>
      </c>
      <c r="D120" t="s">
        <v>1411</v>
      </c>
      <c r="E120" t="s">
        <v>1577</v>
      </c>
      <c r="F120">
        <v>1</v>
      </c>
      <c r="G120" s="14">
        <v>165</v>
      </c>
      <c r="H120" s="17">
        <v>0.3</v>
      </c>
      <c r="I120" t="s">
        <v>1614</v>
      </c>
      <c r="J120" s="14">
        <v>115.5</v>
      </c>
      <c r="K120" s="14">
        <f t="shared" si="8"/>
        <v>636950.78503188398</v>
      </c>
      <c r="L120" s="14">
        <f t="shared" si="9"/>
        <v>623</v>
      </c>
      <c r="M120" s="14" t="str">
        <f t="shared" si="10"/>
        <v>23-04-2024</v>
      </c>
      <c r="N120" s="14">
        <f t="shared" si="11"/>
        <v>0.15292878420206091</v>
      </c>
      <c r="O120" s="20">
        <f t="shared" si="12"/>
        <v>2.4938377216197227</v>
      </c>
      <c r="P120" s="14">
        <f t="shared" si="13"/>
        <v>489.25951138344493</v>
      </c>
      <c r="Q120" s="14">
        <f t="shared" si="14"/>
        <v>70.45</v>
      </c>
      <c r="R120" s="14" t="str">
        <f t="shared" si="15"/>
        <v>Apr</v>
      </c>
    </row>
    <row r="121" spans="1:18" x14ac:dyDescent="0.3">
      <c r="A121" t="s">
        <v>1730</v>
      </c>
      <c r="B121" s="1">
        <v>45503</v>
      </c>
      <c r="C121" t="s">
        <v>529</v>
      </c>
      <c r="D121" t="s">
        <v>1371</v>
      </c>
      <c r="E121" t="s">
        <v>1567</v>
      </c>
      <c r="F121">
        <v>2</v>
      </c>
      <c r="G121" s="14">
        <v>151.51</v>
      </c>
      <c r="H121" s="17">
        <v>0.28999999999999998</v>
      </c>
      <c r="I121" t="s">
        <v>1614</v>
      </c>
      <c r="J121" s="14">
        <v>215.14420000000001</v>
      </c>
      <c r="K121" s="14">
        <f t="shared" si="8"/>
        <v>636950.78503188398</v>
      </c>
      <c r="L121" s="14">
        <f t="shared" si="9"/>
        <v>623</v>
      </c>
      <c r="M121" s="14" t="str">
        <f t="shared" si="10"/>
        <v>30-07-2024</v>
      </c>
      <c r="N121" s="14">
        <f t="shared" si="11"/>
        <v>0.15285047152059236</v>
      </c>
      <c r="O121" s="20">
        <f t="shared" si="12"/>
        <v>2.4946327390341025</v>
      </c>
      <c r="P121" s="14">
        <f t="shared" si="13"/>
        <v>489.43208163963624</v>
      </c>
      <c r="Q121" s="14">
        <f t="shared" si="14"/>
        <v>92.236050000000006</v>
      </c>
      <c r="R121" s="14" t="str">
        <f t="shared" si="15"/>
        <v>Jul</v>
      </c>
    </row>
    <row r="122" spans="1:18" x14ac:dyDescent="0.3">
      <c r="A122" t="s">
        <v>1731</v>
      </c>
      <c r="B122" s="1">
        <v>45274</v>
      </c>
      <c r="C122" t="s">
        <v>743</v>
      </c>
      <c r="D122" t="s">
        <v>1395</v>
      </c>
      <c r="E122" t="s">
        <v>1592</v>
      </c>
      <c r="F122">
        <v>2</v>
      </c>
      <c r="G122" s="14">
        <v>872.93</v>
      </c>
      <c r="H122" s="17">
        <v>0.28999999999999998</v>
      </c>
      <c r="I122" t="s">
        <v>1614</v>
      </c>
      <c r="J122" s="14">
        <v>1239.5606</v>
      </c>
      <c r="K122" s="14">
        <f t="shared" si="8"/>
        <v>636950.78503188398</v>
      </c>
      <c r="L122" s="14">
        <f t="shared" si="9"/>
        <v>623</v>
      </c>
      <c r="M122" s="14" t="str">
        <f t="shared" si="10"/>
        <v>14-12-2023</v>
      </c>
      <c r="N122" s="14">
        <f t="shared" si="11"/>
        <v>0.1527774030451105</v>
      </c>
      <c r="O122" s="20">
        <f t="shared" si="12"/>
        <v>2.4948961217492429</v>
      </c>
      <c r="P122" s="14">
        <f t="shared" si="13"/>
        <v>489.61201885030698</v>
      </c>
      <c r="Q122" s="14">
        <f t="shared" si="14"/>
        <v>528.69515000000001</v>
      </c>
      <c r="R122" s="14" t="str">
        <f t="shared" si="15"/>
        <v>Dec</v>
      </c>
    </row>
    <row r="123" spans="1:18" x14ac:dyDescent="0.3">
      <c r="A123" t="s">
        <v>1732</v>
      </c>
      <c r="B123" s="1">
        <v>45558</v>
      </c>
      <c r="C123" t="s">
        <v>842</v>
      </c>
      <c r="D123" t="s">
        <v>1377</v>
      </c>
      <c r="E123" t="s">
        <v>1574</v>
      </c>
      <c r="F123">
        <v>3</v>
      </c>
      <c r="G123" s="14">
        <v>432.4</v>
      </c>
      <c r="H123" s="17">
        <v>0.04</v>
      </c>
      <c r="I123" t="s">
        <v>1609</v>
      </c>
      <c r="J123" s="14">
        <v>1245.3119999999999</v>
      </c>
      <c r="K123" s="14">
        <f t="shared" si="8"/>
        <v>636950.78503188398</v>
      </c>
      <c r="L123" s="14">
        <f t="shared" si="9"/>
        <v>623</v>
      </c>
      <c r="M123" s="14" t="str">
        <f t="shared" si="10"/>
        <v>23-09-2024</v>
      </c>
      <c r="N123" s="14">
        <f t="shared" si="11"/>
        <v>0.15270425667146717</v>
      </c>
      <c r="O123" s="20">
        <f t="shared" si="12"/>
        <v>2.4951597851065945</v>
      </c>
      <c r="P123" s="14">
        <f t="shared" si="13"/>
        <v>489.40780042667899</v>
      </c>
      <c r="Q123" s="14">
        <f t="shared" si="14"/>
        <v>420.18799999999999</v>
      </c>
      <c r="R123" s="14" t="str">
        <f t="shared" si="15"/>
        <v>Sep</v>
      </c>
    </row>
    <row r="124" spans="1:18" x14ac:dyDescent="0.3">
      <c r="A124" t="s">
        <v>1733</v>
      </c>
      <c r="B124" s="1">
        <v>45886</v>
      </c>
      <c r="C124" t="s">
        <v>1062</v>
      </c>
      <c r="D124" t="s">
        <v>1433</v>
      </c>
      <c r="E124" t="s">
        <v>1564</v>
      </c>
      <c r="F124">
        <v>2</v>
      </c>
      <c r="G124" s="14">
        <v>197.76</v>
      </c>
      <c r="H124" s="17">
        <v>0.04</v>
      </c>
      <c r="I124" t="s">
        <v>1609</v>
      </c>
      <c r="J124" s="14">
        <v>379.69920000000002</v>
      </c>
      <c r="K124" s="14">
        <f t="shared" si="8"/>
        <v>635705.47303188383</v>
      </c>
      <c r="L124" s="14">
        <f t="shared" si="9"/>
        <v>622</v>
      </c>
      <c r="M124" s="14" t="str">
        <f t="shared" si="10"/>
        <v>17-08-2025</v>
      </c>
      <c r="N124" s="14">
        <f t="shared" si="11"/>
        <v>0.1527643656083586</v>
      </c>
      <c r="O124" s="20">
        <f t="shared" si="12"/>
        <v>2.4948906805144344</v>
      </c>
      <c r="P124" s="14">
        <f t="shared" si="13"/>
        <v>489.43818837999811</v>
      </c>
      <c r="Q124" s="14">
        <f t="shared" si="14"/>
        <v>144.87479999999999</v>
      </c>
      <c r="R124" s="14" t="str">
        <f t="shared" si="15"/>
        <v>Aug</v>
      </c>
    </row>
    <row r="125" spans="1:18" x14ac:dyDescent="0.3">
      <c r="A125" t="s">
        <v>1734</v>
      </c>
      <c r="B125" s="1">
        <v>45674</v>
      </c>
      <c r="C125" t="s">
        <v>1297</v>
      </c>
      <c r="D125" t="s">
        <v>1413</v>
      </c>
      <c r="E125" t="s">
        <v>1546</v>
      </c>
      <c r="F125">
        <v>3</v>
      </c>
      <c r="G125" s="14">
        <v>334.6</v>
      </c>
      <c r="H125" s="17">
        <v>0.11</v>
      </c>
      <c r="I125" t="s">
        <v>1611</v>
      </c>
      <c r="J125" s="14">
        <v>893.38200000000006</v>
      </c>
      <c r="K125" s="14">
        <f t="shared" si="8"/>
        <v>635325.77383188379</v>
      </c>
      <c r="L125" s="14">
        <f t="shared" si="9"/>
        <v>621</v>
      </c>
      <c r="M125" s="14" t="str">
        <f t="shared" si="10"/>
        <v>17-01-2025</v>
      </c>
      <c r="N125" s="14">
        <f t="shared" si="11"/>
        <v>0.15282453869566298</v>
      </c>
      <c r="O125" s="20">
        <f t="shared" si="12"/>
        <v>2.4951546222107086</v>
      </c>
      <c r="P125" s="14">
        <f t="shared" si="13"/>
        <v>489.59375008046749</v>
      </c>
      <c r="Q125" s="14">
        <f t="shared" si="14"/>
        <v>307.77300000000002</v>
      </c>
      <c r="R125" s="14" t="str">
        <f t="shared" si="15"/>
        <v>Jan</v>
      </c>
    </row>
    <row r="126" spans="1:18" x14ac:dyDescent="0.3">
      <c r="A126" t="s">
        <v>1735</v>
      </c>
      <c r="B126" s="1">
        <v>45777</v>
      </c>
      <c r="C126" t="s">
        <v>314</v>
      </c>
      <c r="D126" t="s">
        <v>1361</v>
      </c>
      <c r="E126" t="s">
        <v>1551</v>
      </c>
      <c r="F126">
        <v>2</v>
      </c>
      <c r="G126" s="14">
        <v>44.35</v>
      </c>
      <c r="H126" s="17">
        <v>0.2</v>
      </c>
      <c r="I126" t="s">
        <v>1614</v>
      </c>
      <c r="J126" s="14">
        <v>70.960000000000008</v>
      </c>
      <c r="K126" s="14">
        <f t="shared" si="8"/>
        <v>635325.77383188379</v>
      </c>
      <c r="L126" s="14">
        <f t="shared" si="9"/>
        <v>621</v>
      </c>
      <c r="M126" s="14" t="str">
        <f t="shared" si="10"/>
        <v>30-04-2025</v>
      </c>
      <c r="N126" s="14">
        <f t="shared" si="11"/>
        <v>0.15284740283805254</v>
      </c>
      <c r="O126" s="20">
        <f t="shared" si="12"/>
        <v>2.4948852276654638</v>
      </c>
      <c r="P126" s="14">
        <f t="shared" si="13"/>
        <v>489.6764575244805</v>
      </c>
      <c r="Q126" s="14">
        <f t="shared" si="14"/>
        <v>29.377500000000005</v>
      </c>
      <c r="R126" s="14" t="str">
        <f t="shared" si="15"/>
        <v>Apr</v>
      </c>
    </row>
    <row r="127" spans="1:18" x14ac:dyDescent="0.3">
      <c r="A127" t="s">
        <v>1736</v>
      </c>
      <c r="B127" s="1">
        <v>45598</v>
      </c>
      <c r="C127" t="s">
        <v>1319</v>
      </c>
      <c r="D127" t="s">
        <v>1347</v>
      </c>
      <c r="E127" t="s">
        <v>1561</v>
      </c>
      <c r="F127">
        <v>1</v>
      </c>
      <c r="G127" s="14">
        <v>846.31</v>
      </c>
      <c r="H127" s="17">
        <v>0.05</v>
      </c>
      <c r="I127" t="s">
        <v>1611</v>
      </c>
      <c r="J127" s="14">
        <v>803.9944999999999</v>
      </c>
      <c r="K127" s="14">
        <f t="shared" si="8"/>
        <v>635325.77383188379</v>
      </c>
      <c r="L127" s="14">
        <f t="shared" si="9"/>
        <v>621</v>
      </c>
      <c r="M127" s="14" t="str">
        <f t="shared" si="10"/>
        <v>02-11-2024</v>
      </c>
      <c r="N127" s="14">
        <f t="shared" si="11"/>
        <v>0.15282221448486771</v>
      </c>
      <c r="O127" s="20">
        <f t="shared" si="12"/>
        <v>2.4951494482888834</v>
      </c>
      <c r="P127" s="14">
        <f t="shared" si="13"/>
        <v>489.91421858028644</v>
      </c>
      <c r="Q127" s="14">
        <f t="shared" si="14"/>
        <v>412.83862499999998</v>
      </c>
      <c r="R127" s="14" t="str">
        <f t="shared" si="15"/>
        <v>Nov</v>
      </c>
    </row>
    <row r="128" spans="1:18" x14ac:dyDescent="0.3">
      <c r="A128" t="s">
        <v>1737</v>
      </c>
      <c r="B128" s="1">
        <v>45884</v>
      </c>
      <c r="C128" t="s">
        <v>449</v>
      </c>
      <c r="D128" t="s">
        <v>1403</v>
      </c>
      <c r="E128" t="s">
        <v>1579</v>
      </c>
      <c r="F128">
        <v>1</v>
      </c>
      <c r="G128" s="14">
        <v>996.48</v>
      </c>
      <c r="H128" s="17">
        <v>7.0000000000000007E-2</v>
      </c>
      <c r="I128" t="s">
        <v>1614</v>
      </c>
      <c r="J128" s="14">
        <v>926.7263999999999</v>
      </c>
      <c r="K128" s="14">
        <f t="shared" si="8"/>
        <v>635325.77383188379</v>
      </c>
      <c r="L128" s="14">
        <f t="shared" si="9"/>
        <v>621</v>
      </c>
      <c r="M128" s="14" t="str">
        <f t="shared" si="10"/>
        <v>15-08-2025</v>
      </c>
      <c r="N128" s="14">
        <f t="shared" si="11"/>
        <v>0.15287717023820008</v>
      </c>
      <c r="O128" s="20">
        <f t="shared" si="12"/>
        <v>2.4959481392334824</v>
      </c>
      <c r="P128" s="14">
        <f t="shared" si="13"/>
        <v>489.72383621841698</v>
      </c>
      <c r="Q128" s="14">
        <f t="shared" si="14"/>
        <v>481.06909999999999</v>
      </c>
      <c r="R128" s="14" t="str">
        <f t="shared" si="15"/>
        <v>Aug</v>
      </c>
    </row>
    <row r="129" spans="1:18" x14ac:dyDescent="0.3">
      <c r="A129" t="s">
        <v>1738</v>
      </c>
      <c r="B129" s="1">
        <v>45916</v>
      </c>
      <c r="C129" t="s">
        <v>881</v>
      </c>
      <c r="D129" t="s">
        <v>1519</v>
      </c>
      <c r="E129" t="s">
        <v>1561</v>
      </c>
      <c r="F129">
        <v>3</v>
      </c>
      <c r="G129" s="14">
        <v>949.19</v>
      </c>
      <c r="H129" s="17">
        <v>0.03</v>
      </c>
      <c r="I129" t="s">
        <v>1614</v>
      </c>
      <c r="J129" s="14">
        <v>2762.1428999999998</v>
      </c>
      <c r="K129" s="14">
        <f t="shared" si="8"/>
        <v>635325.77383188379</v>
      </c>
      <c r="L129" s="14">
        <f t="shared" si="9"/>
        <v>621</v>
      </c>
      <c r="M129" s="14" t="str">
        <f t="shared" si="10"/>
        <v>16-09-2025</v>
      </c>
      <c r="N129" s="14">
        <f t="shared" si="11"/>
        <v>0.15292148958057344</v>
      </c>
      <c r="O129" s="20">
        <f t="shared" si="12"/>
        <v>2.49674768393644</v>
      </c>
      <c r="P129" s="14">
        <f t="shared" si="13"/>
        <v>489.45298845583989</v>
      </c>
      <c r="Q129" s="14">
        <f t="shared" si="14"/>
        <v>928.59072500000002</v>
      </c>
      <c r="R129" s="14" t="str">
        <f t="shared" si="15"/>
        <v>Sep</v>
      </c>
    </row>
    <row r="130" spans="1:18" x14ac:dyDescent="0.3">
      <c r="A130" t="s">
        <v>1739</v>
      </c>
      <c r="B130" s="1">
        <v>45347</v>
      </c>
      <c r="C130" t="s">
        <v>1218</v>
      </c>
      <c r="D130" t="s">
        <v>1521</v>
      </c>
      <c r="E130" t="s">
        <v>1571</v>
      </c>
      <c r="F130">
        <v>2</v>
      </c>
      <c r="G130" s="14">
        <v>724.97</v>
      </c>
      <c r="H130" s="17">
        <v>0.1</v>
      </c>
      <c r="I130" t="s">
        <v>1609</v>
      </c>
      <c r="J130" s="14">
        <v>1304.9459999999999</v>
      </c>
      <c r="K130" s="14">
        <f t="shared" ref="K130:K193" si="16">SUMIF(I130:I2129,"Credit Card",J130:J2129)</f>
        <v>635325.77383188379</v>
      </c>
      <c r="L130" s="14">
        <f t="shared" ref="L130:L193" si="17">COUNTIF(I130:I2129,"Credit Card")</f>
        <v>621</v>
      </c>
      <c r="M130" s="14" t="str">
        <f t="shared" ref="M130:M193" si="18">TEXT(B130:B2129,"dd-mm-yyyy")</f>
        <v>25-02-2024</v>
      </c>
      <c r="N130" s="14">
        <f t="shared" ref="N130:N193" si="19">AVERAGE(H130:H2129)</f>
        <v>0.15298725816782899</v>
      </c>
      <c r="O130" s="20">
        <f t="shared" ref="O130:O193" si="20">AVERAGE(F130:F2129)</f>
        <v>2.4964785650508436</v>
      </c>
      <c r="P130" s="14">
        <f t="shared" ref="P130:P193" si="21">AVERAGE(G130:G2129)</f>
        <v>489.20713978656499</v>
      </c>
      <c r="Q130" s="14">
        <f t="shared" ref="Q130:Q193" si="22">AVERAGE(F130,G130,H130,J130)</f>
        <v>508.00400000000002</v>
      </c>
      <c r="R130" s="14" t="str">
        <f t="shared" ref="R130:R193" si="23">TEXT(M130,"mmm")</f>
        <v>Feb</v>
      </c>
    </row>
    <row r="131" spans="1:18" x14ac:dyDescent="0.3">
      <c r="A131" t="s">
        <v>1740</v>
      </c>
      <c r="B131" s="1">
        <v>45723</v>
      </c>
      <c r="C131" t="s">
        <v>993</v>
      </c>
      <c r="D131" t="s">
        <v>1331</v>
      </c>
      <c r="E131" t="s">
        <v>1589</v>
      </c>
      <c r="F131">
        <v>1</v>
      </c>
      <c r="G131" s="14">
        <v>783.25</v>
      </c>
      <c r="H131" s="17">
        <v>0.3</v>
      </c>
      <c r="I131" t="s">
        <v>1609</v>
      </c>
      <c r="J131" s="14">
        <v>548.27499999999998</v>
      </c>
      <c r="K131" s="14">
        <f t="shared" si="16"/>
        <v>634020.82783188403</v>
      </c>
      <c r="L131" s="14">
        <f t="shared" si="17"/>
        <v>620</v>
      </c>
      <c r="M131" s="14" t="str">
        <f t="shared" si="18"/>
        <v>07-03-2025</v>
      </c>
      <c r="N131" s="14">
        <f t="shared" si="19"/>
        <v>0.15301562393772614</v>
      </c>
      <c r="O131" s="20">
        <f t="shared" si="20"/>
        <v>2.4967442036624279</v>
      </c>
      <c r="P131" s="14">
        <f t="shared" si="21"/>
        <v>489.08099593412345</v>
      </c>
      <c r="Q131" s="14">
        <f t="shared" si="22"/>
        <v>333.20624999999995</v>
      </c>
      <c r="R131" s="14" t="str">
        <f t="shared" si="23"/>
        <v>Mar</v>
      </c>
    </row>
    <row r="132" spans="1:18" x14ac:dyDescent="0.3">
      <c r="A132" t="s">
        <v>1741</v>
      </c>
      <c r="B132" s="1">
        <v>45495</v>
      </c>
      <c r="C132" t="s">
        <v>1077</v>
      </c>
      <c r="D132" t="s">
        <v>1367</v>
      </c>
      <c r="E132" t="s">
        <v>1551</v>
      </c>
      <c r="F132">
        <v>1</v>
      </c>
      <c r="G132" s="14">
        <v>942.38</v>
      </c>
      <c r="H132" s="17">
        <v>0.17</v>
      </c>
      <c r="I132" t="s">
        <v>1609</v>
      </c>
      <c r="J132" s="14">
        <v>782.17539999999997</v>
      </c>
      <c r="K132" s="14">
        <f t="shared" si="16"/>
        <v>633472.55283188401</v>
      </c>
      <c r="L132" s="14">
        <f t="shared" si="17"/>
        <v>619</v>
      </c>
      <c r="M132" s="14" t="str">
        <f t="shared" si="18"/>
        <v>22-07-2024</v>
      </c>
      <c r="N132" s="14">
        <f t="shared" si="19"/>
        <v>0.15293689636618765</v>
      </c>
      <c r="O132" s="20">
        <f t="shared" si="20"/>
        <v>2.4975454585894421</v>
      </c>
      <c r="P132" s="14">
        <f t="shared" si="21"/>
        <v>488.92351788055493</v>
      </c>
      <c r="Q132" s="14">
        <f t="shared" si="22"/>
        <v>431.43134999999995</v>
      </c>
      <c r="R132" s="14" t="str">
        <f t="shared" si="23"/>
        <v>Jul</v>
      </c>
    </row>
    <row r="133" spans="1:18" x14ac:dyDescent="0.3">
      <c r="A133" t="s">
        <v>1742</v>
      </c>
      <c r="B133" s="1">
        <v>45444</v>
      </c>
      <c r="C133" t="s">
        <v>1317</v>
      </c>
      <c r="D133" t="s">
        <v>1435</v>
      </c>
      <c r="E133" t="s">
        <v>1577</v>
      </c>
      <c r="F133">
        <v>3</v>
      </c>
      <c r="G133" s="14">
        <v>298.35000000000002</v>
      </c>
      <c r="H133" s="17">
        <v>0.05</v>
      </c>
      <c r="I133" t="s">
        <v>1614</v>
      </c>
      <c r="J133" s="14">
        <v>850.29750000000001</v>
      </c>
      <c r="K133" s="14">
        <f t="shared" si="16"/>
        <v>632690.37743188394</v>
      </c>
      <c r="L133" s="14">
        <f t="shared" si="17"/>
        <v>618</v>
      </c>
      <c r="M133" s="14" t="str">
        <f t="shared" si="18"/>
        <v>01-06-2024</v>
      </c>
      <c r="N133" s="14">
        <f t="shared" si="19"/>
        <v>0.15292775215202165</v>
      </c>
      <c r="O133" s="20">
        <f t="shared" si="20"/>
        <v>2.4983475718506041</v>
      </c>
      <c r="P133" s="14">
        <f t="shared" si="21"/>
        <v>488.68063813651668</v>
      </c>
      <c r="Q133" s="14">
        <f t="shared" si="22"/>
        <v>287.924375</v>
      </c>
      <c r="R133" s="14" t="str">
        <f t="shared" si="23"/>
        <v>Jun</v>
      </c>
    </row>
    <row r="134" spans="1:18" x14ac:dyDescent="0.3">
      <c r="A134" t="s">
        <v>1743</v>
      </c>
      <c r="B134" s="1">
        <v>45662</v>
      </c>
      <c r="C134" t="s">
        <v>547</v>
      </c>
      <c r="D134" t="s">
        <v>1429</v>
      </c>
      <c r="E134" t="s">
        <v>1579</v>
      </c>
      <c r="F134">
        <v>4</v>
      </c>
      <c r="G134" s="14">
        <v>950.04</v>
      </c>
      <c r="H134" s="17">
        <v>0.13</v>
      </c>
      <c r="I134" t="s">
        <v>1611</v>
      </c>
      <c r="J134" s="14">
        <v>3306.1392000000001</v>
      </c>
      <c r="K134" s="14">
        <f t="shared" si="16"/>
        <v>632690.37743188394</v>
      </c>
      <c r="L134" s="14">
        <f t="shared" si="17"/>
        <v>618</v>
      </c>
      <c r="M134" s="14" t="str">
        <f t="shared" si="18"/>
        <v>05-01-2025</v>
      </c>
      <c r="N134" s="14">
        <f t="shared" si="19"/>
        <v>0.15298294129526668</v>
      </c>
      <c r="O134" s="20">
        <f t="shared" si="20"/>
        <v>2.4980787334646726</v>
      </c>
      <c r="P134" s="14">
        <f t="shared" si="21"/>
        <v>488.78263740668632</v>
      </c>
      <c r="Q134" s="14">
        <f t="shared" si="22"/>
        <v>1065.0772999999999</v>
      </c>
      <c r="R134" s="14" t="str">
        <f t="shared" si="23"/>
        <v>Jan</v>
      </c>
    </row>
    <row r="135" spans="1:18" x14ac:dyDescent="0.3">
      <c r="A135" t="s">
        <v>1744</v>
      </c>
      <c r="B135" s="1">
        <v>45910</v>
      </c>
      <c r="C135" t="s">
        <v>1035</v>
      </c>
      <c r="D135" t="s">
        <v>1447</v>
      </c>
      <c r="E135" t="s">
        <v>1554</v>
      </c>
      <c r="F135">
        <v>2</v>
      </c>
      <c r="G135" s="14">
        <v>267.19</v>
      </c>
      <c r="H135" s="17">
        <v>7.0000000000000007E-2</v>
      </c>
      <c r="I135" t="s">
        <v>1609</v>
      </c>
      <c r="J135" s="14">
        <v>496.97340000000003</v>
      </c>
      <c r="K135" s="14">
        <f t="shared" si="16"/>
        <v>632690.37743188394</v>
      </c>
      <c r="L135" s="14">
        <f t="shared" si="17"/>
        <v>618</v>
      </c>
      <c r="M135" s="14" t="str">
        <f t="shared" si="18"/>
        <v>10-09-2025</v>
      </c>
      <c r="N135" s="14">
        <f t="shared" si="19"/>
        <v>0.15299527119939502</v>
      </c>
      <c r="O135" s="20">
        <f t="shared" si="20"/>
        <v>2.4972734137507127</v>
      </c>
      <c r="P135" s="14">
        <f t="shared" si="21"/>
        <v>488.53531442406256</v>
      </c>
      <c r="Q135" s="14">
        <f t="shared" si="22"/>
        <v>191.55835000000002</v>
      </c>
      <c r="R135" s="14" t="str">
        <f t="shared" si="23"/>
        <v>Sep</v>
      </c>
    </row>
    <row r="136" spans="1:18" x14ac:dyDescent="0.3">
      <c r="A136" t="s">
        <v>1745</v>
      </c>
      <c r="B136" s="1">
        <v>45827</v>
      </c>
      <c r="C136" t="s">
        <v>657</v>
      </c>
      <c r="D136" t="s">
        <v>1507</v>
      </c>
      <c r="E136" t="s">
        <v>1586</v>
      </c>
      <c r="F136">
        <v>4</v>
      </c>
      <c r="G136" s="14">
        <v>72.63</v>
      </c>
      <c r="H136" s="17">
        <v>0.06</v>
      </c>
      <c r="I136" t="s">
        <v>1611</v>
      </c>
      <c r="J136" s="14">
        <v>273.08879999999999</v>
      </c>
      <c r="K136" s="14">
        <f t="shared" si="16"/>
        <v>632193.40403188393</v>
      </c>
      <c r="L136" s="14">
        <f t="shared" si="17"/>
        <v>617</v>
      </c>
      <c r="M136" s="14" t="str">
        <f t="shared" si="18"/>
        <v>19-06-2025</v>
      </c>
      <c r="N136" s="14">
        <f t="shared" si="19"/>
        <v>0.15303982045929809</v>
      </c>
      <c r="O136" s="20">
        <f t="shared" si="20"/>
        <v>2.4975401913331967</v>
      </c>
      <c r="P136" s="14">
        <f t="shared" si="21"/>
        <v>488.65406191034157</v>
      </c>
      <c r="Q136" s="14">
        <f t="shared" si="22"/>
        <v>87.444699999999997</v>
      </c>
      <c r="R136" s="14" t="str">
        <f t="shared" si="23"/>
        <v>Jun</v>
      </c>
    </row>
    <row r="137" spans="1:18" x14ac:dyDescent="0.3">
      <c r="A137" t="s">
        <v>1746</v>
      </c>
      <c r="B137" s="1">
        <v>45544</v>
      </c>
      <c r="C137" t="s">
        <v>1248</v>
      </c>
      <c r="D137" t="s">
        <v>1439</v>
      </c>
      <c r="E137" t="s">
        <v>1558</v>
      </c>
      <c r="F137">
        <v>3</v>
      </c>
      <c r="G137" s="14">
        <v>576.52</v>
      </c>
      <c r="H137" s="17">
        <v>0.22</v>
      </c>
      <c r="I137" t="s">
        <v>1614</v>
      </c>
      <c r="J137" s="14">
        <v>1349.0568000000001</v>
      </c>
      <c r="K137" s="14">
        <f t="shared" si="16"/>
        <v>632193.40403188393</v>
      </c>
      <c r="L137" s="14">
        <f t="shared" si="17"/>
        <v>617</v>
      </c>
      <c r="M137" s="14" t="str">
        <f t="shared" si="18"/>
        <v>09-09-2024</v>
      </c>
      <c r="N137" s="14">
        <f t="shared" si="19"/>
        <v>0.15308978813945884</v>
      </c>
      <c r="O137" s="20">
        <f t="shared" si="20"/>
        <v>2.4967337180059466</v>
      </c>
      <c r="P137" s="14">
        <f t="shared" si="21"/>
        <v>488.87737058554842</v>
      </c>
      <c r="Q137" s="14">
        <f t="shared" si="22"/>
        <v>482.19920000000002</v>
      </c>
      <c r="R137" s="14" t="str">
        <f t="shared" si="23"/>
        <v>Sep</v>
      </c>
    </row>
    <row r="138" spans="1:18" x14ac:dyDescent="0.3">
      <c r="A138" t="s">
        <v>1747</v>
      </c>
      <c r="B138" s="1">
        <v>45751</v>
      </c>
      <c r="C138" t="s">
        <v>1095</v>
      </c>
      <c r="D138" t="s">
        <v>1475</v>
      </c>
      <c r="E138" t="s">
        <v>1571</v>
      </c>
      <c r="F138">
        <v>3</v>
      </c>
      <c r="G138" s="14">
        <v>849.36</v>
      </c>
      <c r="H138" s="17">
        <v>0.03</v>
      </c>
      <c r="I138" t="s">
        <v>1609</v>
      </c>
      <c r="J138" s="14">
        <v>2471.6376</v>
      </c>
      <c r="K138" s="14">
        <f t="shared" si="16"/>
        <v>632193.40403188393</v>
      </c>
      <c r="L138" s="14">
        <f t="shared" si="17"/>
        <v>617</v>
      </c>
      <c r="M138" s="14" t="str">
        <f t="shared" si="18"/>
        <v>04-04-2025</v>
      </c>
      <c r="N138" s="14">
        <f t="shared" si="19"/>
        <v>0.15305383423733063</v>
      </c>
      <c r="O138" s="20">
        <f t="shared" si="20"/>
        <v>2.4964634353625552</v>
      </c>
      <c r="P138" s="14">
        <f t="shared" si="21"/>
        <v>488.83030150423025</v>
      </c>
      <c r="Q138" s="14">
        <f t="shared" si="22"/>
        <v>831.00689999999997</v>
      </c>
      <c r="R138" s="14" t="str">
        <f t="shared" si="23"/>
        <v>Apr</v>
      </c>
    </row>
    <row r="139" spans="1:18" x14ac:dyDescent="0.3">
      <c r="A139" t="s">
        <v>1748</v>
      </c>
      <c r="B139" s="1">
        <v>45392</v>
      </c>
      <c r="C139" t="s">
        <v>1294</v>
      </c>
      <c r="D139" t="s">
        <v>1433</v>
      </c>
      <c r="E139" t="s">
        <v>1561</v>
      </c>
      <c r="F139">
        <v>1</v>
      </c>
      <c r="G139" s="14">
        <v>245.85</v>
      </c>
      <c r="H139" s="17">
        <v>0.18</v>
      </c>
      <c r="I139" t="s">
        <v>1614</v>
      </c>
      <c r="J139" s="14">
        <v>201.59700000000001</v>
      </c>
      <c r="K139" s="14">
        <f t="shared" si="16"/>
        <v>629721.76643188403</v>
      </c>
      <c r="L139" s="14">
        <f t="shared" si="17"/>
        <v>616</v>
      </c>
      <c r="M139" s="14" t="str">
        <f t="shared" si="18"/>
        <v>10-04-2024</v>
      </c>
      <c r="N139" s="14">
        <f t="shared" si="19"/>
        <v>0.15311999221272707</v>
      </c>
      <c r="O139" s="20">
        <f t="shared" si="20"/>
        <v>2.496192862248833</v>
      </c>
      <c r="P139" s="14">
        <f t="shared" si="21"/>
        <v>488.63657248838081</v>
      </c>
      <c r="Q139" s="14">
        <f t="shared" si="22"/>
        <v>112.15675</v>
      </c>
      <c r="R139" s="14" t="str">
        <f t="shared" si="23"/>
        <v>Apr</v>
      </c>
    </row>
    <row r="140" spans="1:18" x14ac:dyDescent="0.3">
      <c r="A140" t="s">
        <v>1749</v>
      </c>
      <c r="B140" s="1">
        <v>45589</v>
      </c>
      <c r="C140" t="s">
        <v>589</v>
      </c>
      <c r="D140" t="s">
        <v>1527</v>
      </c>
      <c r="E140" t="s">
        <v>1574</v>
      </c>
      <c r="F140">
        <v>3</v>
      </c>
      <c r="G140" s="14">
        <v>237.68</v>
      </c>
      <c r="H140" s="17">
        <v>0.1</v>
      </c>
      <c r="I140" t="s">
        <v>1614</v>
      </c>
      <c r="J140" s="14">
        <v>641.73599999999999</v>
      </c>
      <c r="K140" s="14">
        <f t="shared" si="16"/>
        <v>629721.76643188403</v>
      </c>
      <c r="L140" s="14">
        <f t="shared" si="17"/>
        <v>616</v>
      </c>
      <c r="M140" s="14" t="str">
        <f t="shared" si="18"/>
        <v>24-10-2024</v>
      </c>
      <c r="N140" s="14">
        <f t="shared" si="19"/>
        <v>0.15310553282177103</v>
      </c>
      <c r="O140" s="20">
        <f t="shared" si="20"/>
        <v>2.4969972670134828</v>
      </c>
      <c r="P140" s="14">
        <f t="shared" si="21"/>
        <v>488.76710290369715</v>
      </c>
      <c r="Q140" s="14">
        <f t="shared" si="22"/>
        <v>220.62899999999999</v>
      </c>
      <c r="R140" s="14" t="str">
        <f t="shared" si="23"/>
        <v>Oct</v>
      </c>
    </row>
    <row r="141" spans="1:18" x14ac:dyDescent="0.3">
      <c r="A141" t="s">
        <v>1750</v>
      </c>
      <c r="B141" s="1">
        <v>45756</v>
      </c>
      <c r="C141" t="s">
        <v>1059</v>
      </c>
      <c r="D141" t="s">
        <v>1475</v>
      </c>
      <c r="E141" t="s">
        <v>1584</v>
      </c>
      <c r="F141">
        <v>4</v>
      </c>
      <c r="G141" s="14">
        <v>715.85</v>
      </c>
      <c r="H141" s="17">
        <v>0.25</v>
      </c>
      <c r="I141" t="s">
        <v>1611</v>
      </c>
      <c r="J141" s="14">
        <v>2147.5500000000002</v>
      </c>
      <c r="K141" s="14">
        <f t="shared" si="16"/>
        <v>629721.76643188403</v>
      </c>
      <c r="L141" s="14">
        <f t="shared" si="17"/>
        <v>616</v>
      </c>
      <c r="M141" s="14" t="str">
        <f t="shared" si="18"/>
        <v>09-04-2025</v>
      </c>
      <c r="N141" s="14">
        <f t="shared" si="19"/>
        <v>0.15313411491693885</v>
      </c>
      <c r="O141" s="20">
        <f t="shared" si="20"/>
        <v>2.4967266899650773</v>
      </c>
      <c r="P141" s="14">
        <f t="shared" si="21"/>
        <v>488.9021685857324</v>
      </c>
      <c r="Q141" s="14">
        <f t="shared" si="22"/>
        <v>716.91250000000002</v>
      </c>
      <c r="R141" s="14" t="str">
        <f t="shared" si="23"/>
        <v>Apr</v>
      </c>
    </row>
    <row r="142" spans="1:18" x14ac:dyDescent="0.3">
      <c r="A142" t="s">
        <v>1751</v>
      </c>
      <c r="B142" s="1">
        <v>45255</v>
      </c>
      <c r="C142" t="s">
        <v>568</v>
      </c>
      <c r="D142" t="s">
        <v>1513</v>
      </c>
      <c r="E142" t="s">
        <v>1558</v>
      </c>
      <c r="F142">
        <v>2</v>
      </c>
      <c r="G142" s="14">
        <v>478.85</v>
      </c>
      <c r="H142" s="17">
        <v>0.01</v>
      </c>
      <c r="I142" t="s">
        <v>1614</v>
      </c>
      <c r="J142" s="14">
        <v>948.12300000000005</v>
      </c>
      <c r="K142" s="14">
        <f t="shared" si="16"/>
        <v>629721.76643188403</v>
      </c>
      <c r="L142" s="14">
        <f t="shared" si="17"/>
        <v>616</v>
      </c>
      <c r="M142" s="14" t="str">
        <f t="shared" si="18"/>
        <v>25-11-2023</v>
      </c>
      <c r="N142" s="14">
        <f t="shared" si="19"/>
        <v>0.15308195235092747</v>
      </c>
      <c r="O142" s="20">
        <f t="shared" si="20"/>
        <v>2.4959176085280297</v>
      </c>
      <c r="P142" s="14">
        <f t="shared" si="21"/>
        <v>488.78002228249551</v>
      </c>
      <c r="Q142" s="14">
        <f t="shared" si="22"/>
        <v>357.24575000000004</v>
      </c>
      <c r="R142" s="14" t="str">
        <f t="shared" si="23"/>
        <v>Nov</v>
      </c>
    </row>
    <row r="143" spans="1:18" x14ac:dyDescent="0.3">
      <c r="A143" t="s">
        <v>1752</v>
      </c>
      <c r="B143" s="1">
        <v>45718</v>
      </c>
      <c r="C143" t="s">
        <v>396</v>
      </c>
      <c r="D143" t="s">
        <v>1427</v>
      </c>
      <c r="E143" t="s">
        <v>1537</v>
      </c>
      <c r="F143">
        <v>1</v>
      </c>
      <c r="G143" s="14">
        <v>503.95</v>
      </c>
      <c r="H143" s="17">
        <v>0.26</v>
      </c>
      <c r="I143" t="s">
        <v>1614</v>
      </c>
      <c r="J143" s="14">
        <v>372.923</v>
      </c>
      <c r="K143" s="14">
        <f t="shared" si="16"/>
        <v>629721.76643188403</v>
      </c>
      <c r="L143" s="14">
        <f t="shared" si="17"/>
        <v>616</v>
      </c>
      <c r="M143" s="14" t="str">
        <f t="shared" si="18"/>
        <v>02-03-2025</v>
      </c>
      <c r="N143" s="14">
        <f t="shared" si="19"/>
        <v>0.15315904392008206</v>
      </c>
      <c r="O143" s="20">
        <f t="shared" si="20"/>
        <v>2.4961846616290138</v>
      </c>
      <c r="P143" s="14">
        <f t="shared" si="21"/>
        <v>488.78536962890507</v>
      </c>
      <c r="Q143" s="14">
        <f t="shared" si="22"/>
        <v>219.53325000000001</v>
      </c>
      <c r="R143" s="14" t="str">
        <f t="shared" si="23"/>
        <v>Mar</v>
      </c>
    </row>
    <row r="144" spans="1:18" x14ac:dyDescent="0.3">
      <c r="A144" t="s">
        <v>1753</v>
      </c>
      <c r="B144" s="1">
        <v>45573</v>
      </c>
      <c r="C144" t="s">
        <v>1220</v>
      </c>
      <c r="D144" t="s">
        <v>1465</v>
      </c>
      <c r="E144" t="s">
        <v>1579</v>
      </c>
      <c r="F144">
        <v>2</v>
      </c>
      <c r="G144" s="14">
        <v>975.48</v>
      </c>
      <c r="H144" s="17">
        <v>0.26</v>
      </c>
      <c r="I144" t="s">
        <v>1614</v>
      </c>
      <c r="J144" s="14">
        <v>1443.7103999999999</v>
      </c>
      <c r="K144" s="14">
        <f t="shared" si="16"/>
        <v>629721.76643188403</v>
      </c>
      <c r="L144" s="14">
        <f t="shared" si="17"/>
        <v>616</v>
      </c>
      <c r="M144" s="14" t="str">
        <f t="shared" si="18"/>
        <v>08-10-2024</v>
      </c>
      <c r="N144" s="14">
        <f t="shared" si="19"/>
        <v>0.15310144771734355</v>
      </c>
      <c r="O144" s="20">
        <f t="shared" si="20"/>
        <v>2.4969907956061848</v>
      </c>
      <c r="P144" s="14">
        <f t="shared" si="21"/>
        <v>488.77719903064479</v>
      </c>
      <c r="Q144" s="14">
        <f t="shared" si="22"/>
        <v>605.36259999999993</v>
      </c>
      <c r="R144" s="14" t="str">
        <f t="shared" si="23"/>
        <v>Oct</v>
      </c>
    </row>
    <row r="145" spans="1:18" x14ac:dyDescent="0.3">
      <c r="A145" t="s">
        <v>1754</v>
      </c>
      <c r="B145" s="1">
        <v>45884</v>
      </c>
      <c r="C145" t="s">
        <v>1222</v>
      </c>
      <c r="D145" t="s">
        <v>1401</v>
      </c>
      <c r="E145" t="s">
        <v>1589</v>
      </c>
      <c r="F145">
        <v>4</v>
      </c>
      <c r="G145" s="14">
        <v>450.12</v>
      </c>
      <c r="H145" s="17">
        <v>0.28999999999999998</v>
      </c>
      <c r="I145" t="s">
        <v>1614</v>
      </c>
      <c r="J145" s="14">
        <v>1278.3407999999999</v>
      </c>
      <c r="K145" s="14">
        <f t="shared" si="16"/>
        <v>629721.76643188403</v>
      </c>
      <c r="L145" s="14">
        <f t="shared" si="17"/>
        <v>616</v>
      </c>
      <c r="M145" s="14" t="str">
        <f t="shared" si="18"/>
        <v>15-08-2025</v>
      </c>
      <c r="N145" s="14">
        <f t="shared" si="19"/>
        <v>0.15304378938277902</v>
      </c>
      <c r="O145" s="20">
        <f t="shared" si="20"/>
        <v>2.4972587151725492</v>
      </c>
      <c r="P145" s="14">
        <f t="shared" si="21"/>
        <v>488.51482555303323</v>
      </c>
      <c r="Q145" s="14">
        <f t="shared" si="22"/>
        <v>433.18770000000001</v>
      </c>
      <c r="R145" s="14" t="str">
        <f t="shared" si="23"/>
        <v>Aug</v>
      </c>
    </row>
    <row r="146" spans="1:18" x14ac:dyDescent="0.3">
      <c r="A146" t="s">
        <v>1755</v>
      </c>
      <c r="B146" s="1">
        <v>45448</v>
      </c>
      <c r="C146" t="s">
        <v>1256</v>
      </c>
      <c r="D146" t="s">
        <v>1405</v>
      </c>
      <c r="E146" t="s">
        <v>1567</v>
      </c>
      <c r="F146">
        <v>3</v>
      </c>
      <c r="G146" s="14">
        <v>237.24</v>
      </c>
      <c r="H146" s="17">
        <v>0.24</v>
      </c>
      <c r="I146" t="s">
        <v>1611</v>
      </c>
      <c r="J146" s="14">
        <v>540.90719999999999</v>
      </c>
      <c r="K146" s="14">
        <f t="shared" si="16"/>
        <v>629721.76643188403</v>
      </c>
      <c r="L146" s="14">
        <f t="shared" si="17"/>
        <v>616</v>
      </c>
      <c r="M146" s="14" t="str">
        <f t="shared" si="18"/>
        <v>05-06-2024</v>
      </c>
      <c r="N146" s="14">
        <f t="shared" si="19"/>
        <v>0.15296987885357383</v>
      </c>
      <c r="O146" s="20">
        <f t="shared" si="20"/>
        <v>2.4964481751052201</v>
      </c>
      <c r="P146" s="14">
        <f t="shared" si="21"/>
        <v>488.5355347361795</v>
      </c>
      <c r="Q146" s="14">
        <f t="shared" si="22"/>
        <v>195.3468</v>
      </c>
      <c r="R146" s="14" t="str">
        <f t="shared" si="23"/>
        <v>Jun</v>
      </c>
    </row>
    <row r="147" spans="1:18" x14ac:dyDescent="0.3">
      <c r="A147" t="s">
        <v>1756</v>
      </c>
      <c r="B147" s="1">
        <v>45522</v>
      </c>
      <c r="C147" t="s">
        <v>1280</v>
      </c>
      <c r="D147" t="s">
        <v>1441</v>
      </c>
      <c r="E147" t="s">
        <v>1586</v>
      </c>
      <c r="F147">
        <v>2</v>
      </c>
      <c r="G147" s="14">
        <v>536.84</v>
      </c>
      <c r="H147" s="17">
        <v>0.09</v>
      </c>
      <c r="I147" t="s">
        <v>1614</v>
      </c>
      <c r="J147" s="14">
        <v>977.04880000000014</v>
      </c>
      <c r="K147" s="14">
        <f t="shared" si="16"/>
        <v>629721.76643188403</v>
      </c>
      <c r="L147" s="14">
        <f t="shared" si="17"/>
        <v>616</v>
      </c>
      <c r="M147" s="14" t="str">
        <f t="shared" si="18"/>
        <v>18-08-2024</v>
      </c>
      <c r="N147" s="14">
        <f t="shared" si="19"/>
        <v>0.15292288634755521</v>
      </c>
      <c r="O147" s="20">
        <f t="shared" si="20"/>
        <v>2.4961764256044674</v>
      </c>
      <c r="P147" s="14">
        <f t="shared" si="21"/>
        <v>488.67115024332259</v>
      </c>
      <c r="Q147" s="14">
        <f t="shared" si="22"/>
        <v>378.99470000000008</v>
      </c>
      <c r="R147" s="14" t="str">
        <f t="shared" si="23"/>
        <v>Aug</v>
      </c>
    </row>
    <row r="148" spans="1:18" x14ac:dyDescent="0.3">
      <c r="A148" t="s">
        <v>1757</v>
      </c>
      <c r="B148" s="1">
        <v>45626</v>
      </c>
      <c r="C148" t="s">
        <v>1264</v>
      </c>
      <c r="D148" t="s">
        <v>1405</v>
      </c>
      <c r="E148" t="s">
        <v>1598</v>
      </c>
      <c r="F148">
        <v>3</v>
      </c>
      <c r="G148" s="14">
        <v>584.41</v>
      </c>
      <c r="H148" s="17">
        <v>0.15</v>
      </c>
      <c r="I148" t="s">
        <v>1614</v>
      </c>
      <c r="J148" s="14">
        <v>1753.23</v>
      </c>
      <c r="K148" s="14">
        <f t="shared" si="16"/>
        <v>629721.76643188403</v>
      </c>
      <c r="L148" s="14">
        <f t="shared" si="17"/>
        <v>616</v>
      </c>
      <c r="M148" s="14" t="str">
        <f t="shared" si="18"/>
        <v>30-11-2024</v>
      </c>
      <c r="N148" s="14">
        <f t="shared" si="19"/>
        <v>0.152956880343421</v>
      </c>
      <c r="O148" s="20">
        <f t="shared" si="20"/>
        <v>2.4964443394411875</v>
      </c>
      <c r="P148" s="14">
        <f t="shared" si="21"/>
        <v>488.64514114518187</v>
      </c>
      <c r="Q148" s="14">
        <f t="shared" si="22"/>
        <v>585.19749999999999</v>
      </c>
      <c r="R148" s="14" t="str">
        <f t="shared" si="23"/>
        <v>Nov</v>
      </c>
    </row>
    <row r="149" spans="1:18" x14ac:dyDescent="0.3">
      <c r="A149" t="s">
        <v>1758</v>
      </c>
      <c r="B149" s="1">
        <v>45617</v>
      </c>
      <c r="C149" t="s">
        <v>932</v>
      </c>
      <c r="D149" t="s">
        <v>1497</v>
      </c>
      <c r="E149" t="s">
        <v>1598</v>
      </c>
      <c r="F149">
        <v>1</v>
      </c>
      <c r="G149" s="14">
        <v>653.87</v>
      </c>
      <c r="H149" s="17">
        <v>0.14000000000000001</v>
      </c>
      <c r="I149" t="s">
        <v>1611</v>
      </c>
      <c r="J149" s="14">
        <v>562.32820000000004</v>
      </c>
      <c r="K149" s="14">
        <f t="shared" si="16"/>
        <v>629721.76643188403</v>
      </c>
      <c r="L149" s="14">
        <f t="shared" si="17"/>
        <v>616</v>
      </c>
      <c r="M149" s="14" t="str">
        <f t="shared" si="18"/>
        <v>21-11-2024</v>
      </c>
      <c r="N149" s="14">
        <f t="shared" si="19"/>
        <v>0.15295847865712017</v>
      </c>
      <c r="O149" s="20">
        <f t="shared" si="20"/>
        <v>2.4961722942436944</v>
      </c>
      <c r="P149" s="14">
        <f t="shared" si="21"/>
        <v>488.59340432246182</v>
      </c>
      <c r="Q149" s="14">
        <f t="shared" si="22"/>
        <v>304.33455000000004</v>
      </c>
      <c r="R149" s="14" t="str">
        <f t="shared" si="23"/>
        <v>Nov</v>
      </c>
    </row>
    <row r="150" spans="1:18" x14ac:dyDescent="0.3">
      <c r="A150" t="s">
        <v>1759</v>
      </c>
      <c r="B150" s="1">
        <v>45878</v>
      </c>
      <c r="C150" t="s">
        <v>1314</v>
      </c>
      <c r="D150" t="s">
        <v>1507</v>
      </c>
      <c r="E150" t="s">
        <v>1537</v>
      </c>
      <c r="F150">
        <v>1</v>
      </c>
      <c r="G150" s="14">
        <v>652.03</v>
      </c>
      <c r="H150" s="17">
        <v>0.27</v>
      </c>
      <c r="I150" t="s">
        <v>1609</v>
      </c>
      <c r="J150" s="14">
        <v>475.9819</v>
      </c>
      <c r="K150" s="14">
        <f t="shared" si="16"/>
        <v>629721.76643188403</v>
      </c>
      <c r="L150" s="14">
        <f t="shared" si="17"/>
        <v>616</v>
      </c>
      <c r="M150" s="14" t="str">
        <f t="shared" si="18"/>
        <v>09-08-2025</v>
      </c>
      <c r="N150" s="14">
        <f t="shared" si="19"/>
        <v>0.15296548702848689</v>
      </c>
      <c r="O150" s="20">
        <f t="shared" si="20"/>
        <v>2.4969810360243665</v>
      </c>
      <c r="P150" s="14">
        <f t="shared" si="21"/>
        <v>488.5040656220956</v>
      </c>
      <c r="Q150" s="14">
        <f t="shared" si="22"/>
        <v>282.32047499999999</v>
      </c>
      <c r="R150" s="14" t="str">
        <f t="shared" si="23"/>
        <v>Aug</v>
      </c>
    </row>
    <row r="151" spans="1:18" x14ac:dyDescent="0.3">
      <c r="A151" t="s">
        <v>1760</v>
      </c>
      <c r="B151" s="1">
        <v>45502</v>
      </c>
      <c r="C151" t="s">
        <v>335</v>
      </c>
      <c r="D151" t="s">
        <v>1340</v>
      </c>
      <c r="E151" t="s">
        <v>1579</v>
      </c>
      <c r="F151">
        <v>3</v>
      </c>
      <c r="G151" s="14">
        <v>513.36</v>
      </c>
      <c r="H151" s="17">
        <v>7.0000000000000007E-2</v>
      </c>
      <c r="I151" t="s">
        <v>1614</v>
      </c>
      <c r="J151" s="14">
        <v>1432.2744</v>
      </c>
      <c r="K151" s="14">
        <f t="shared" si="16"/>
        <v>629245.78453188401</v>
      </c>
      <c r="L151" s="14">
        <f t="shared" si="17"/>
        <v>615</v>
      </c>
      <c r="M151" s="14" t="str">
        <f t="shared" si="18"/>
        <v>29-07-2024</v>
      </c>
      <c r="N151" s="14">
        <f t="shared" si="19"/>
        <v>0.15290215666432483</v>
      </c>
      <c r="O151" s="20">
        <f t="shared" si="20"/>
        <v>2.497790652593336</v>
      </c>
      <c r="P151" s="14">
        <f t="shared" si="21"/>
        <v>488.41562541961969</v>
      </c>
      <c r="Q151" s="14">
        <f t="shared" si="22"/>
        <v>487.17610000000002</v>
      </c>
      <c r="R151" s="14" t="str">
        <f t="shared" si="23"/>
        <v>Jul</v>
      </c>
    </row>
    <row r="152" spans="1:18" x14ac:dyDescent="0.3">
      <c r="A152" t="s">
        <v>1761</v>
      </c>
      <c r="B152" s="1">
        <v>45433</v>
      </c>
      <c r="C152" t="s">
        <v>251</v>
      </c>
      <c r="D152" t="s">
        <v>1437</v>
      </c>
      <c r="E152" t="s">
        <v>1558</v>
      </c>
      <c r="F152">
        <v>4</v>
      </c>
      <c r="G152" s="14">
        <v>355.64</v>
      </c>
      <c r="H152" s="17">
        <v>0.16</v>
      </c>
      <c r="I152" t="s">
        <v>1614</v>
      </c>
      <c r="J152" s="14">
        <v>1194.9503999999999</v>
      </c>
      <c r="K152" s="14">
        <f t="shared" si="16"/>
        <v>629245.78453188401</v>
      </c>
      <c r="L152" s="14">
        <f t="shared" si="17"/>
        <v>615</v>
      </c>
      <c r="M152" s="14" t="str">
        <f t="shared" si="18"/>
        <v>21-05-2024</v>
      </c>
      <c r="N152" s="14">
        <f t="shared" si="19"/>
        <v>0.15294704142700177</v>
      </c>
      <c r="O152" s="20">
        <f t="shared" si="20"/>
        <v>2.4975188942884627</v>
      </c>
      <c r="P152" s="14">
        <f t="shared" si="21"/>
        <v>488.40212738142685</v>
      </c>
      <c r="Q152" s="14">
        <f t="shared" si="22"/>
        <v>388.68759999999997</v>
      </c>
      <c r="R152" s="14" t="str">
        <f t="shared" si="23"/>
        <v>May</v>
      </c>
    </row>
    <row r="153" spans="1:18" x14ac:dyDescent="0.3">
      <c r="A153" t="s">
        <v>1762</v>
      </c>
      <c r="B153" s="1">
        <v>45594</v>
      </c>
      <c r="C153" t="s">
        <v>97</v>
      </c>
      <c r="D153" t="s">
        <v>1359</v>
      </c>
      <c r="E153" t="s">
        <v>1567</v>
      </c>
      <c r="F153">
        <v>4</v>
      </c>
      <c r="G153" s="14">
        <v>535.4</v>
      </c>
      <c r="H153" s="17">
        <v>0.26</v>
      </c>
      <c r="I153" t="s">
        <v>1611</v>
      </c>
      <c r="J153" s="14">
        <v>1584.7840000000001</v>
      </c>
      <c r="K153" s="14">
        <f t="shared" si="16"/>
        <v>629245.78453188401</v>
      </c>
      <c r="L153" s="14">
        <f t="shared" si="17"/>
        <v>615</v>
      </c>
      <c r="M153" s="14" t="str">
        <f t="shared" si="18"/>
        <v>29-10-2024</v>
      </c>
      <c r="N153" s="14">
        <f t="shared" si="19"/>
        <v>0.15294322075605216</v>
      </c>
      <c r="O153" s="20">
        <f t="shared" si="20"/>
        <v>2.4967054231971191</v>
      </c>
      <c r="P153" s="14">
        <f t="shared" si="21"/>
        <v>488.47400725548283</v>
      </c>
      <c r="Q153" s="14">
        <f t="shared" si="22"/>
        <v>531.11099999999999</v>
      </c>
      <c r="R153" s="14" t="str">
        <f t="shared" si="23"/>
        <v>Oct</v>
      </c>
    </row>
    <row r="154" spans="1:18" x14ac:dyDescent="0.3">
      <c r="A154" t="s">
        <v>1763</v>
      </c>
      <c r="B154" s="1">
        <v>45798</v>
      </c>
      <c r="C154" t="s">
        <v>779</v>
      </c>
      <c r="D154" t="s">
        <v>1471</v>
      </c>
      <c r="E154" t="s">
        <v>1598</v>
      </c>
      <c r="F154">
        <v>2</v>
      </c>
      <c r="G154" s="14">
        <v>108.74</v>
      </c>
      <c r="H154" s="17">
        <v>0.11</v>
      </c>
      <c r="I154" t="s">
        <v>1611</v>
      </c>
      <c r="J154" s="14">
        <v>193.55719999999999</v>
      </c>
      <c r="K154" s="14">
        <f t="shared" si="16"/>
        <v>629245.78453188401</v>
      </c>
      <c r="L154" s="14">
        <f t="shared" si="17"/>
        <v>615</v>
      </c>
      <c r="M154" s="14" t="str">
        <f t="shared" si="18"/>
        <v>21-05-2025</v>
      </c>
      <c r="N154" s="14">
        <f t="shared" si="19"/>
        <v>0.15288519540144838</v>
      </c>
      <c r="O154" s="20">
        <f t="shared" si="20"/>
        <v>2.4958910707719815</v>
      </c>
      <c r="P154" s="14">
        <f t="shared" si="21"/>
        <v>488.44858689104916</v>
      </c>
      <c r="Q154" s="14">
        <f t="shared" si="22"/>
        <v>76.101799999999997</v>
      </c>
      <c r="R154" s="14" t="str">
        <f t="shared" si="23"/>
        <v>May</v>
      </c>
    </row>
    <row r="155" spans="1:18" x14ac:dyDescent="0.3">
      <c r="A155" t="s">
        <v>1764</v>
      </c>
      <c r="B155" s="1">
        <v>45579</v>
      </c>
      <c r="C155" t="s">
        <v>990</v>
      </c>
      <c r="D155" t="s">
        <v>1355</v>
      </c>
      <c r="E155" t="s">
        <v>1598</v>
      </c>
      <c r="F155">
        <v>3</v>
      </c>
      <c r="G155" s="14">
        <v>591.98</v>
      </c>
      <c r="H155" s="17">
        <v>0.16</v>
      </c>
      <c r="I155" t="s">
        <v>1609</v>
      </c>
      <c r="J155" s="14">
        <v>1491.7896000000001</v>
      </c>
      <c r="K155" s="14">
        <f t="shared" si="16"/>
        <v>629245.78453188401</v>
      </c>
      <c r="L155" s="14">
        <f t="shared" si="17"/>
        <v>615</v>
      </c>
      <c r="M155" s="14" t="str">
        <f t="shared" si="18"/>
        <v>14-10-2024</v>
      </c>
      <c r="N155" s="14">
        <f t="shared" si="19"/>
        <v>0.15290845201500664</v>
      </c>
      <c r="O155" s="20">
        <f t="shared" si="20"/>
        <v>2.4961598464200963</v>
      </c>
      <c r="P155" s="14">
        <f t="shared" si="21"/>
        <v>488.65439100318525</v>
      </c>
      <c r="Q155" s="14">
        <f t="shared" si="22"/>
        <v>521.73239999999998</v>
      </c>
      <c r="R155" s="14" t="str">
        <f t="shared" si="23"/>
        <v>Oct</v>
      </c>
    </row>
    <row r="156" spans="1:18" x14ac:dyDescent="0.3">
      <c r="A156" t="s">
        <v>1765</v>
      </c>
      <c r="B156" s="1">
        <v>45613</v>
      </c>
      <c r="C156" t="s">
        <v>1226</v>
      </c>
      <c r="D156" t="s">
        <v>1429</v>
      </c>
      <c r="E156" t="s">
        <v>1546</v>
      </c>
      <c r="F156">
        <v>1</v>
      </c>
      <c r="G156" s="14">
        <v>345.06</v>
      </c>
      <c r="H156" s="17">
        <v>0.13</v>
      </c>
      <c r="I156" t="s">
        <v>1614</v>
      </c>
      <c r="J156" s="14">
        <v>300.2022</v>
      </c>
      <c r="K156" s="14">
        <f t="shared" si="16"/>
        <v>627753.99493188399</v>
      </c>
      <c r="L156" s="14">
        <f t="shared" si="17"/>
        <v>614</v>
      </c>
      <c r="M156" s="14" t="str">
        <f t="shared" si="18"/>
        <v>17-11-2024</v>
      </c>
      <c r="N156" s="14">
        <f t="shared" si="19"/>
        <v>0.15290460418647434</v>
      </c>
      <c r="O156" s="20">
        <f t="shared" si="20"/>
        <v>2.4958866142326892</v>
      </c>
      <c r="P156" s="14">
        <f t="shared" si="21"/>
        <v>488.59835759266639</v>
      </c>
      <c r="Q156" s="14">
        <f t="shared" si="22"/>
        <v>161.59805</v>
      </c>
      <c r="R156" s="14" t="str">
        <f t="shared" si="23"/>
        <v>Nov</v>
      </c>
    </row>
    <row r="157" spans="1:18" x14ac:dyDescent="0.3">
      <c r="A157" t="s">
        <v>1766</v>
      </c>
      <c r="B157" s="1">
        <v>45745</v>
      </c>
      <c r="C157" t="s">
        <v>969</v>
      </c>
      <c r="D157" t="s">
        <v>1519</v>
      </c>
      <c r="E157" t="s">
        <v>1579</v>
      </c>
      <c r="F157">
        <v>4</v>
      </c>
      <c r="G157" s="14">
        <v>986.41</v>
      </c>
      <c r="H157" s="17">
        <v>0.22</v>
      </c>
      <c r="I157" t="s">
        <v>1609</v>
      </c>
      <c r="J157" s="14">
        <v>3077.5992000000001</v>
      </c>
      <c r="K157" s="14">
        <f t="shared" si="16"/>
        <v>627753.99493188399</v>
      </c>
      <c r="L157" s="14">
        <f t="shared" si="17"/>
        <v>614</v>
      </c>
      <c r="M157" s="14" t="str">
        <f t="shared" si="18"/>
        <v>29-03-2025</v>
      </c>
      <c r="N157" s="14">
        <f t="shared" si="19"/>
        <v>0.15291703882501206</v>
      </c>
      <c r="O157" s="20">
        <f t="shared" si="20"/>
        <v>2.4966982727320017</v>
      </c>
      <c r="P157" s="14">
        <f t="shared" si="21"/>
        <v>488.67624058647681</v>
      </c>
      <c r="Q157" s="14">
        <f t="shared" si="22"/>
        <v>1017.0573000000001</v>
      </c>
      <c r="R157" s="14" t="str">
        <f t="shared" si="23"/>
        <v>Mar</v>
      </c>
    </row>
    <row r="158" spans="1:18" x14ac:dyDescent="0.3">
      <c r="A158" t="s">
        <v>1767</v>
      </c>
      <c r="B158" s="1">
        <v>45494</v>
      </c>
      <c r="C158" t="s">
        <v>1005</v>
      </c>
      <c r="D158" t="s">
        <v>1431</v>
      </c>
      <c r="E158" t="s">
        <v>1537</v>
      </c>
      <c r="F158">
        <v>2</v>
      </c>
      <c r="G158" s="14">
        <v>921.52</v>
      </c>
      <c r="H158" s="17">
        <v>0.15</v>
      </c>
      <c r="I158" t="s">
        <v>1611</v>
      </c>
      <c r="J158" s="14">
        <v>1843.04</v>
      </c>
      <c r="K158" s="14">
        <f t="shared" si="16"/>
        <v>624676.39573188417</v>
      </c>
      <c r="L158" s="14">
        <f t="shared" si="17"/>
        <v>613</v>
      </c>
      <c r="M158" s="14" t="str">
        <f t="shared" si="18"/>
        <v>21-07-2024</v>
      </c>
      <c r="N158" s="14">
        <f t="shared" si="19"/>
        <v>0.15288060049737764</v>
      </c>
      <c r="O158" s="20">
        <f t="shared" si="20"/>
        <v>2.4958821480157867</v>
      </c>
      <c r="P158" s="14">
        <f t="shared" si="21"/>
        <v>488.40602681915135</v>
      </c>
      <c r="Q158" s="14">
        <f t="shared" si="22"/>
        <v>691.67750000000001</v>
      </c>
      <c r="R158" s="14" t="str">
        <f t="shared" si="23"/>
        <v>Jul</v>
      </c>
    </row>
    <row r="159" spans="1:18" x14ac:dyDescent="0.3">
      <c r="A159" t="s">
        <v>1768</v>
      </c>
      <c r="B159" s="1">
        <v>45883</v>
      </c>
      <c r="C159" t="s">
        <v>347</v>
      </c>
      <c r="D159" t="s">
        <v>1443</v>
      </c>
      <c r="E159" t="s">
        <v>1558</v>
      </c>
      <c r="F159">
        <v>1</v>
      </c>
      <c r="G159" s="14">
        <v>83.1</v>
      </c>
      <c r="H159" s="17">
        <v>0.04</v>
      </c>
      <c r="I159" t="s">
        <v>1611</v>
      </c>
      <c r="J159" s="14">
        <v>79.775999999999996</v>
      </c>
      <c r="K159" s="14">
        <f t="shared" si="16"/>
        <v>624676.39573188417</v>
      </c>
      <c r="L159" s="14">
        <f t="shared" si="17"/>
        <v>613</v>
      </c>
      <c r="M159" s="14" t="str">
        <f t="shared" si="18"/>
        <v>14-08-2025</v>
      </c>
      <c r="N159" s="14">
        <f t="shared" si="19"/>
        <v>0.1528821660411262</v>
      </c>
      <c r="O159" s="20">
        <f t="shared" si="20"/>
        <v>2.4961515027947194</v>
      </c>
      <c r="P159" s="14">
        <f t="shared" si="21"/>
        <v>488.17076664903681</v>
      </c>
      <c r="Q159" s="14">
        <f t="shared" si="22"/>
        <v>40.978999999999999</v>
      </c>
      <c r="R159" s="14" t="str">
        <f t="shared" si="23"/>
        <v>Aug</v>
      </c>
    </row>
    <row r="160" spans="1:18" x14ac:dyDescent="0.3">
      <c r="A160" t="s">
        <v>1769</v>
      </c>
      <c r="B160" s="1">
        <v>45601</v>
      </c>
      <c r="C160" t="s">
        <v>1154</v>
      </c>
      <c r="D160" t="s">
        <v>1389</v>
      </c>
      <c r="E160" t="s">
        <v>1577</v>
      </c>
      <c r="F160">
        <v>2</v>
      </c>
      <c r="G160" s="14">
        <v>60.98</v>
      </c>
      <c r="H160" s="17">
        <v>0.23</v>
      </c>
      <c r="I160" t="s">
        <v>1611</v>
      </c>
      <c r="J160" s="14">
        <v>93.909199999999998</v>
      </c>
      <c r="K160" s="14">
        <f t="shared" si="16"/>
        <v>624676.39573188417</v>
      </c>
      <c r="L160" s="14">
        <f t="shared" si="17"/>
        <v>613</v>
      </c>
      <c r="M160" s="14" t="str">
        <f t="shared" si="18"/>
        <v>05-11-2024</v>
      </c>
      <c r="N160" s="14">
        <f t="shared" si="19"/>
        <v>0.15294354840438948</v>
      </c>
      <c r="O160" s="20">
        <f t="shared" si="20"/>
        <v>2.496964628611456</v>
      </c>
      <c r="P160" s="14">
        <f t="shared" si="21"/>
        <v>488.39091380482432</v>
      </c>
      <c r="Q160" s="14">
        <f t="shared" si="22"/>
        <v>39.279799999999994</v>
      </c>
      <c r="R160" s="14" t="str">
        <f t="shared" si="23"/>
        <v>Nov</v>
      </c>
    </row>
    <row r="161" spans="1:18" x14ac:dyDescent="0.3">
      <c r="A161" t="s">
        <v>1770</v>
      </c>
      <c r="B161" s="1">
        <v>45454</v>
      </c>
      <c r="C161" t="s">
        <v>1215</v>
      </c>
      <c r="D161" t="s">
        <v>1511</v>
      </c>
      <c r="E161" t="s">
        <v>1589</v>
      </c>
      <c r="F161">
        <v>2</v>
      </c>
      <c r="G161" s="14">
        <v>122.23</v>
      </c>
      <c r="H161" s="17">
        <v>0.21</v>
      </c>
      <c r="I161" t="s">
        <v>1614</v>
      </c>
      <c r="J161" s="14">
        <v>193.1234</v>
      </c>
      <c r="K161" s="14">
        <f t="shared" si="16"/>
        <v>624676.39573188417</v>
      </c>
      <c r="L161" s="14">
        <f t="shared" si="17"/>
        <v>613</v>
      </c>
      <c r="M161" s="14" t="str">
        <f t="shared" si="18"/>
        <v>11-06-2024</v>
      </c>
      <c r="N161" s="14">
        <f t="shared" si="19"/>
        <v>0.15290162432843971</v>
      </c>
      <c r="O161" s="20">
        <f t="shared" si="20"/>
        <v>2.4972348649511029</v>
      </c>
      <c r="P161" s="14">
        <f t="shared" si="21"/>
        <v>488.6233286573555</v>
      </c>
      <c r="Q161" s="14">
        <f t="shared" si="22"/>
        <v>79.39085</v>
      </c>
      <c r="R161" s="14" t="str">
        <f t="shared" si="23"/>
        <v>Jun</v>
      </c>
    </row>
    <row r="162" spans="1:18" x14ac:dyDescent="0.3">
      <c r="A162" t="s">
        <v>1771</v>
      </c>
      <c r="B162" s="1">
        <v>45918</v>
      </c>
      <c r="C162" t="s">
        <v>89</v>
      </c>
      <c r="D162" t="s">
        <v>1473</v>
      </c>
      <c r="E162" t="s">
        <v>1595</v>
      </c>
      <c r="F162">
        <v>2</v>
      </c>
      <c r="G162" s="14">
        <v>623.38</v>
      </c>
      <c r="H162" s="17">
        <v>0.13</v>
      </c>
      <c r="I162" t="s">
        <v>1609</v>
      </c>
      <c r="J162" s="14">
        <v>1084.6812</v>
      </c>
      <c r="K162" s="14">
        <f t="shared" si="16"/>
        <v>624676.39573188417</v>
      </c>
      <c r="L162" s="14">
        <f t="shared" si="17"/>
        <v>613</v>
      </c>
      <c r="M162" s="14" t="str">
        <f t="shared" si="18"/>
        <v>18-09-2025</v>
      </c>
      <c r="N162" s="14">
        <f t="shared" si="19"/>
        <v>0.15287054192469907</v>
      </c>
      <c r="O162" s="20">
        <f t="shared" si="20"/>
        <v>2.497505395345526</v>
      </c>
      <c r="P162" s="14">
        <f t="shared" si="21"/>
        <v>488.82267214411138</v>
      </c>
      <c r="Q162" s="14">
        <f t="shared" si="22"/>
        <v>427.5478</v>
      </c>
      <c r="R162" s="14" t="str">
        <f t="shared" si="23"/>
        <v>Sep</v>
      </c>
    </row>
    <row r="163" spans="1:18" x14ac:dyDescent="0.3">
      <c r="A163" t="s">
        <v>1772</v>
      </c>
      <c r="B163" s="1">
        <v>45729</v>
      </c>
      <c r="C163" t="s">
        <v>218</v>
      </c>
      <c r="D163" t="s">
        <v>1473</v>
      </c>
      <c r="E163" t="s">
        <v>1537</v>
      </c>
      <c r="F163">
        <v>1</v>
      </c>
      <c r="G163" s="14">
        <v>479.58</v>
      </c>
      <c r="H163" s="17">
        <v>0.05</v>
      </c>
      <c r="I163" t="s">
        <v>1611</v>
      </c>
      <c r="J163" s="14">
        <v>455.60099999999989</v>
      </c>
      <c r="K163" s="14">
        <f t="shared" si="16"/>
        <v>623591.71453188406</v>
      </c>
      <c r="L163" s="14">
        <f t="shared" si="17"/>
        <v>612</v>
      </c>
      <c r="M163" s="14" t="str">
        <f t="shared" si="18"/>
        <v>13-03-2025</v>
      </c>
      <c r="N163" s="14">
        <f t="shared" si="19"/>
        <v>0.15288299864688029</v>
      </c>
      <c r="O163" s="20">
        <f t="shared" si="20"/>
        <v>2.4977762202749467</v>
      </c>
      <c r="P163" s="14">
        <f t="shared" si="21"/>
        <v>488.74942373482673</v>
      </c>
      <c r="Q163" s="14">
        <f t="shared" si="22"/>
        <v>234.05774999999997</v>
      </c>
      <c r="R163" s="14" t="str">
        <f t="shared" si="23"/>
        <v>Mar</v>
      </c>
    </row>
    <row r="164" spans="1:18" x14ac:dyDescent="0.3">
      <c r="A164" t="s">
        <v>1773</v>
      </c>
      <c r="B164" s="1">
        <v>45276</v>
      </c>
      <c r="C164" t="s">
        <v>942</v>
      </c>
      <c r="D164" t="s">
        <v>1479</v>
      </c>
      <c r="E164" t="s">
        <v>1561</v>
      </c>
      <c r="F164">
        <v>3</v>
      </c>
      <c r="G164" s="14">
        <v>369.32</v>
      </c>
      <c r="H164" s="17">
        <v>0.14000000000000001</v>
      </c>
      <c r="I164" t="s">
        <v>1611</v>
      </c>
      <c r="J164" s="14">
        <v>952.84559999999999</v>
      </c>
      <c r="K164" s="14">
        <f t="shared" si="16"/>
        <v>623591.71453188406</v>
      </c>
      <c r="L164" s="14">
        <f t="shared" si="17"/>
        <v>612</v>
      </c>
      <c r="M164" s="14" t="str">
        <f t="shared" si="18"/>
        <v>16-12-2023</v>
      </c>
      <c r="N164" s="14">
        <f t="shared" si="19"/>
        <v>0.15293906567611565</v>
      </c>
      <c r="O164" s="20">
        <f t="shared" si="20"/>
        <v>2.4985920025299988</v>
      </c>
      <c r="P164" s="14">
        <f t="shared" si="21"/>
        <v>488.75441797433371</v>
      </c>
      <c r="Q164" s="14">
        <f t="shared" si="22"/>
        <v>331.32639999999998</v>
      </c>
      <c r="R164" s="14" t="str">
        <f t="shared" si="23"/>
        <v>Dec</v>
      </c>
    </row>
    <row r="165" spans="1:18" x14ac:dyDescent="0.3">
      <c r="A165" t="s">
        <v>1774</v>
      </c>
      <c r="B165" s="1">
        <v>45851</v>
      </c>
      <c r="C165" t="s">
        <v>278</v>
      </c>
      <c r="D165" t="s">
        <v>1397</v>
      </c>
      <c r="E165" t="s">
        <v>1542</v>
      </c>
      <c r="F165">
        <v>1</v>
      </c>
      <c r="G165" s="14">
        <v>488.31</v>
      </c>
      <c r="H165" s="17">
        <v>0.03</v>
      </c>
      <c r="I165" t="s">
        <v>1611</v>
      </c>
      <c r="J165" s="14">
        <v>473.66070000000002</v>
      </c>
      <c r="K165" s="14">
        <f t="shared" si="16"/>
        <v>623591.71453188406</v>
      </c>
      <c r="L165" s="14">
        <f t="shared" si="17"/>
        <v>612</v>
      </c>
      <c r="M165" s="14" t="str">
        <f t="shared" si="18"/>
        <v>13-07-2025</v>
      </c>
      <c r="N165" s="14">
        <f t="shared" si="19"/>
        <v>0.15294612078280928</v>
      </c>
      <c r="O165" s="20">
        <f t="shared" si="20"/>
        <v>2.4983187556648927</v>
      </c>
      <c r="P165" s="14">
        <f t="shared" si="21"/>
        <v>488.81950485061401</v>
      </c>
      <c r="Q165" s="14">
        <f t="shared" si="22"/>
        <v>240.75017500000001</v>
      </c>
      <c r="R165" s="14" t="str">
        <f t="shared" si="23"/>
        <v>Jul</v>
      </c>
    </row>
    <row r="166" spans="1:18" x14ac:dyDescent="0.3">
      <c r="A166" t="s">
        <v>1775</v>
      </c>
      <c r="B166" s="1">
        <v>45418</v>
      </c>
      <c r="C166" t="s">
        <v>878</v>
      </c>
      <c r="D166" t="s">
        <v>1441</v>
      </c>
      <c r="E166" t="s">
        <v>1579</v>
      </c>
      <c r="F166">
        <v>4</v>
      </c>
      <c r="G166" s="14">
        <v>164.04</v>
      </c>
      <c r="H166" s="17">
        <v>0.26</v>
      </c>
      <c r="I166" t="s">
        <v>1609</v>
      </c>
      <c r="J166" s="14">
        <v>485.55839999999989</v>
      </c>
      <c r="K166" s="14">
        <f t="shared" si="16"/>
        <v>623591.71453188406</v>
      </c>
      <c r="L166" s="14">
        <f t="shared" si="17"/>
        <v>612</v>
      </c>
      <c r="M166" s="14" t="str">
        <f t="shared" si="18"/>
        <v>06-05-2024</v>
      </c>
      <c r="N166" s="14">
        <f t="shared" si="19"/>
        <v>0.15301319449845727</v>
      </c>
      <c r="O166" s="20">
        <f t="shared" si="20"/>
        <v>2.4991357233615474</v>
      </c>
      <c r="P166" s="14">
        <f t="shared" si="21"/>
        <v>488.81978266132859</v>
      </c>
      <c r="Q166" s="14">
        <f t="shared" si="22"/>
        <v>163.46459999999996</v>
      </c>
      <c r="R166" s="14" t="str">
        <f t="shared" si="23"/>
        <v>May</v>
      </c>
    </row>
    <row r="167" spans="1:18" x14ac:dyDescent="0.3">
      <c r="A167" t="s">
        <v>1776</v>
      </c>
      <c r="B167" s="1">
        <v>45508</v>
      </c>
      <c r="C167" t="s">
        <v>268</v>
      </c>
      <c r="D167" t="s">
        <v>1353</v>
      </c>
      <c r="E167" t="s">
        <v>1592</v>
      </c>
      <c r="F167">
        <v>3</v>
      </c>
      <c r="G167" s="14">
        <v>707.95</v>
      </c>
      <c r="H167" s="17">
        <v>0.18</v>
      </c>
      <c r="I167" t="s">
        <v>1611</v>
      </c>
      <c r="J167" s="14">
        <v>1741.557</v>
      </c>
      <c r="K167" s="14">
        <f t="shared" si="16"/>
        <v>623106.15613188408</v>
      </c>
      <c r="L167" s="14">
        <f t="shared" si="17"/>
        <v>611</v>
      </c>
      <c r="M167" s="14" t="str">
        <f t="shared" si="18"/>
        <v>04-08-2024</v>
      </c>
      <c r="N167" s="14">
        <f t="shared" si="19"/>
        <v>0.15295479558715736</v>
      </c>
      <c r="O167" s="20">
        <f t="shared" si="20"/>
        <v>2.4983169212466327</v>
      </c>
      <c r="P167" s="14">
        <f t="shared" si="21"/>
        <v>488.99696748547558</v>
      </c>
      <c r="Q167" s="14">
        <f t="shared" si="22"/>
        <v>613.17174999999997</v>
      </c>
      <c r="R167" s="14" t="str">
        <f t="shared" si="23"/>
        <v>Aug</v>
      </c>
    </row>
    <row r="168" spans="1:18" x14ac:dyDescent="0.3">
      <c r="A168" t="s">
        <v>1777</v>
      </c>
      <c r="B168" s="1">
        <v>45269</v>
      </c>
      <c r="C168" t="s">
        <v>934</v>
      </c>
      <c r="D168" t="s">
        <v>1471</v>
      </c>
      <c r="E168" t="s">
        <v>1567</v>
      </c>
      <c r="F168">
        <v>4</v>
      </c>
      <c r="G168" s="14">
        <v>714.47</v>
      </c>
      <c r="H168" s="17">
        <v>0.18</v>
      </c>
      <c r="I168" t="s">
        <v>1614</v>
      </c>
      <c r="J168" s="14">
        <v>2343.4616000000001</v>
      </c>
      <c r="K168" s="14">
        <f t="shared" si="16"/>
        <v>623106.15613188408</v>
      </c>
      <c r="L168" s="14">
        <f t="shared" si="17"/>
        <v>611</v>
      </c>
      <c r="M168" s="14" t="str">
        <f t="shared" si="18"/>
        <v>09-12-2023</v>
      </c>
      <c r="N168" s="14">
        <f t="shared" si="19"/>
        <v>0.15294002485836822</v>
      </c>
      <c r="O168" s="20">
        <f t="shared" si="20"/>
        <v>2.4980430767713311</v>
      </c>
      <c r="P168" s="14">
        <f t="shared" si="21"/>
        <v>488.87745163803311</v>
      </c>
      <c r="Q168" s="14">
        <f t="shared" si="22"/>
        <v>765.52790000000005</v>
      </c>
      <c r="R168" s="14" t="str">
        <f t="shared" si="23"/>
        <v>Dec</v>
      </c>
    </row>
    <row r="169" spans="1:18" x14ac:dyDescent="0.3">
      <c r="A169" t="s">
        <v>1778</v>
      </c>
      <c r="B169" s="1">
        <v>45866</v>
      </c>
      <c r="C169" t="s">
        <v>1236</v>
      </c>
      <c r="D169" t="s">
        <v>1491</v>
      </c>
      <c r="E169" t="s">
        <v>1564</v>
      </c>
      <c r="F169">
        <v>4</v>
      </c>
      <c r="G169" s="14">
        <v>422.09</v>
      </c>
      <c r="H169" s="17">
        <v>0.04</v>
      </c>
      <c r="I169" t="s">
        <v>1609</v>
      </c>
      <c r="J169" s="14">
        <v>1620.8255999999999</v>
      </c>
      <c r="K169" s="14">
        <f t="shared" si="16"/>
        <v>623106.15613188408</v>
      </c>
      <c r="L169" s="14">
        <f t="shared" si="17"/>
        <v>611</v>
      </c>
      <c r="M169" s="14" t="str">
        <f t="shared" si="18"/>
        <v>28-07-2025</v>
      </c>
      <c r="N169" s="14">
        <f t="shared" si="19"/>
        <v>0.1529252379867061</v>
      </c>
      <c r="O169" s="20">
        <f t="shared" si="20"/>
        <v>2.4972227835309</v>
      </c>
      <c r="P169" s="14">
        <f t="shared" si="21"/>
        <v>488.75424434782997</v>
      </c>
      <c r="Q169" s="14">
        <f t="shared" si="22"/>
        <v>511.73889999999994</v>
      </c>
      <c r="R169" s="14" t="str">
        <f t="shared" si="23"/>
        <v>Jul</v>
      </c>
    </row>
    <row r="170" spans="1:18" x14ac:dyDescent="0.3">
      <c r="A170" t="s">
        <v>1779</v>
      </c>
      <c r="B170" s="1">
        <v>45462</v>
      </c>
      <c r="C170" t="s">
        <v>381</v>
      </c>
      <c r="D170" t="s">
        <v>1393</v>
      </c>
      <c r="E170" t="s">
        <v>1571</v>
      </c>
      <c r="F170">
        <v>1</v>
      </c>
      <c r="G170" s="14">
        <v>998.19</v>
      </c>
      <c r="H170" s="17">
        <v>0.2</v>
      </c>
      <c r="I170" t="s">
        <v>1609</v>
      </c>
      <c r="J170" s="14">
        <v>798.55200000000013</v>
      </c>
      <c r="K170" s="14">
        <f t="shared" si="16"/>
        <v>621485.33053188422</v>
      </c>
      <c r="L170" s="14">
        <f t="shared" si="17"/>
        <v>610</v>
      </c>
      <c r="M170" s="14" t="str">
        <f t="shared" si="18"/>
        <v>19-06-2024</v>
      </c>
      <c r="N170" s="14">
        <f t="shared" si="19"/>
        <v>0.15298697950556162</v>
      </c>
      <c r="O170" s="20">
        <f t="shared" si="20"/>
        <v>2.4964015937951243</v>
      </c>
      <c r="P170" s="14">
        <f t="shared" si="21"/>
        <v>488.79067289665386</v>
      </c>
      <c r="Q170" s="14">
        <f t="shared" si="22"/>
        <v>449.48550000000006</v>
      </c>
      <c r="R170" s="14" t="str">
        <f t="shared" si="23"/>
        <v>Jun</v>
      </c>
    </row>
    <row r="171" spans="1:18" x14ac:dyDescent="0.3">
      <c r="A171" t="s">
        <v>1780</v>
      </c>
      <c r="B171" s="1">
        <v>45313</v>
      </c>
      <c r="C171" t="s">
        <v>1166</v>
      </c>
      <c r="D171" t="s">
        <v>1477</v>
      </c>
      <c r="E171" t="s">
        <v>1564</v>
      </c>
      <c r="F171">
        <v>2</v>
      </c>
      <c r="G171" s="14">
        <v>343.42</v>
      </c>
      <c r="H171" s="17">
        <v>0.12</v>
      </c>
      <c r="I171" t="s">
        <v>1614</v>
      </c>
      <c r="J171" s="14">
        <v>604.41920000000005</v>
      </c>
      <c r="K171" s="14">
        <f t="shared" si="16"/>
        <v>620686.77853188419</v>
      </c>
      <c r="L171" s="14">
        <f t="shared" si="17"/>
        <v>609</v>
      </c>
      <c r="M171" s="14" t="str">
        <f t="shared" si="18"/>
        <v>22-01-2024</v>
      </c>
      <c r="N171" s="14">
        <f t="shared" si="19"/>
        <v>0.1529612612230154</v>
      </c>
      <c r="O171" s="20">
        <f t="shared" si="20"/>
        <v>2.4972197466621529</v>
      </c>
      <c r="P171" s="14">
        <f t="shared" si="21"/>
        <v>488.51216041600696</v>
      </c>
      <c r="Q171" s="14">
        <f t="shared" si="22"/>
        <v>237.4898</v>
      </c>
      <c r="R171" s="14" t="str">
        <f t="shared" si="23"/>
        <v>Jan</v>
      </c>
    </row>
    <row r="172" spans="1:18" x14ac:dyDescent="0.3">
      <c r="A172" t="s">
        <v>1781</v>
      </c>
      <c r="B172" s="1">
        <v>45390</v>
      </c>
      <c r="C172" t="s">
        <v>818</v>
      </c>
      <c r="D172" t="s">
        <v>1401</v>
      </c>
      <c r="E172" t="s">
        <v>1561</v>
      </c>
      <c r="F172">
        <v>1</v>
      </c>
      <c r="G172" s="14">
        <v>152.16999999999999</v>
      </c>
      <c r="H172" s="17">
        <v>0.28000000000000003</v>
      </c>
      <c r="I172" t="s">
        <v>1614</v>
      </c>
      <c r="J172" s="14">
        <v>109.5624</v>
      </c>
      <c r="K172" s="14">
        <f t="shared" si="16"/>
        <v>620686.77853188419</v>
      </c>
      <c r="L172" s="14">
        <f t="shared" si="17"/>
        <v>609</v>
      </c>
      <c r="M172" s="14" t="str">
        <f t="shared" si="18"/>
        <v>08-04-2024</v>
      </c>
      <c r="N172" s="14">
        <f t="shared" si="19"/>
        <v>0.15297930241689775</v>
      </c>
      <c r="O172" s="20">
        <f t="shared" si="20"/>
        <v>2.4974917487117496</v>
      </c>
      <c r="P172" s="14">
        <f t="shared" si="21"/>
        <v>488.59153249500918</v>
      </c>
      <c r="Q172" s="14">
        <f t="shared" si="22"/>
        <v>65.753099999999989</v>
      </c>
      <c r="R172" s="14" t="str">
        <f t="shared" si="23"/>
        <v>Apr</v>
      </c>
    </row>
    <row r="173" spans="1:18" x14ac:dyDescent="0.3">
      <c r="A173" t="s">
        <v>1782</v>
      </c>
      <c r="B173" s="1">
        <v>45795</v>
      </c>
      <c r="C173" t="s">
        <v>579</v>
      </c>
      <c r="D173" t="s">
        <v>1431</v>
      </c>
      <c r="E173" t="s">
        <v>1577</v>
      </c>
      <c r="F173">
        <v>1</v>
      </c>
      <c r="G173" s="14">
        <v>325.08</v>
      </c>
      <c r="H173" s="17">
        <v>0.26</v>
      </c>
      <c r="I173" t="s">
        <v>1611</v>
      </c>
      <c r="J173" s="14">
        <v>240.5592</v>
      </c>
      <c r="K173" s="14">
        <f t="shared" si="16"/>
        <v>620686.77853188419</v>
      </c>
      <c r="L173" s="14">
        <f t="shared" si="17"/>
        <v>609</v>
      </c>
      <c r="M173" s="14" t="str">
        <f t="shared" si="18"/>
        <v>18-05-2025</v>
      </c>
      <c r="N173" s="14">
        <f t="shared" si="19"/>
        <v>0.15290974015097053</v>
      </c>
      <c r="O173" s="20">
        <f t="shared" si="20"/>
        <v>2.4983113938944048</v>
      </c>
      <c r="P173" s="14">
        <f t="shared" si="21"/>
        <v>488.77567126484769</v>
      </c>
      <c r="Q173" s="14">
        <f t="shared" si="22"/>
        <v>141.72479999999999</v>
      </c>
      <c r="R173" s="14" t="str">
        <f t="shared" si="23"/>
        <v>May</v>
      </c>
    </row>
    <row r="174" spans="1:18" x14ac:dyDescent="0.3">
      <c r="A174" t="s">
        <v>1783</v>
      </c>
      <c r="B174" s="1">
        <v>45267</v>
      </c>
      <c r="C174" t="s">
        <v>1080</v>
      </c>
      <c r="D174" t="s">
        <v>1511</v>
      </c>
      <c r="E174" t="s">
        <v>1574</v>
      </c>
      <c r="F174">
        <v>2</v>
      </c>
      <c r="G174" s="14">
        <v>827.92</v>
      </c>
      <c r="H174" s="17">
        <v>0.25</v>
      </c>
      <c r="I174" t="s">
        <v>1614</v>
      </c>
      <c r="J174" s="14">
        <v>1241.8800000000001</v>
      </c>
      <c r="K174" s="14">
        <f t="shared" si="16"/>
        <v>620686.77853188419</v>
      </c>
      <c r="L174" s="14">
        <f t="shared" si="17"/>
        <v>609</v>
      </c>
      <c r="M174" s="14" t="str">
        <f t="shared" si="18"/>
        <v>07-12-2023</v>
      </c>
      <c r="N174" s="14">
        <f t="shared" si="19"/>
        <v>0.15285106055653272</v>
      </c>
      <c r="O174" s="20">
        <f t="shared" si="20"/>
        <v>2.4991319368264393</v>
      </c>
      <c r="P174" s="14">
        <f t="shared" si="21"/>
        <v>488.86531840135638</v>
      </c>
      <c r="Q174" s="14">
        <f t="shared" si="22"/>
        <v>518.01250000000005</v>
      </c>
      <c r="R174" s="14" t="str">
        <f t="shared" si="23"/>
        <v>Dec</v>
      </c>
    </row>
    <row r="175" spans="1:18" x14ac:dyDescent="0.3">
      <c r="A175" t="s">
        <v>1784</v>
      </c>
      <c r="B175" s="1">
        <v>45314</v>
      </c>
      <c r="C175" t="s">
        <v>1306</v>
      </c>
      <c r="D175" t="s">
        <v>1385</v>
      </c>
      <c r="E175" t="s">
        <v>1546</v>
      </c>
      <c r="F175">
        <v>2</v>
      </c>
      <c r="G175" s="14">
        <v>593.47</v>
      </c>
      <c r="H175" s="17">
        <v>0.1</v>
      </c>
      <c r="I175" t="s">
        <v>1614</v>
      </c>
      <c r="J175" s="14">
        <v>1068.2460000000001</v>
      </c>
      <c r="K175" s="14">
        <f t="shared" si="16"/>
        <v>620686.77853188419</v>
      </c>
      <c r="L175" s="14">
        <f t="shared" si="17"/>
        <v>609</v>
      </c>
      <c r="M175" s="14" t="str">
        <f t="shared" si="18"/>
        <v>23-01-2024</v>
      </c>
      <c r="N175" s="14">
        <f t="shared" si="19"/>
        <v>0.15279779907657468</v>
      </c>
      <c r="O175" s="20">
        <f t="shared" si="20"/>
        <v>2.4994054337781249</v>
      </c>
      <c r="P175" s="14">
        <f t="shared" si="21"/>
        <v>488.67953501417895</v>
      </c>
      <c r="Q175" s="14">
        <f t="shared" si="22"/>
        <v>415.95400000000006</v>
      </c>
      <c r="R175" s="14" t="str">
        <f t="shared" si="23"/>
        <v>Jan</v>
      </c>
    </row>
    <row r="176" spans="1:18" x14ac:dyDescent="0.3">
      <c r="A176" t="s">
        <v>1785</v>
      </c>
      <c r="B176" s="1">
        <v>45267</v>
      </c>
      <c r="C176" t="s">
        <v>929</v>
      </c>
      <c r="D176" t="s">
        <v>1373</v>
      </c>
      <c r="E176" t="s">
        <v>1564</v>
      </c>
      <c r="F176">
        <v>4</v>
      </c>
      <c r="G176" s="14">
        <v>756.28</v>
      </c>
      <c r="H176" s="17">
        <v>0.05</v>
      </c>
      <c r="I176" t="s">
        <v>1614</v>
      </c>
      <c r="J176" s="14">
        <v>2873.864</v>
      </c>
      <c r="K176" s="14">
        <f t="shared" si="16"/>
        <v>620686.77853188419</v>
      </c>
      <c r="L176" s="14">
        <f t="shared" si="17"/>
        <v>609</v>
      </c>
      <c r="M176" s="14" t="str">
        <f t="shared" si="18"/>
        <v>07-12-2023</v>
      </c>
      <c r="N176" s="14">
        <f t="shared" si="19"/>
        <v>0.15282676111666055</v>
      </c>
      <c r="O176" s="20">
        <f t="shared" si="20"/>
        <v>2.4996792306168194</v>
      </c>
      <c r="P176" s="14">
        <f t="shared" si="21"/>
        <v>488.62208410135787</v>
      </c>
      <c r="Q176" s="14">
        <f t="shared" si="22"/>
        <v>908.54849999999999</v>
      </c>
      <c r="R176" s="14" t="str">
        <f t="shared" si="23"/>
        <v>Dec</v>
      </c>
    </row>
    <row r="177" spans="1:18" x14ac:dyDescent="0.3">
      <c r="A177" t="s">
        <v>1786</v>
      </c>
      <c r="B177" s="1">
        <v>45641</v>
      </c>
      <c r="C177" t="s">
        <v>1178</v>
      </c>
      <c r="D177" t="s">
        <v>1517</v>
      </c>
      <c r="E177" t="s">
        <v>1542</v>
      </c>
      <c r="F177">
        <v>2</v>
      </c>
      <c r="G177" s="14">
        <v>707.65</v>
      </c>
      <c r="H177" s="17">
        <v>0.14000000000000001</v>
      </c>
      <c r="I177" t="s">
        <v>1609</v>
      </c>
      <c r="J177" s="14">
        <v>1217.1579999999999</v>
      </c>
      <c r="K177" s="14">
        <f t="shared" si="16"/>
        <v>620686.77853188419</v>
      </c>
      <c r="L177" s="14">
        <f t="shared" si="17"/>
        <v>609</v>
      </c>
      <c r="M177" s="14" t="str">
        <f t="shared" si="18"/>
        <v>15-12-2024</v>
      </c>
      <c r="N177" s="14">
        <f t="shared" si="19"/>
        <v>0.15288319731924926</v>
      </c>
      <c r="O177" s="20">
        <f t="shared" si="20"/>
        <v>2.4988562351316945</v>
      </c>
      <c r="P177" s="14">
        <f t="shared" si="21"/>
        <v>488.4752613279631</v>
      </c>
      <c r="Q177" s="14">
        <f t="shared" si="22"/>
        <v>481.73699999999997</v>
      </c>
      <c r="R177" s="14" t="str">
        <f t="shared" si="23"/>
        <v>Dec</v>
      </c>
    </row>
    <row r="178" spans="1:18" x14ac:dyDescent="0.3">
      <c r="A178" t="s">
        <v>1787</v>
      </c>
      <c r="B178" s="1">
        <v>45371</v>
      </c>
      <c r="C178" t="s">
        <v>441</v>
      </c>
      <c r="D178" t="s">
        <v>1383</v>
      </c>
      <c r="E178" t="s">
        <v>1586</v>
      </c>
      <c r="F178">
        <v>1</v>
      </c>
      <c r="G178" s="14">
        <v>857.35</v>
      </c>
      <c r="H178" s="17">
        <v>0.28000000000000003</v>
      </c>
      <c r="I178" t="s">
        <v>1611</v>
      </c>
      <c r="J178" s="14">
        <v>617.29200000000003</v>
      </c>
      <c r="K178" s="14">
        <f t="shared" si="16"/>
        <v>619469.62053188414</v>
      </c>
      <c r="L178" s="14">
        <f t="shared" si="17"/>
        <v>608</v>
      </c>
      <c r="M178" s="14" t="str">
        <f t="shared" si="18"/>
        <v>20-03-2024</v>
      </c>
      <c r="N178" s="14">
        <f t="shared" si="19"/>
        <v>0.1528902721118463</v>
      </c>
      <c r="O178" s="20">
        <f t="shared" si="20"/>
        <v>2.4991300310895053</v>
      </c>
      <c r="P178" s="14">
        <f t="shared" si="21"/>
        <v>488.35496783802233</v>
      </c>
      <c r="Q178" s="14">
        <f t="shared" si="22"/>
        <v>368.98050000000001</v>
      </c>
      <c r="R178" s="14" t="str">
        <f t="shared" si="23"/>
        <v>Mar</v>
      </c>
    </row>
    <row r="179" spans="1:18" x14ac:dyDescent="0.3">
      <c r="A179" t="s">
        <v>1788</v>
      </c>
      <c r="B179" s="1">
        <v>45670</v>
      </c>
      <c r="C179" t="s">
        <v>1320</v>
      </c>
      <c r="D179" t="s">
        <v>1443</v>
      </c>
      <c r="E179" t="s">
        <v>1567</v>
      </c>
      <c r="F179">
        <v>1</v>
      </c>
      <c r="G179" s="14">
        <v>79</v>
      </c>
      <c r="H179" s="17">
        <v>0.04</v>
      </c>
      <c r="I179" t="s">
        <v>1611</v>
      </c>
      <c r="J179" s="14">
        <v>75.84</v>
      </c>
      <c r="K179" s="14">
        <f t="shared" si="16"/>
        <v>619469.62053188414</v>
      </c>
      <c r="L179" s="14">
        <f t="shared" si="17"/>
        <v>608</v>
      </c>
      <c r="M179" s="14" t="str">
        <f t="shared" si="18"/>
        <v>13-01-2025</v>
      </c>
      <c r="N179" s="14">
        <f t="shared" si="19"/>
        <v>0.15282043160201766</v>
      </c>
      <c r="O179" s="20">
        <f t="shared" si="20"/>
        <v>2.4999532765760999</v>
      </c>
      <c r="P179" s="14">
        <f t="shared" si="21"/>
        <v>488.15233465177192</v>
      </c>
      <c r="Q179" s="14">
        <f t="shared" si="22"/>
        <v>38.97</v>
      </c>
      <c r="R179" s="14" t="str">
        <f t="shared" si="23"/>
        <v>Jan</v>
      </c>
    </row>
    <row r="180" spans="1:18" x14ac:dyDescent="0.3">
      <c r="A180" t="s">
        <v>1789</v>
      </c>
      <c r="B180" s="1">
        <v>45885</v>
      </c>
      <c r="C180" t="s">
        <v>244</v>
      </c>
      <c r="D180" t="s">
        <v>1521</v>
      </c>
      <c r="E180" t="s">
        <v>1558</v>
      </c>
      <c r="F180">
        <v>4</v>
      </c>
      <c r="G180" s="14">
        <v>638.91</v>
      </c>
      <c r="H180" s="17">
        <v>0.15</v>
      </c>
      <c r="I180" t="s">
        <v>1614</v>
      </c>
      <c r="J180" s="14">
        <v>2555.64</v>
      </c>
      <c r="K180" s="14">
        <f t="shared" si="16"/>
        <v>619469.62053188414</v>
      </c>
      <c r="L180" s="14">
        <f t="shared" si="17"/>
        <v>608</v>
      </c>
      <c r="M180" s="14" t="str">
        <f t="shared" si="18"/>
        <v>16-08-2025</v>
      </c>
      <c r="N180" s="14">
        <f t="shared" si="19"/>
        <v>0.15288245492890171</v>
      </c>
      <c r="O180" s="20">
        <f t="shared" si="20"/>
        <v>2.5007774267280647</v>
      </c>
      <c r="P180" s="14">
        <f t="shared" si="21"/>
        <v>488.37714362685534</v>
      </c>
      <c r="Q180" s="14">
        <f t="shared" si="22"/>
        <v>799.67499999999995</v>
      </c>
      <c r="R180" s="14" t="str">
        <f t="shared" si="23"/>
        <v>Aug</v>
      </c>
    </row>
    <row r="181" spans="1:18" x14ac:dyDescent="0.3">
      <c r="A181" t="s">
        <v>1790</v>
      </c>
      <c r="B181" s="1">
        <v>45812</v>
      </c>
      <c r="C181" t="s">
        <v>295</v>
      </c>
      <c r="D181" t="s">
        <v>1423</v>
      </c>
      <c r="E181" t="s">
        <v>1537</v>
      </c>
      <c r="F181">
        <v>2</v>
      </c>
      <c r="G181" s="14">
        <v>522.16999999999996</v>
      </c>
      <c r="H181" s="17">
        <v>0.27</v>
      </c>
      <c r="I181" t="s">
        <v>1609</v>
      </c>
      <c r="J181" s="14">
        <v>762.36819999999989</v>
      </c>
      <c r="K181" s="14">
        <f t="shared" si="16"/>
        <v>619469.62053188414</v>
      </c>
      <c r="L181" s="14">
        <f t="shared" si="17"/>
        <v>608</v>
      </c>
      <c r="M181" s="14" t="str">
        <f t="shared" si="18"/>
        <v>04-06-2025</v>
      </c>
      <c r="N181" s="14">
        <f t="shared" si="19"/>
        <v>0.15288404043766349</v>
      </c>
      <c r="O181" s="20">
        <f t="shared" si="20"/>
        <v>2.4999532252034515</v>
      </c>
      <c r="P181" s="14">
        <f t="shared" si="21"/>
        <v>488.29438779597399</v>
      </c>
      <c r="Q181" s="14">
        <f t="shared" si="22"/>
        <v>321.70204999999999</v>
      </c>
      <c r="R181" s="14" t="str">
        <f t="shared" si="23"/>
        <v>Jun</v>
      </c>
    </row>
    <row r="182" spans="1:18" x14ac:dyDescent="0.3">
      <c r="A182" t="s">
        <v>1791</v>
      </c>
      <c r="B182" s="1">
        <v>45235</v>
      </c>
      <c r="C182" t="s">
        <v>1299</v>
      </c>
      <c r="D182" t="s">
        <v>1411</v>
      </c>
      <c r="E182" t="s">
        <v>1579</v>
      </c>
      <c r="F182">
        <v>3</v>
      </c>
      <c r="G182" s="14">
        <v>954.29</v>
      </c>
      <c r="H182" s="17">
        <v>0.27</v>
      </c>
      <c r="I182" t="s">
        <v>1609</v>
      </c>
      <c r="J182" s="14">
        <v>2089.8951000000002</v>
      </c>
      <c r="K182" s="14">
        <f t="shared" si="16"/>
        <v>618707.25233188423</v>
      </c>
      <c r="L182" s="14">
        <f t="shared" si="17"/>
        <v>607</v>
      </c>
      <c r="M182" s="14" t="str">
        <f t="shared" si="18"/>
        <v>05-11-2023</v>
      </c>
      <c r="N182" s="14">
        <f t="shared" si="19"/>
        <v>0.1528195847637161</v>
      </c>
      <c r="O182" s="20">
        <f t="shared" si="20"/>
        <v>2.5002282269774909</v>
      </c>
      <c r="P182" s="14">
        <f t="shared" si="21"/>
        <v>488.27575434591671</v>
      </c>
      <c r="Q182" s="14">
        <f t="shared" si="22"/>
        <v>761.86377500000003</v>
      </c>
      <c r="R182" s="14" t="str">
        <f t="shared" si="23"/>
        <v>Nov</v>
      </c>
    </row>
    <row r="183" spans="1:18" x14ac:dyDescent="0.3">
      <c r="A183" t="s">
        <v>1792</v>
      </c>
      <c r="B183" s="1">
        <v>45710</v>
      </c>
      <c r="C183" t="s">
        <v>1283</v>
      </c>
      <c r="D183" t="s">
        <v>1399</v>
      </c>
      <c r="E183" t="s">
        <v>1582</v>
      </c>
      <c r="F183">
        <v>3</v>
      </c>
      <c r="G183" s="14">
        <v>53.92</v>
      </c>
      <c r="H183" s="17">
        <v>0.15</v>
      </c>
      <c r="I183" t="s">
        <v>1611</v>
      </c>
      <c r="J183" s="14">
        <v>137.49600000000001</v>
      </c>
      <c r="K183" s="14">
        <f t="shared" si="16"/>
        <v>616617.35723188415</v>
      </c>
      <c r="L183" s="14">
        <f t="shared" si="17"/>
        <v>606</v>
      </c>
      <c r="M183" s="14" t="str">
        <f t="shared" si="18"/>
        <v>22-02-2025</v>
      </c>
      <c r="N183" s="14">
        <f t="shared" si="19"/>
        <v>0.15275505810334369</v>
      </c>
      <c r="O183" s="20">
        <f t="shared" si="20"/>
        <v>2.4999531737177092</v>
      </c>
      <c r="P183" s="14">
        <f t="shared" si="21"/>
        <v>488.01927980235365</v>
      </c>
      <c r="Q183" s="14">
        <f t="shared" si="22"/>
        <v>48.641500000000001</v>
      </c>
      <c r="R183" s="14" t="str">
        <f t="shared" si="23"/>
        <v>Feb</v>
      </c>
    </row>
    <row r="184" spans="1:18" x14ac:dyDescent="0.3">
      <c r="A184" t="s">
        <v>1793</v>
      </c>
      <c r="B184" s="1">
        <v>45753</v>
      </c>
      <c r="C184" t="s">
        <v>1217</v>
      </c>
      <c r="D184" t="s">
        <v>1401</v>
      </c>
      <c r="E184" t="s">
        <v>1537</v>
      </c>
      <c r="F184">
        <v>4</v>
      </c>
      <c r="G184" s="14">
        <v>741.88</v>
      </c>
      <c r="H184" s="17">
        <v>0.02</v>
      </c>
      <c r="I184" t="s">
        <v>1614</v>
      </c>
      <c r="J184" s="14">
        <v>2908.1696000000002</v>
      </c>
      <c r="K184" s="14">
        <f t="shared" si="16"/>
        <v>616617.35723188415</v>
      </c>
      <c r="L184" s="14">
        <f t="shared" si="17"/>
        <v>606</v>
      </c>
      <c r="M184" s="14" t="str">
        <f t="shared" si="18"/>
        <v>06-04-2025</v>
      </c>
      <c r="N184" s="14">
        <f t="shared" si="19"/>
        <v>0.15275657604169265</v>
      </c>
      <c r="O184" s="20">
        <f t="shared" si="20"/>
        <v>2.4996778175358365</v>
      </c>
      <c r="P184" s="14">
        <f t="shared" si="21"/>
        <v>488.25832125598936</v>
      </c>
      <c r="Q184" s="14">
        <f t="shared" si="22"/>
        <v>913.51740000000007</v>
      </c>
      <c r="R184" s="14" t="str">
        <f t="shared" si="23"/>
        <v>Apr</v>
      </c>
    </row>
    <row r="185" spans="1:18" x14ac:dyDescent="0.3">
      <c r="A185" t="s">
        <v>1794</v>
      </c>
      <c r="B185" s="1">
        <v>45594</v>
      </c>
      <c r="C185" t="s">
        <v>134</v>
      </c>
      <c r="D185" t="s">
        <v>1425</v>
      </c>
      <c r="E185" t="s">
        <v>1551</v>
      </c>
      <c r="F185">
        <v>1</v>
      </c>
      <c r="G185" s="14">
        <v>547.09</v>
      </c>
      <c r="H185" s="17">
        <v>0.01</v>
      </c>
      <c r="I185" t="s">
        <v>1611</v>
      </c>
      <c r="J185" s="14">
        <v>541.6191</v>
      </c>
      <c r="K185" s="14">
        <f t="shared" si="16"/>
        <v>616617.35723188415</v>
      </c>
      <c r="L185" s="14">
        <f t="shared" si="17"/>
        <v>606</v>
      </c>
      <c r="M185" s="14" t="str">
        <f t="shared" si="18"/>
        <v>29-10-2024</v>
      </c>
      <c r="N185" s="14">
        <f t="shared" si="19"/>
        <v>0.15282976048272995</v>
      </c>
      <c r="O185" s="20">
        <f t="shared" si="20"/>
        <v>2.4988511937438451</v>
      </c>
      <c r="P185" s="14">
        <f t="shared" si="21"/>
        <v>488.11858479387138</v>
      </c>
      <c r="Q185" s="14">
        <f t="shared" si="22"/>
        <v>272.42977500000001</v>
      </c>
      <c r="R185" s="14" t="str">
        <f t="shared" si="23"/>
        <v>Oct</v>
      </c>
    </row>
    <row r="186" spans="1:18" x14ac:dyDescent="0.3">
      <c r="A186" t="s">
        <v>1795</v>
      </c>
      <c r="B186" s="1">
        <v>45686</v>
      </c>
      <c r="C186" t="s">
        <v>1310</v>
      </c>
      <c r="D186" t="s">
        <v>1511</v>
      </c>
      <c r="E186" t="s">
        <v>1551</v>
      </c>
      <c r="F186">
        <v>1</v>
      </c>
      <c r="G186" s="14">
        <v>789.35</v>
      </c>
      <c r="H186" s="17">
        <v>0.14000000000000001</v>
      </c>
      <c r="I186" t="s">
        <v>1611</v>
      </c>
      <c r="J186" s="14">
        <v>678.84100000000001</v>
      </c>
      <c r="K186" s="14">
        <f t="shared" si="16"/>
        <v>616617.35723188415</v>
      </c>
      <c r="L186" s="14">
        <f t="shared" si="17"/>
        <v>606</v>
      </c>
      <c r="M186" s="14" t="str">
        <f t="shared" si="18"/>
        <v>29-01-2025</v>
      </c>
      <c r="N186" s="14">
        <f t="shared" si="19"/>
        <v>0.15290854137654281</v>
      </c>
      <c r="O186" s="20">
        <f t="shared" si="20"/>
        <v>2.4996774623181253</v>
      </c>
      <c r="P186" s="14">
        <f t="shared" si="21"/>
        <v>488.08607574469494</v>
      </c>
      <c r="Q186" s="14">
        <f t="shared" si="22"/>
        <v>367.33275000000003</v>
      </c>
      <c r="R186" s="14" t="str">
        <f t="shared" si="23"/>
        <v>Jan</v>
      </c>
    </row>
    <row r="187" spans="1:18" x14ac:dyDescent="0.3">
      <c r="A187" t="s">
        <v>1796</v>
      </c>
      <c r="B187" s="1">
        <v>45354</v>
      </c>
      <c r="C187" t="s">
        <v>1249</v>
      </c>
      <c r="D187" t="s">
        <v>1459</v>
      </c>
      <c r="E187" t="s">
        <v>1551</v>
      </c>
      <c r="F187">
        <v>3</v>
      </c>
      <c r="G187" s="14">
        <v>476.78</v>
      </c>
      <c r="H187" s="17">
        <v>0.09</v>
      </c>
      <c r="I187" t="s">
        <v>1614</v>
      </c>
      <c r="J187" s="14">
        <v>1301.6094000000001</v>
      </c>
      <c r="K187" s="14">
        <f t="shared" si="16"/>
        <v>616617.35723188415</v>
      </c>
      <c r="L187" s="14">
        <f t="shared" si="17"/>
        <v>606</v>
      </c>
      <c r="M187" s="14" t="str">
        <f t="shared" si="18"/>
        <v>03-03-2024</v>
      </c>
      <c r="N187" s="14">
        <f t="shared" si="19"/>
        <v>0.15291566529562478</v>
      </c>
      <c r="O187" s="20">
        <f t="shared" si="20"/>
        <v>2.5005046423855921</v>
      </c>
      <c r="P187" s="14">
        <f t="shared" si="21"/>
        <v>487.91990700544767</v>
      </c>
      <c r="Q187" s="14">
        <f t="shared" si="22"/>
        <v>445.36984999999999</v>
      </c>
      <c r="R187" s="14" t="str">
        <f t="shared" si="23"/>
        <v>Mar</v>
      </c>
    </row>
    <row r="188" spans="1:18" x14ac:dyDescent="0.3">
      <c r="A188" t="s">
        <v>1797</v>
      </c>
      <c r="B188" s="1">
        <v>45600</v>
      </c>
      <c r="C188" t="s">
        <v>1274</v>
      </c>
      <c r="D188" t="s">
        <v>1491</v>
      </c>
      <c r="E188" t="s">
        <v>1595</v>
      </c>
      <c r="F188">
        <v>2</v>
      </c>
      <c r="G188" s="14">
        <v>504.26</v>
      </c>
      <c r="H188" s="17">
        <v>0.04</v>
      </c>
      <c r="I188" t="s">
        <v>1611</v>
      </c>
      <c r="J188" s="14">
        <v>968.17919999999992</v>
      </c>
      <c r="K188" s="14">
        <f t="shared" si="16"/>
        <v>616617.35723188415</v>
      </c>
      <c r="L188" s="14">
        <f t="shared" si="17"/>
        <v>606</v>
      </c>
      <c r="M188" s="14" t="str">
        <f t="shared" si="18"/>
        <v>04-11-2024</v>
      </c>
      <c r="N188" s="14">
        <f t="shared" si="19"/>
        <v>0.15295040613786423</v>
      </c>
      <c r="O188" s="20">
        <f t="shared" si="20"/>
        <v>2.5002289826959592</v>
      </c>
      <c r="P188" s="14">
        <f t="shared" si="21"/>
        <v>487.92605485699596</v>
      </c>
      <c r="Q188" s="14">
        <f t="shared" si="22"/>
        <v>368.6198</v>
      </c>
      <c r="R188" s="14" t="str">
        <f t="shared" si="23"/>
        <v>Nov</v>
      </c>
    </row>
    <row r="189" spans="1:18" x14ac:dyDescent="0.3">
      <c r="A189" t="s">
        <v>1798</v>
      </c>
      <c r="B189" s="1">
        <v>45538</v>
      </c>
      <c r="C189" t="s">
        <v>866</v>
      </c>
      <c r="D189" t="s">
        <v>1495</v>
      </c>
      <c r="E189" t="s">
        <v>1561</v>
      </c>
      <c r="F189">
        <v>2</v>
      </c>
      <c r="G189" s="14">
        <v>549.33000000000004</v>
      </c>
      <c r="H189" s="17">
        <v>0.01</v>
      </c>
      <c r="I189" t="s">
        <v>1614</v>
      </c>
      <c r="J189" s="14">
        <v>1087.6733999999999</v>
      </c>
      <c r="K189" s="14">
        <f t="shared" si="16"/>
        <v>616617.35723188415</v>
      </c>
      <c r="L189" s="14">
        <f t="shared" si="17"/>
        <v>606</v>
      </c>
      <c r="M189" s="14" t="str">
        <f t="shared" si="18"/>
        <v>03-09-2024</v>
      </c>
      <c r="N189" s="14">
        <f t="shared" si="19"/>
        <v>0.15301280967716693</v>
      </c>
      <c r="O189" s="20">
        <f t="shared" si="20"/>
        <v>2.5005051996935825</v>
      </c>
      <c r="P189" s="14">
        <f t="shared" si="21"/>
        <v>487.91703556094791</v>
      </c>
      <c r="Q189" s="14">
        <f t="shared" si="22"/>
        <v>409.75334999999995</v>
      </c>
      <c r="R189" s="14" t="str">
        <f t="shared" si="23"/>
        <v>Sep</v>
      </c>
    </row>
    <row r="190" spans="1:18" x14ac:dyDescent="0.3">
      <c r="A190" t="s">
        <v>1799</v>
      </c>
      <c r="B190" s="1">
        <v>45411</v>
      </c>
      <c r="C190" t="s">
        <v>1193</v>
      </c>
      <c r="D190" t="s">
        <v>1338</v>
      </c>
      <c r="E190" t="s">
        <v>1551</v>
      </c>
      <c r="F190">
        <v>3</v>
      </c>
      <c r="G190" s="14">
        <v>620.22</v>
      </c>
      <c r="H190" s="17">
        <v>0.04</v>
      </c>
      <c r="I190" t="s">
        <v>1609</v>
      </c>
      <c r="J190" s="14">
        <v>1786.2336</v>
      </c>
      <c r="K190" s="14">
        <f t="shared" si="16"/>
        <v>616617.35723188415</v>
      </c>
      <c r="L190" s="14">
        <f t="shared" si="17"/>
        <v>606</v>
      </c>
      <c r="M190" s="14" t="str">
        <f t="shared" si="18"/>
        <v>29-04-2024</v>
      </c>
      <c r="N190" s="14">
        <f t="shared" si="19"/>
        <v>0.15309186595670102</v>
      </c>
      <c r="O190" s="20">
        <f t="shared" si="20"/>
        <v>2.5007817219033579</v>
      </c>
      <c r="P190" s="14">
        <f t="shared" si="21"/>
        <v>487.88310574634073</v>
      </c>
      <c r="Q190" s="14">
        <f t="shared" si="22"/>
        <v>602.37339999999995</v>
      </c>
      <c r="R190" s="14" t="str">
        <f t="shared" si="23"/>
        <v>Apr</v>
      </c>
    </row>
    <row r="191" spans="1:18" x14ac:dyDescent="0.3">
      <c r="A191" t="s">
        <v>1800</v>
      </c>
      <c r="B191" s="1">
        <v>45411</v>
      </c>
      <c r="C191" t="s">
        <v>329</v>
      </c>
      <c r="D191" t="s">
        <v>1425</v>
      </c>
      <c r="E191" t="s">
        <v>1551</v>
      </c>
      <c r="F191">
        <v>1</v>
      </c>
      <c r="G191" s="14">
        <v>580.76</v>
      </c>
      <c r="H191" s="17">
        <v>0.1</v>
      </c>
      <c r="I191" t="s">
        <v>1614</v>
      </c>
      <c r="J191" s="14">
        <v>522.68399999999997</v>
      </c>
      <c r="K191" s="14">
        <f t="shared" si="16"/>
        <v>614831.12363188411</v>
      </c>
      <c r="L191" s="14">
        <f t="shared" si="17"/>
        <v>605</v>
      </c>
      <c r="M191" s="14" t="str">
        <f t="shared" si="18"/>
        <v>29-04-2024</v>
      </c>
      <c r="N191" s="14">
        <f t="shared" si="19"/>
        <v>0.15315441676751779</v>
      </c>
      <c r="O191" s="20">
        <f t="shared" si="20"/>
        <v>2.5005057582338743</v>
      </c>
      <c r="P191" s="14">
        <f t="shared" si="21"/>
        <v>487.80995102314904</v>
      </c>
      <c r="Q191" s="14">
        <f t="shared" si="22"/>
        <v>276.13599999999997</v>
      </c>
      <c r="R191" s="14" t="str">
        <f t="shared" si="23"/>
        <v>Apr</v>
      </c>
    </row>
    <row r="192" spans="1:18" x14ac:dyDescent="0.3">
      <c r="A192" t="s">
        <v>1801</v>
      </c>
      <c r="B192" s="1">
        <v>45775</v>
      </c>
      <c r="C192" t="s">
        <v>1050</v>
      </c>
      <c r="D192" t="s">
        <v>1475</v>
      </c>
      <c r="E192" t="s">
        <v>1571</v>
      </c>
      <c r="F192">
        <v>3</v>
      </c>
      <c r="G192" s="14">
        <v>444.55</v>
      </c>
      <c r="H192" s="17">
        <v>0.14000000000000001</v>
      </c>
      <c r="I192" t="s">
        <v>1611</v>
      </c>
      <c r="J192" s="14">
        <v>1146.9390000000001</v>
      </c>
      <c r="K192" s="14">
        <f t="shared" si="16"/>
        <v>614831.12363188411</v>
      </c>
      <c r="L192" s="14">
        <f t="shared" si="17"/>
        <v>605</v>
      </c>
      <c r="M192" s="14" t="str">
        <f t="shared" si="18"/>
        <v>28-04-2025</v>
      </c>
      <c r="N192" s="14">
        <f t="shared" si="19"/>
        <v>0.15318383260413512</v>
      </c>
      <c r="O192" s="20">
        <f t="shared" si="20"/>
        <v>2.5013356839851095</v>
      </c>
      <c r="P192" s="14">
        <f t="shared" si="21"/>
        <v>487.75854059783006</v>
      </c>
      <c r="Q192" s="14">
        <f t="shared" si="22"/>
        <v>398.65725000000003</v>
      </c>
      <c r="R192" s="14" t="str">
        <f t="shared" si="23"/>
        <v>Apr</v>
      </c>
    </row>
    <row r="193" spans="1:18" x14ac:dyDescent="0.3">
      <c r="A193" t="s">
        <v>1802</v>
      </c>
      <c r="B193" s="1">
        <v>45459</v>
      </c>
      <c r="C193" t="s">
        <v>470</v>
      </c>
      <c r="D193" t="s">
        <v>1425</v>
      </c>
      <c r="E193" t="s">
        <v>1595</v>
      </c>
      <c r="F193">
        <v>1</v>
      </c>
      <c r="G193" s="14">
        <v>804.9</v>
      </c>
      <c r="H193" s="17">
        <v>0.03</v>
      </c>
      <c r="I193" t="s">
        <v>1611</v>
      </c>
      <c r="J193" s="14">
        <v>780.75299999999993</v>
      </c>
      <c r="K193" s="14">
        <f t="shared" si="16"/>
        <v>614831.12363188411</v>
      </c>
      <c r="L193" s="14">
        <f t="shared" si="17"/>
        <v>605</v>
      </c>
      <c r="M193" s="14" t="str">
        <f t="shared" si="18"/>
        <v>16-06-2024</v>
      </c>
      <c r="N193" s="14">
        <f t="shared" si="19"/>
        <v>0.15319113262218834</v>
      </c>
      <c r="O193" s="20">
        <f t="shared" si="20"/>
        <v>2.5010597214416594</v>
      </c>
      <c r="P193" s="14">
        <f t="shared" si="21"/>
        <v>487.78245235244975</v>
      </c>
      <c r="Q193" s="14">
        <f t="shared" si="22"/>
        <v>396.67075</v>
      </c>
      <c r="R193" s="14" t="str">
        <f t="shared" si="23"/>
        <v>Jun</v>
      </c>
    </row>
    <row r="194" spans="1:18" x14ac:dyDescent="0.3">
      <c r="A194" t="s">
        <v>1803</v>
      </c>
      <c r="B194" s="1">
        <v>45617</v>
      </c>
      <c r="C194" t="s">
        <v>1245</v>
      </c>
      <c r="D194" t="s">
        <v>1517</v>
      </c>
      <c r="E194" t="s">
        <v>1584</v>
      </c>
      <c r="F194">
        <v>3</v>
      </c>
      <c r="G194" s="14">
        <v>361.65</v>
      </c>
      <c r="H194" s="17">
        <v>0.15</v>
      </c>
      <c r="I194" t="s">
        <v>1614</v>
      </c>
      <c r="J194" s="14">
        <v>922.20749999999987</v>
      </c>
      <c r="K194" s="14">
        <f t="shared" ref="K194:K257" si="24">SUMIF(I194:I2193,"Credit Card",J194:J2193)</f>
        <v>614831.12363188411</v>
      </c>
      <c r="L194" s="14">
        <f t="shared" ref="L194:L257" si="25">COUNTIF(I194:I2193,"Credit Card")</f>
        <v>605</v>
      </c>
      <c r="M194" s="14" t="str">
        <f t="shared" ref="M194:M257" si="26">TEXT(B194:B2193,"dd-mm-yyyy")</f>
        <v>21-11-2024</v>
      </c>
      <c r="N194" s="14">
        <f t="shared" ref="N194:N257" si="27">AVERAGE(H194:H2193)</f>
        <v>0.1532593825571591</v>
      </c>
      <c r="O194" s="20">
        <f t="shared" ref="O194:O257" si="28">AVERAGE(F194:F2193)</f>
        <v>2.5018908730039198</v>
      </c>
      <c r="P194" s="14">
        <f t="shared" ref="P194:P257" si="29">AVERAGE(G194:G2193)</f>
        <v>487.60686124079547</v>
      </c>
      <c r="Q194" s="14">
        <f t="shared" ref="Q194:Q257" si="30">AVERAGE(F194,G194,H194,J194)</f>
        <v>321.75187499999993</v>
      </c>
      <c r="R194" s="14" t="str">
        <f t="shared" ref="R194:R257" si="31">TEXT(M194,"mmm")</f>
        <v>Nov</v>
      </c>
    </row>
    <row r="195" spans="1:18" x14ac:dyDescent="0.3">
      <c r="A195" t="s">
        <v>1804</v>
      </c>
      <c r="B195" s="1">
        <v>45763</v>
      </c>
      <c r="C195" t="s">
        <v>541</v>
      </c>
      <c r="D195" t="s">
        <v>1345</v>
      </c>
      <c r="E195" t="s">
        <v>1554</v>
      </c>
      <c r="F195">
        <v>1</v>
      </c>
      <c r="G195" s="14">
        <v>271.76</v>
      </c>
      <c r="H195" s="17">
        <v>0.03</v>
      </c>
      <c r="I195" t="s">
        <v>1609</v>
      </c>
      <c r="J195" s="14">
        <v>263.60719999999998</v>
      </c>
      <c r="K195" s="14">
        <f t="shared" si="24"/>
        <v>614831.12363188411</v>
      </c>
      <c r="L195" s="14">
        <f t="shared" si="25"/>
        <v>605</v>
      </c>
      <c r="M195" s="14" t="str">
        <f t="shared" si="26"/>
        <v>16-04-2025</v>
      </c>
      <c r="N195" s="14">
        <f t="shared" si="27"/>
        <v>0.15326118931023952</v>
      </c>
      <c r="O195" s="20">
        <f t="shared" si="28"/>
        <v>2.5016149122687419</v>
      </c>
      <c r="P195" s="14">
        <f t="shared" si="29"/>
        <v>487.67664343538871</v>
      </c>
      <c r="Q195" s="14">
        <f t="shared" si="30"/>
        <v>134.09929999999997</v>
      </c>
      <c r="R195" s="14" t="str">
        <f t="shared" si="31"/>
        <v>Apr</v>
      </c>
    </row>
    <row r="196" spans="1:18" x14ac:dyDescent="0.3">
      <c r="A196" t="s">
        <v>1805</v>
      </c>
      <c r="B196" s="1">
        <v>45618</v>
      </c>
      <c r="C196" t="s">
        <v>1017</v>
      </c>
      <c r="D196" t="s">
        <v>1431</v>
      </c>
      <c r="E196" t="s">
        <v>1574</v>
      </c>
      <c r="F196">
        <v>3</v>
      </c>
      <c r="G196" s="14">
        <v>958.15</v>
      </c>
      <c r="H196" s="17">
        <v>0.24</v>
      </c>
      <c r="I196" t="s">
        <v>1614</v>
      </c>
      <c r="J196" s="14">
        <v>2184.5819999999999</v>
      </c>
      <c r="K196" s="14">
        <f t="shared" si="24"/>
        <v>614567.51643188414</v>
      </c>
      <c r="L196" s="14">
        <f t="shared" si="25"/>
        <v>604</v>
      </c>
      <c r="M196" s="14" t="str">
        <f t="shared" si="26"/>
        <v>22-11-2024</v>
      </c>
      <c r="N196" s="14">
        <f t="shared" si="27"/>
        <v>0.15332955380791577</v>
      </c>
      <c r="O196" s="20">
        <f t="shared" si="28"/>
        <v>2.5024472930405093</v>
      </c>
      <c r="P196" s="14">
        <f t="shared" si="29"/>
        <v>487.79633115347929</v>
      </c>
      <c r="Q196" s="14">
        <f t="shared" si="30"/>
        <v>786.49299999999994</v>
      </c>
      <c r="R196" s="14" t="str">
        <f t="shared" si="31"/>
        <v>Nov</v>
      </c>
    </row>
    <row r="197" spans="1:18" x14ac:dyDescent="0.3">
      <c r="A197" t="s">
        <v>1806</v>
      </c>
      <c r="B197" s="1">
        <v>45290</v>
      </c>
      <c r="C197" t="s">
        <v>1248</v>
      </c>
      <c r="D197" t="s">
        <v>1453</v>
      </c>
      <c r="E197" t="s">
        <v>1592</v>
      </c>
      <c r="F197">
        <v>1</v>
      </c>
      <c r="G197" s="14">
        <v>889.19</v>
      </c>
      <c r="H197" s="17">
        <v>0.03</v>
      </c>
      <c r="I197" t="s">
        <v>1609</v>
      </c>
      <c r="J197" s="14">
        <v>862.51430000000005</v>
      </c>
      <c r="K197" s="14">
        <f t="shared" si="24"/>
        <v>614567.51643188414</v>
      </c>
      <c r="L197" s="14">
        <f t="shared" si="25"/>
        <v>604</v>
      </c>
      <c r="M197" s="14" t="str">
        <f t="shared" si="26"/>
        <v>30-12-2023</v>
      </c>
      <c r="N197" s="14">
        <f t="shared" si="27"/>
        <v>0.15328145700092791</v>
      </c>
      <c r="O197" s="20">
        <f t="shared" si="28"/>
        <v>2.502171334800376</v>
      </c>
      <c r="P197" s="14">
        <f t="shared" si="29"/>
        <v>487.53545834768539</v>
      </c>
      <c r="Q197" s="14">
        <f t="shared" si="30"/>
        <v>438.18357500000002</v>
      </c>
      <c r="R197" s="14" t="str">
        <f t="shared" si="31"/>
        <v>Dec</v>
      </c>
    </row>
    <row r="198" spans="1:18" x14ac:dyDescent="0.3">
      <c r="A198" t="s">
        <v>1807</v>
      </c>
      <c r="B198" s="1">
        <v>45904</v>
      </c>
      <c r="C198" t="s">
        <v>1285</v>
      </c>
      <c r="D198" t="s">
        <v>1447</v>
      </c>
      <c r="E198" t="s">
        <v>1589</v>
      </c>
      <c r="F198">
        <v>4</v>
      </c>
      <c r="G198" s="14">
        <v>689.67</v>
      </c>
      <c r="H198" s="17">
        <v>0.05</v>
      </c>
      <c r="I198" t="s">
        <v>1614</v>
      </c>
      <c r="J198" s="14">
        <v>2620.7460000000001</v>
      </c>
      <c r="K198" s="14">
        <f t="shared" si="24"/>
        <v>613705.00213188434</v>
      </c>
      <c r="L198" s="14">
        <f t="shared" si="25"/>
        <v>603</v>
      </c>
      <c r="M198" s="14" t="str">
        <f t="shared" si="26"/>
        <v>04-09-2025</v>
      </c>
      <c r="N198" s="14">
        <f t="shared" si="27"/>
        <v>0.15334990867055642</v>
      </c>
      <c r="O198" s="20">
        <f t="shared" si="28"/>
        <v>2.5030049481937171</v>
      </c>
      <c r="P198" s="14">
        <f t="shared" si="29"/>
        <v>487.31256459538105</v>
      </c>
      <c r="Q198" s="14">
        <f t="shared" si="30"/>
        <v>828.61649999999997</v>
      </c>
      <c r="R198" s="14" t="str">
        <f t="shared" si="31"/>
        <v>Sep</v>
      </c>
    </row>
    <row r="199" spans="1:18" x14ac:dyDescent="0.3">
      <c r="A199" t="s">
        <v>1808</v>
      </c>
      <c r="B199" s="1">
        <v>45227</v>
      </c>
      <c r="C199" t="s">
        <v>461</v>
      </c>
      <c r="D199" t="s">
        <v>1421</v>
      </c>
      <c r="E199" t="s">
        <v>1577</v>
      </c>
      <c r="F199">
        <v>1</v>
      </c>
      <c r="G199" s="14">
        <v>541.24</v>
      </c>
      <c r="H199" s="17">
        <v>0.03</v>
      </c>
      <c r="I199" t="s">
        <v>1611</v>
      </c>
      <c r="J199" s="14">
        <v>525.00279999999998</v>
      </c>
      <c r="K199" s="14">
        <f t="shared" si="24"/>
        <v>613705.00213188434</v>
      </c>
      <c r="L199" s="14">
        <f t="shared" si="25"/>
        <v>603</v>
      </c>
      <c r="M199" s="14" t="str">
        <f t="shared" si="26"/>
        <v>28-10-2023</v>
      </c>
      <c r="N199" s="14">
        <f t="shared" si="27"/>
        <v>0.15340732528648449</v>
      </c>
      <c r="O199" s="20">
        <f t="shared" si="28"/>
        <v>2.5021737460550133</v>
      </c>
      <c r="P199" s="14">
        <f t="shared" si="29"/>
        <v>487.20020621925408</v>
      </c>
      <c r="Q199" s="14">
        <f t="shared" si="30"/>
        <v>266.81819999999999</v>
      </c>
      <c r="R199" s="14" t="str">
        <f t="shared" si="31"/>
        <v>Oct</v>
      </c>
    </row>
    <row r="200" spans="1:18" x14ac:dyDescent="0.3">
      <c r="A200" t="s">
        <v>1809</v>
      </c>
      <c r="B200" s="1">
        <v>45600</v>
      </c>
      <c r="C200" t="s">
        <v>1269</v>
      </c>
      <c r="D200" t="s">
        <v>1495</v>
      </c>
      <c r="E200" t="s">
        <v>1561</v>
      </c>
      <c r="F200">
        <v>1</v>
      </c>
      <c r="G200" s="14">
        <v>454.71</v>
      </c>
      <c r="H200" s="17">
        <v>0.16</v>
      </c>
      <c r="I200" t="s">
        <v>1611</v>
      </c>
      <c r="J200" s="14">
        <v>381.95639999999997</v>
      </c>
      <c r="K200" s="14">
        <f t="shared" si="24"/>
        <v>613705.00213188434</v>
      </c>
      <c r="L200" s="14">
        <f t="shared" si="25"/>
        <v>603</v>
      </c>
      <c r="M200" s="14" t="str">
        <f t="shared" si="26"/>
        <v>04-11-2024</v>
      </c>
      <c r="N200" s="14">
        <f t="shared" si="27"/>
        <v>0.15347592302149646</v>
      </c>
      <c r="O200" s="20">
        <f t="shared" si="28"/>
        <v>2.5030082870250436</v>
      </c>
      <c r="P200" s="14">
        <f t="shared" si="29"/>
        <v>487.17018411159808</v>
      </c>
      <c r="Q200" s="14">
        <f t="shared" si="30"/>
        <v>209.45659999999998</v>
      </c>
      <c r="R200" s="14" t="str">
        <f t="shared" si="31"/>
        <v>Nov</v>
      </c>
    </row>
    <row r="201" spans="1:18" x14ac:dyDescent="0.3">
      <c r="A201" t="s">
        <v>1810</v>
      </c>
      <c r="B201" s="1">
        <v>45646</v>
      </c>
      <c r="C201" t="s">
        <v>150</v>
      </c>
      <c r="D201" t="s">
        <v>1465</v>
      </c>
      <c r="E201" t="s">
        <v>1558</v>
      </c>
      <c r="F201">
        <v>2</v>
      </c>
      <c r="G201" s="14">
        <v>397.63</v>
      </c>
      <c r="H201" s="17">
        <v>0.26</v>
      </c>
      <c r="I201" t="s">
        <v>1609</v>
      </c>
      <c r="J201" s="14">
        <v>588.49239999999998</v>
      </c>
      <c r="K201" s="14">
        <f t="shared" si="24"/>
        <v>613705.00213188434</v>
      </c>
      <c r="L201" s="14">
        <f t="shared" si="25"/>
        <v>603</v>
      </c>
      <c r="M201" s="14" t="str">
        <f t="shared" si="26"/>
        <v>20-12-2024</v>
      </c>
      <c r="N201" s="14">
        <f t="shared" si="27"/>
        <v>0.1534722945025985</v>
      </c>
      <c r="O201" s="20">
        <f t="shared" si="28"/>
        <v>2.503843755778254</v>
      </c>
      <c r="P201" s="14">
        <f t="shared" si="29"/>
        <v>487.18822757136002</v>
      </c>
      <c r="Q201" s="14">
        <f t="shared" si="30"/>
        <v>247.09559999999999</v>
      </c>
      <c r="R201" s="14" t="str">
        <f t="shared" si="31"/>
        <v>Dec</v>
      </c>
    </row>
    <row r="202" spans="1:18" x14ac:dyDescent="0.3">
      <c r="A202" t="s">
        <v>1811</v>
      </c>
      <c r="B202" s="1">
        <v>45725</v>
      </c>
      <c r="C202" t="s">
        <v>565</v>
      </c>
      <c r="D202" t="s">
        <v>1499</v>
      </c>
      <c r="E202" t="s">
        <v>1561</v>
      </c>
      <c r="F202">
        <v>3</v>
      </c>
      <c r="G202" s="14">
        <v>748.56</v>
      </c>
      <c r="H202" s="17">
        <v>0.26</v>
      </c>
      <c r="I202" t="s">
        <v>1611</v>
      </c>
      <c r="J202" s="14">
        <v>1661.8032000000001</v>
      </c>
      <c r="K202" s="14">
        <f t="shared" si="24"/>
        <v>613116.50973188423</v>
      </c>
      <c r="L202" s="14">
        <f t="shared" si="25"/>
        <v>602</v>
      </c>
      <c r="M202" s="14" t="str">
        <f t="shared" si="26"/>
        <v>09-03-2025</v>
      </c>
      <c r="N202" s="14">
        <f t="shared" si="27"/>
        <v>0.15341301364255547</v>
      </c>
      <c r="O202" s="20">
        <f t="shared" si="28"/>
        <v>2.5041239803365283</v>
      </c>
      <c r="P202" s="14">
        <f t="shared" si="29"/>
        <v>487.23803748658327</v>
      </c>
      <c r="Q202" s="14">
        <f t="shared" si="30"/>
        <v>603.4058</v>
      </c>
      <c r="R202" s="14" t="str">
        <f t="shared" si="31"/>
        <v>Mar</v>
      </c>
    </row>
    <row r="203" spans="1:18" x14ac:dyDescent="0.3">
      <c r="A203" t="s">
        <v>1812</v>
      </c>
      <c r="B203" s="1">
        <v>45742</v>
      </c>
      <c r="C203" t="s">
        <v>487</v>
      </c>
      <c r="D203" t="s">
        <v>1399</v>
      </c>
      <c r="E203" t="s">
        <v>1554</v>
      </c>
      <c r="F203">
        <v>1</v>
      </c>
      <c r="G203" s="14">
        <v>885.72</v>
      </c>
      <c r="H203" s="17">
        <v>0.15</v>
      </c>
      <c r="I203" t="s">
        <v>1609</v>
      </c>
      <c r="J203" s="14">
        <v>752.86199999999997</v>
      </c>
      <c r="K203" s="14">
        <f t="shared" si="24"/>
        <v>613116.50973188423</v>
      </c>
      <c r="L203" s="14">
        <f t="shared" si="25"/>
        <v>602</v>
      </c>
      <c r="M203" s="14" t="str">
        <f t="shared" si="26"/>
        <v>26-03-2025</v>
      </c>
      <c r="N203" s="14">
        <f t="shared" si="27"/>
        <v>0.15335366676819159</v>
      </c>
      <c r="O203" s="20">
        <f t="shared" si="28"/>
        <v>2.5038480337479569</v>
      </c>
      <c r="P203" s="14">
        <f t="shared" si="29"/>
        <v>487.09261624979217</v>
      </c>
      <c r="Q203" s="14">
        <f t="shared" si="30"/>
        <v>409.93299999999999</v>
      </c>
      <c r="R203" s="14" t="str">
        <f t="shared" si="31"/>
        <v>Mar</v>
      </c>
    </row>
    <row r="204" spans="1:18" x14ac:dyDescent="0.3">
      <c r="A204" t="s">
        <v>1813</v>
      </c>
      <c r="B204" s="1">
        <v>45750</v>
      </c>
      <c r="C204" t="s">
        <v>381</v>
      </c>
      <c r="D204" t="s">
        <v>1457</v>
      </c>
      <c r="E204" t="s">
        <v>1542</v>
      </c>
      <c r="F204">
        <v>4</v>
      </c>
      <c r="G204" s="14">
        <v>408.07</v>
      </c>
      <c r="H204" s="17">
        <v>0.28000000000000003</v>
      </c>
      <c r="I204" t="s">
        <v>1614</v>
      </c>
      <c r="J204" s="14">
        <v>1175.2416000000001</v>
      </c>
      <c r="K204" s="14">
        <f t="shared" si="24"/>
        <v>612363.64773188427</v>
      </c>
      <c r="L204" s="14">
        <f t="shared" si="25"/>
        <v>601</v>
      </c>
      <c r="M204" s="14" t="str">
        <f t="shared" si="26"/>
        <v>03-04-2025</v>
      </c>
      <c r="N204" s="14">
        <f t="shared" si="27"/>
        <v>0.15335553510622404</v>
      </c>
      <c r="O204" s="20">
        <f t="shared" si="28"/>
        <v>2.5046853656153001</v>
      </c>
      <c r="P204" s="14">
        <f t="shared" si="29"/>
        <v>486.870663363517</v>
      </c>
      <c r="Q204" s="14">
        <f t="shared" si="30"/>
        <v>396.89789999999999</v>
      </c>
      <c r="R204" s="14" t="str">
        <f t="shared" si="31"/>
        <v>Apr</v>
      </c>
    </row>
    <row r="205" spans="1:18" x14ac:dyDescent="0.3">
      <c r="A205" t="s">
        <v>1814</v>
      </c>
      <c r="B205" s="1">
        <v>45327</v>
      </c>
      <c r="C205" t="s">
        <v>1293</v>
      </c>
      <c r="D205" t="s">
        <v>1401</v>
      </c>
      <c r="E205" t="s">
        <v>1571</v>
      </c>
      <c r="F205">
        <v>2</v>
      </c>
      <c r="G205" s="14">
        <v>597.07000000000005</v>
      </c>
      <c r="H205" s="17">
        <v>0.28000000000000003</v>
      </c>
      <c r="I205" t="s">
        <v>1611</v>
      </c>
      <c r="J205" s="14">
        <v>859.7808</v>
      </c>
      <c r="K205" s="14">
        <f t="shared" si="24"/>
        <v>612363.64773188427</v>
      </c>
      <c r="L205" s="14">
        <f t="shared" si="25"/>
        <v>601</v>
      </c>
      <c r="M205" s="14" t="str">
        <f t="shared" si="26"/>
        <v>05-02-2024</v>
      </c>
      <c r="N205" s="14">
        <f t="shared" si="27"/>
        <v>0.15328494175901455</v>
      </c>
      <c r="O205" s="20">
        <f t="shared" si="28"/>
        <v>2.5038523212507404</v>
      </c>
      <c r="P205" s="14">
        <f t="shared" si="29"/>
        <v>486.91456345452735</v>
      </c>
      <c r="Q205" s="14">
        <f t="shared" si="30"/>
        <v>364.78269999999998</v>
      </c>
      <c r="R205" s="14" t="str">
        <f t="shared" si="31"/>
        <v>Feb</v>
      </c>
    </row>
    <row r="206" spans="1:18" x14ac:dyDescent="0.3">
      <c r="A206" t="s">
        <v>1815</v>
      </c>
      <c r="B206" s="1">
        <v>45465</v>
      </c>
      <c r="C206" t="s">
        <v>97</v>
      </c>
      <c r="D206" t="s">
        <v>1467</v>
      </c>
      <c r="E206" t="s">
        <v>1571</v>
      </c>
      <c r="F206">
        <v>3</v>
      </c>
      <c r="G206" s="14">
        <v>723.47</v>
      </c>
      <c r="H206" s="17">
        <v>0.12</v>
      </c>
      <c r="I206" t="s">
        <v>1614</v>
      </c>
      <c r="J206" s="14">
        <v>1909.9608000000001</v>
      </c>
      <c r="K206" s="14">
        <f t="shared" si="24"/>
        <v>612363.64773188427</v>
      </c>
      <c r="L206" s="14">
        <f t="shared" si="25"/>
        <v>601</v>
      </c>
      <c r="M206" s="14" t="str">
        <f t="shared" si="26"/>
        <v>22-06-2024</v>
      </c>
      <c r="N206" s="14">
        <f t="shared" si="27"/>
        <v>0.1532142696685288</v>
      </c>
      <c r="O206" s="20">
        <f t="shared" si="28"/>
        <v>2.5041331753874458</v>
      </c>
      <c r="P206" s="14">
        <f t="shared" si="29"/>
        <v>486.85316131598472</v>
      </c>
      <c r="Q206" s="14">
        <f t="shared" si="30"/>
        <v>659.1377</v>
      </c>
      <c r="R206" s="14" t="str">
        <f t="shared" si="31"/>
        <v>Jun</v>
      </c>
    </row>
    <row r="207" spans="1:18" x14ac:dyDescent="0.3">
      <c r="A207" t="s">
        <v>1816</v>
      </c>
      <c r="B207" s="1">
        <v>45883</v>
      </c>
      <c r="C207" t="s">
        <v>1258</v>
      </c>
      <c r="D207" t="s">
        <v>1509</v>
      </c>
      <c r="E207" t="s">
        <v>1558</v>
      </c>
      <c r="F207">
        <v>1</v>
      </c>
      <c r="G207" s="14">
        <v>479.93</v>
      </c>
      <c r="H207" s="17">
        <v>0.22</v>
      </c>
      <c r="I207" t="s">
        <v>1609</v>
      </c>
      <c r="J207" s="14">
        <v>374.34539999999998</v>
      </c>
      <c r="K207" s="14">
        <f t="shared" si="24"/>
        <v>612363.64773188427</v>
      </c>
      <c r="L207" s="14">
        <f t="shared" si="25"/>
        <v>601</v>
      </c>
      <c r="M207" s="14" t="str">
        <f t="shared" si="26"/>
        <v>14-08-2025</v>
      </c>
      <c r="N207" s="14">
        <f t="shared" si="27"/>
        <v>0.15323280441722775</v>
      </c>
      <c r="O207" s="20">
        <f t="shared" si="28"/>
        <v>2.5038566183185043</v>
      </c>
      <c r="P207" s="14">
        <f t="shared" si="29"/>
        <v>486.72119431169915</v>
      </c>
      <c r="Q207" s="14">
        <f t="shared" si="30"/>
        <v>213.87385</v>
      </c>
      <c r="R207" s="14" t="str">
        <f t="shared" si="31"/>
        <v>Aug</v>
      </c>
    </row>
    <row r="208" spans="1:18" x14ac:dyDescent="0.3">
      <c r="A208" t="s">
        <v>1817</v>
      </c>
      <c r="B208" s="1">
        <v>45445</v>
      </c>
      <c r="C208" t="s">
        <v>779</v>
      </c>
      <c r="D208" t="s">
        <v>1401</v>
      </c>
      <c r="E208" t="s">
        <v>1589</v>
      </c>
      <c r="F208">
        <v>4</v>
      </c>
      <c r="G208" s="14">
        <v>362.81</v>
      </c>
      <c r="H208" s="17">
        <v>0.21</v>
      </c>
      <c r="I208" t="s">
        <v>1614</v>
      </c>
      <c r="J208" s="14">
        <v>1146.4795999999999</v>
      </c>
      <c r="K208" s="14">
        <f t="shared" si="24"/>
        <v>611989.30233188428</v>
      </c>
      <c r="L208" s="14">
        <f t="shared" si="25"/>
        <v>600</v>
      </c>
      <c r="M208" s="14" t="str">
        <f t="shared" si="26"/>
        <v>02-06-2024</v>
      </c>
      <c r="N208" s="14">
        <f t="shared" si="27"/>
        <v>0.15319552513437862</v>
      </c>
      <c r="O208" s="20">
        <f t="shared" si="28"/>
        <v>2.5046958240206911</v>
      </c>
      <c r="P208" s="14">
        <f t="shared" si="29"/>
        <v>486.72498404066766</v>
      </c>
      <c r="Q208" s="14">
        <f t="shared" si="30"/>
        <v>378.37489999999997</v>
      </c>
      <c r="R208" s="14" t="str">
        <f t="shared" si="31"/>
        <v>Jun</v>
      </c>
    </row>
    <row r="209" spans="1:18" x14ac:dyDescent="0.3">
      <c r="A209" t="s">
        <v>1818</v>
      </c>
      <c r="B209" s="1">
        <v>45640</v>
      </c>
      <c r="C209" t="s">
        <v>610</v>
      </c>
      <c r="D209" t="s">
        <v>1491</v>
      </c>
      <c r="E209" t="s">
        <v>1551</v>
      </c>
      <c r="F209">
        <v>1</v>
      </c>
      <c r="G209" s="14">
        <v>127.11</v>
      </c>
      <c r="H209" s="17">
        <v>0.01</v>
      </c>
      <c r="I209" t="s">
        <v>1611</v>
      </c>
      <c r="J209" s="14">
        <v>125.8389</v>
      </c>
      <c r="K209" s="14">
        <f t="shared" si="24"/>
        <v>611989.30233188428</v>
      </c>
      <c r="L209" s="14">
        <f t="shared" si="25"/>
        <v>600</v>
      </c>
      <c r="M209" s="14" t="str">
        <f t="shared" si="26"/>
        <v>14-12-2024</v>
      </c>
      <c r="N209" s="14">
        <f t="shared" si="27"/>
        <v>0.15316379079087827</v>
      </c>
      <c r="O209" s="20">
        <f t="shared" si="28"/>
        <v>2.5038609249832935</v>
      </c>
      <c r="P209" s="14">
        <f t="shared" si="29"/>
        <v>486.794171636447</v>
      </c>
      <c r="Q209" s="14">
        <f t="shared" si="30"/>
        <v>63.489725</v>
      </c>
      <c r="R209" s="14" t="str">
        <f t="shared" si="31"/>
        <v>Dec</v>
      </c>
    </row>
    <row r="210" spans="1:18" x14ac:dyDescent="0.3">
      <c r="A210" t="s">
        <v>1819</v>
      </c>
      <c r="B210" s="1">
        <v>45411</v>
      </c>
      <c r="C210" t="s">
        <v>607</v>
      </c>
      <c r="D210" t="s">
        <v>1401</v>
      </c>
      <c r="E210" t="s">
        <v>1592</v>
      </c>
      <c r="F210">
        <v>4</v>
      </c>
      <c r="G210" s="14">
        <v>931.26</v>
      </c>
      <c r="H210" s="17">
        <v>0.04</v>
      </c>
      <c r="I210" t="s">
        <v>1609</v>
      </c>
      <c r="J210" s="14">
        <v>3576.0383999999999</v>
      </c>
      <c r="K210" s="14">
        <f t="shared" si="24"/>
        <v>611989.30233188428</v>
      </c>
      <c r="L210" s="14">
        <f t="shared" si="25"/>
        <v>600</v>
      </c>
      <c r="M210" s="14" t="str">
        <f t="shared" si="26"/>
        <v>29-04-2024</v>
      </c>
      <c r="N210" s="14">
        <f t="shared" si="27"/>
        <v>0.15324381526868203</v>
      </c>
      <c r="O210" s="20">
        <f t="shared" si="28"/>
        <v>2.5047010707514406</v>
      </c>
      <c r="P210" s="14">
        <f t="shared" si="29"/>
        <v>486.9951125144562</v>
      </c>
      <c r="Q210" s="14">
        <f t="shared" si="30"/>
        <v>1127.8345999999999</v>
      </c>
      <c r="R210" s="14" t="str">
        <f t="shared" si="31"/>
        <v>Apr</v>
      </c>
    </row>
    <row r="211" spans="1:18" x14ac:dyDescent="0.3">
      <c r="A211" t="s">
        <v>1820</v>
      </c>
      <c r="B211" s="1">
        <v>45224</v>
      </c>
      <c r="C211" t="s">
        <v>1160</v>
      </c>
      <c r="D211" t="s">
        <v>1467</v>
      </c>
      <c r="E211" t="s">
        <v>1567</v>
      </c>
      <c r="F211">
        <v>1</v>
      </c>
      <c r="G211" s="14">
        <v>620.80999999999995</v>
      </c>
      <c r="H211" s="17">
        <v>0.04</v>
      </c>
      <c r="I211" t="s">
        <v>1611</v>
      </c>
      <c r="J211" s="14">
        <v>595.97759999999994</v>
      </c>
      <c r="K211" s="14">
        <f t="shared" si="24"/>
        <v>608413.26393188431</v>
      </c>
      <c r="L211" s="14">
        <f t="shared" si="25"/>
        <v>599</v>
      </c>
      <c r="M211" s="14" t="str">
        <f t="shared" si="26"/>
        <v>25-10-2023</v>
      </c>
      <c r="N211" s="14">
        <f t="shared" si="27"/>
        <v>0.15330715073583451</v>
      </c>
      <c r="O211" s="20">
        <f t="shared" si="28"/>
        <v>2.5038652412772939</v>
      </c>
      <c r="P211" s="14">
        <f t="shared" si="29"/>
        <v>486.74678110725353</v>
      </c>
      <c r="Q211" s="14">
        <f t="shared" si="30"/>
        <v>304.45689999999996</v>
      </c>
      <c r="R211" s="14" t="str">
        <f t="shared" si="31"/>
        <v>Oct</v>
      </c>
    </row>
    <row r="212" spans="1:18" x14ac:dyDescent="0.3">
      <c r="A212" t="s">
        <v>1821</v>
      </c>
      <c r="B212" s="1">
        <v>45497</v>
      </c>
      <c r="C212" t="s">
        <v>338</v>
      </c>
      <c r="D212" t="s">
        <v>1433</v>
      </c>
      <c r="E212" t="s">
        <v>1546</v>
      </c>
      <c r="F212">
        <v>1</v>
      </c>
      <c r="G212" s="14">
        <v>823.26</v>
      </c>
      <c r="H212" s="17">
        <v>0.27</v>
      </c>
      <c r="I212" t="s">
        <v>1614</v>
      </c>
      <c r="J212" s="14">
        <v>600.97979999999995</v>
      </c>
      <c r="K212" s="14">
        <f t="shared" si="24"/>
        <v>608413.26393188431</v>
      </c>
      <c r="L212" s="14">
        <f t="shared" si="25"/>
        <v>599</v>
      </c>
      <c r="M212" s="14" t="str">
        <f t="shared" si="26"/>
        <v>24-07-2024</v>
      </c>
      <c r="N212" s="14">
        <f t="shared" si="27"/>
        <v>0.15337055708767328</v>
      </c>
      <c r="O212" s="20">
        <f t="shared" si="28"/>
        <v>2.5047063292198426</v>
      </c>
      <c r="P212" s="14">
        <f t="shared" si="29"/>
        <v>486.67180167834255</v>
      </c>
      <c r="Q212" s="14">
        <f t="shared" si="30"/>
        <v>356.37744999999995</v>
      </c>
      <c r="R212" s="14" t="str">
        <f t="shared" si="31"/>
        <v>Jul</v>
      </c>
    </row>
    <row r="213" spans="1:18" x14ac:dyDescent="0.3">
      <c r="A213" t="s">
        <v>1822</v>
      </c>
      <c r="B213" s="1">
        <v>45807</v>
      </c>
      <c r="C213" t="s">
        <v>59</v>
      </c>
      <c r="D213" t="s">
        <v>1387</v>
      </c>
      <c r="E213" t="s">
        <v>1567</v>
      </c>
      <c r="F213">
        <v>3</v>
      </c>
      <c r="G213" s="14">
        <v>681.01</v>
      </c>
      <c r="H213" s="17">
        <v>0.27</v>
      </c>
      <c r="I213" t="s">
        <v>1614</v>
      </c>
      <c r="J213" s="14">
        <v>1491.4119000000001</v>
      </c>
      <c r="K213" s="14">
        <f t="shared" si="24"/>
        <v>608413.26393188431</v>
      </c>
      <c r="L213" s="14">
        <f t="shared" si="25"/>
        <v>599</v>
      </c>
      <c r="M213" s="14" t="str">
        <f t="shared" si="26"/>
        <v>30-05-2025</v>
      </c>
      <c r="N213" s="14">
        <f t="shared" si="27"/>
        <v>0.15330525504796871</v>
      </c>
      <c r="O213" s="20">
        <f t="shared" si="28"/>
        <v>2.505548358503122</v>
      </c>
      <c r="P213" s="14">
        <f t="shared" si="29"/>
        <v>486.48344790200144</v>
      </c>
      <c r="Q213" s="14">
        <f t="shared" si="30"/>
        <v>543.92297499999995</v>
      </c>
      <c r="R213" s="14" t="str">
        <f t="shared" si="31"/>
        <v>May</v>
      </c>
    </row>
    <row r="214" spans="1:18" x14ac:dyDescent="0.3">
      <c r="A214" t="s">
        <v>1823</v>
      </c>
      <c r="B214" s="1">
        <v>45942</v>
      </c>
      <c r="C214" t="s">
        <v>1263</v>
      </c>
      <c r="D214" t="s">
        <v>1445</v>
      </c>
      <c r="E214" t="s">
        <v>1598</v>
      </c>
      <c r="F214">
        <v>4</v>
      </c>
      <c r="G214" s="14">
        <v>119.83</v>
      </c>
      <c r="H214" s="17">
        <v>0.13</v>
      </c>
      <c r="I214" t="s">
        <v>1609</v>
      </c>
      <c r="J214" s="14">
        <v>417.00839999999999</v>
      </c>
      <c r="K214" s="14">
        <f t="shared" si="24"/>
        <v>608413.26393188431</v>
      </c>
      <c r="L214" s="14">
        <f t="shared" si="25"/>
        <v>599</v>
      </c>
      <c r="M214" s="14" t="str">
        <f t="shared" si="26"/>
        <v>12-10-2025</v>
      </c>
      <c r="N214" s="14">
        <f t="shared" si="27"/>
        <v>0.15323987984071269</v>
      </c>
      <c r="O214" s="20">
        <f t="shared" si="28"/>
        <v>2.505271509879663</v>
      </c>
      <c r="P214" s="14">
        <f t="shared" si="29"/>
        <v>486.37453045961735</v>
      </c>
      <c r="Q214" s="14">
        <f t="shared" si="30"/>
        <v>135.24209999999999</v>
      </c>
      <c r="R214" s="14" t="str">
        <f t="shared" si="31"/>
        <v>Oct</v>
      </c>
    </row>
    <row r="215" spans="1:18" x14ac:dyDescent="0.3">
      <c r="A215" t="s">
        <v>1824</v>
      </c>
      <c r="B215" s="1">
        <v>45314</v>
      </c>
      <c r="C215" t="s">
        <v>969</v>
      </c>
      <c r="D215" t="s">
        <v>1489</v>
      </c>
      <c r="E215" t="s">
        <v>1546</v>
      </c>
      <c r="F215">
        <v>1</v>
      </c>
      <c r="G215" s="14">
        <v>575.66</v>
      </c>
      <c r="H215" s="17">
        <v>0.03</v>
      </c>
      <c r="I215" t="s">
        <v>1611</v>
      </c>
      <c r="J215" s="14">
        <v>558.39019999999994</v>
      </c>
      <c r="K215" s="14">
        <f t="shared" si="24"/>
        <v>607996.25553188415</v>
      </c>
      <c r="L215" s="14">
        <f t="shared" si="25"/>
        <v>598</v>
      </c>
      <c r="M215" s="14" t="str">
        <f t="shared" si="26"/>
        <v>23-01-2024</v>
      </c>
      <c r="N215" s="14">
        <f t="shared" si="27"/>
        <v>0.15325290667918845</v>
      </c>
      <c r="O215" s="20">
        <f t="shared" si="28"/>
        <v>2.5044341269720323</v>
      </c>
      <c r="P215" s="14">
        <f t="shared" si="29"/>
        <v>486.57987753550509</v>
      </c>
      <c r="Q215" s="14">
        <f t="shared" si="30"/>
        <v>283.77004999999997</v>
      </c>
      <c r="R215" s="14" t="str">
        <f t="shared" si="31"/>
        <v>Jan</v>
      </c>
    </row>
    <row r="216" spans="1:18" x14ac:dyDescent="0.3">
      <c r="A216" t="s">
        <v>1825</v>
      </c>
      <c r="B216" s="1">
        <v>45943</v>
      </c>
      <c r="C216" t="s">
        <v>651</v>
      </c>
      <c r="D216" t="s">
        <v>1429</v>
      </c>
      <c r="E216" t="s">
        <v>1589</v>
      </c>
      <c r="F216">
        <v>1</v>
      </c>
      <c r="G216" s="14">
        <v>775.84</v>
      </c>
      <c r="H216" s="17">
        <v>0.26</v>
      </c>
      <c r="I216" t="s">
        <v>1609</v>
      </c>
      <c r="J216" s="14">
        <v>574.12160000000006</v>
      </c>
      <c r="K216" s="14">
        <f t="shared" si="24"/>
        <v>607996.25553188415</v>
      </c>
      <c r="L216" s="14">
        <f t="shared" si="25"/>
        <v>598</v>
      </c>
      <c r="M216" s="14" t="str">
        <f t="shared" si="26"/>
        <v>13-10-2025</v>
      </c>
      <c r="N216" s="14">
        <f t="shared" si="27"/>
        <v>0.15332203337951328</v>
      </c>
      <c r="O216" s="20">
        <f t="shared" si="28"/>
        <v>2.5052774196441021</v>
      </c>
      <c r="P216" s="14">
        <f t="shared" si="29"/>
        <v>486.52994473143303</v>
      </c>
      <c r="Q216" s="14">
        <f t="shared" si="30"/>
        <v>337.80540000000002</v>
      </c>
      <c r="R216" s="14" t="str">
        <f t="shared" si="31"/>
        <v>Oct</v>
      </c>
    </row>
    <row r="217" spans="1:18" x14ac:dyDescent="0.3">
      <c r="A217" t="s">
        <v>1826</v>
      </c>
      <c r="B217" s="1">
        <v>45356</v>
      </c>
      <c r="C217" t="s">
        <v>1264</v>
      </c>
      <c r="D217" t="s">
        <v>1361</v>
      </c>
      <c r="E217" t="s">
        <v>1571</v>
      </c>
      <c r="F217">
        <v>3</v>
      </c>
      <c r="G217" s="14">
        <v>318.43</v>
      </c>
      <c r="H217" s="17">
        <v>0.05</v>
      </c>
      <c r="I217" t="s">
        <v>1609</v>
      </c>
      <c r="J217" s="14">
        <v>907.52549999999997</v>
      </c>
      <c r="K217" s="14">
        <f t="shared" si="24"/>
        <v>607422.13393188419</v>
      </c>
      <c r="L217" s="14">
        <f t="shared" si="25"/>
        <v>597</v>
      </c>
      <c r="M217" s="14" t="str">
        <f t="shared" si="26"/>
        <v>05-03-2024</v>
      </c>
      <c r="N217" s="14">
        <f t="shared" si="27"/>
        <v>0.15326216920071387</v>
      </c>
      <c r="O217" s="20">
        <f t="shared" si="28"/>
        <v>2.5061216582417711</v>
      </c>
      <c r="P217" s="14">
        <f t="shared" si="29"/>
        <v>486.36768446487747</v>
      </c>
      <c r="Q217" s="14">
        <f t="shared" si="30"/>
        <v>307.251375</v>
      </c>
      <c r="R217" s="14" t="str">
        <f t="shared" si="31"/>
        <v>Mar</v>
      </c>
    </row>
    <row r="218" spans="1:18" x14ac:dyDescent="0.3">
      <c r="A218" t="s">
        <v>1827</v>
      </c>
      <c r="B218" s="1">
        <v>45854</v>
      </c>
      <c r="C218" t="s">
        <v>514</v>
      </c>
      <c r="D218" t="s">
        <v>1477</v>
      </c>
      <c r="E218" t="s">
        <v>1567</v>
      </c>
      <c r="F218">
        <v>3</v>
      </c>
      <c r="G218" s="14">
        <v>141.6</v>
      </c>
      <c r="H218" s="17">
        <v>0.08</v>
      </c>
      <c r="I218" t="s">
        <v>1614</v>
      </c>
      <c r="J218" s="14">
        <v>390.81599999999997</v>
      </c>
      <c r="K218" s="14">
        <f t="shared" si="24"/>
        <v>606514.60843188432</v>
      </c>
      <c r="L218" s="14">
        <f t="shared" si="25"/>
        <v>596</v>
      </c>
      <c r="M218" s="14" t="str">
        <f t="shared" si="26"/>
        <v>16-07-2025</v>
      </c>
      <c r="N218" s="14">
        <f t="shared" si="27"/>
        <v>0.15332014908235378</v>
      </c>
      <c r="O218" s="20">
        <f t="shared" si="28"/>
        <v>2.5058445099018396</v>
      </c>
      <c r="P218" s="14">
        <f t="shared" si="29"/>
        <v>486.46192558971751</v>
      </c>
      <c r="Q218" s="14">
        <f t="shared" si="30"/>
        <v>133.874</v>
      </c>
      <c r="R218" s="14" t="str">
        <f t="shared" si="31"/>
        <v>Jul</v>
      </c>
    </row>
    <row r="219" spans="1:18" x14ac:dyDescent="0.3">
      <c r="A219" t="s">
        <v>1828</v>
      </c>
      <c r="B219" s="1">
        <v>45219</v>
      </c>
      <c r="C219" t="s">
        <v>849</v>
      </c>
      <c r="D219" t="s">
        <v>1363</v>
      </c>
      <c r="E219" t="s">
        <v>1598</v>
      </c>
      <c r="F219">
        <v>1</v>
      </c>
      <c r="G219" s="14">
        <v>332.82</v>
      </c>
      <c r="H219" s="17">
        <v>0.14000000000000001</v>
      </c>
      <c r="I219" t="s">
        <v>1611</v>
      </c>
      <c r="J219" s="14">
        <v>286.22519999999997</v>
      </c>
      <c r="K219" s="14">
        <f t="shared" si="24"/>
        <v>606514.60843188432</v>
      </c>
      <c r="L219" s="14">
        <f t="shared" si="25"/>
        <v>596</v>
      </c>
      <c r="M219" s="14" t="str">
        <f t="shared" si="26"/>
        <v>20-10-2023</v>
      </c>
      <c r="N219" s="14">
        <f t="shared" si="27"/>
        <v>0.15336134017734387</v>
      </c>
      <c r="O219" s="20">
        <f t="shared" si="28"/>
        <v>2.5055670503341263</v>
      </c>
      <c r="P219" s="14">
        <f t="shared" si="29"/>
        <v>486.65555946146912</v>
      </c>
      <c r="Q219" s="14">
        <f t="shared" si="30"/>
        <v>155.04629999999997</v>
      </c>
      <c r="R219" s="14" t="str">
        <f t="shared" si="31"/>
        <v>Oct</v>
      </c>
    </row>
    <row r="220" spans="1:18" x14ac:dyDescent="0.3">
      <c r="A220" t="s">
        <v>1829</v>
      </c>
      <c r="B220" s="1">
        <v>45447</v>
      </c>
      <c r="C220" t="s">
        <v>788</v>
      </c>
      <c r="D220" t="s">
        <v>1477</v>
      </c>
      <c r="E220" t="s">
        <v>1542</v>
      </c>
      <c r="F220">
        <v>4</v>
      </c>
      <c r="G220" s="14">
        <v>640.97</v>
      </c>
      <c r="H220" s="17">
        <v>0.11</v>
      </c>
      <c r="I220" t="s">
        <v>1614</v>
      </c>
      <c r="J220" s="14">
        <v>2281.8532</v>
      </c>
      <c r="K220" s="14">
        <f t="shared" si="24"/>
        <v>606514.60843188432</v>
      </c>
      <c r="L220" s="14">
        <f t="shared" si="25"/>
        <v>596</v>
      </c>
      <c r="M220" s="14" t="str">
        <f t="shared" si="26"/>
        <v>04-06-2024</v>
      </c>
      <c r="N220" s="14">
        <f t="shared" si="27"/>
        <v>0.15336885076766277</v>
      </c>
      <c r="O220" s="20">
        <f t="shared" si="28"/>
        <v>2.5064128745197074</v>
      </c>
      <c r="P220" s="14">
        <f t="shared" si="29"/>
        <v>486.74198393307671</v>
      </c>
      <c r="Q220" s="14">
        <f t="shared" si="30"/>
        <v>731.73329999999999</v>
      </c>
      <c r="R220" s="14" t="str">
        <f t="shared" si="31"/>
        <v>Jun</v>
      </c>
    </row>
    <row r="221" spans="1:18" x14ac:dyDescent="0.3">
      <c r="A221" t="s">
        <v>1830</v>
      </c>
      <c r="B221" s="1">
        <v>45225</v>
      </c>
      <c r="C221" t="s">
        <v>663</v>
      </c>
      <c r="D221" t="s">
        <v>1513</v>
      </c>
      <c r="E221" t="s">
        <v>1586</v>
      </c>
      <c r="F221">
        <v>4</v>
      </c>
      <c r="G221" s="14">
        <v>75.37</v>
      </c>
      <c r="H221" s="17">
        <v>0.02</v>
      </c>
      <c r="I221" t="s">
        <v>1614</v>
      </c>
      <c r="J221" s="14">
        <v>295.4504</v>
      </c>
      <c r="K221" s="14">
        <f t="shared" si="24"/>
        <v>606514.60843188432</v>
      </c>
      <c r="L221" s="14">
        <f t="shared" si="25"/>
        <v>596</v>
      </c>
      <c r="M221" s="14" t="str">
        <f t="shared" si="26"/>
        <v>26-10-2023</v>
      </c>
      <c r="N221" s="14">
        <f t="shared" si="27"/>
        <v>0.15339324269722837</v>
      </c>
      <c r="O221" s="20">
        <f t="shared" si="28"/>
        <v>2.5055733089629446</v>
      </c>
      <c r="P221" s="14">
        <f t="shared" si="29"/>
        <v>486.65529027592839</v>
      </c>
      <c r="Q221" s="14">
        <f t="shared" si="30"/>
        <v>93.710099999999997</v>
      </c>
      <c r="R221" s="14" t="str">
        <f t="shared" si="31"/>
        <v>Oct</v>
      </c>
    </row>
    <row r="222" spans="1:18" x14ac:dyDescent="0.3">
      <c r="A222" t="s">
        <v>1831</v>
      </c>
      <c r="B222" s="1">
        <v>45754</v>
      </c>
      <c r="C222" t="s">
        <v>275</v>
      </c>
      <c r="D222" t="s">
        <v>1365</v>
      </c>
      <c r="E222" t="s">
        <v>1595</v>
      </c>
      <c r="F222">
        <v>3</v>
      </c>
      <c r="G222" s="14">
        <v>434.55</v>
      </c>
      <c r="H222" s="17">
        <v>0.08</v>
      </c>
      <c r="I222" t="s">
        <v>1614</v>
      </c>
      <c r="J222" s="14">
        <v>1199.3579999999999</v>
      </c>
      <c r="K222" s="14">
        <f t="shared" si="24"/>
        <v>606514.60843188432</v>
      </c>
      <c r="L222" s="14">
        <f t="shared" si="25"/>
        <v>596</v>
      </c>
      <c r="M222" s="14" t="str">
        <f t="shared" si="26"/>
        <v>07-04-2025</v>
      </c>
      <c r="N222" s="14">
        <f t="shared" si="27"/>
        <v>0.15346830923785712</v>
      </c>
      <c r="O222" s="20">
        <f t="shared" si="28"/>
        <v>2.5047327990129804</v>
      </c>
      <c r="P222" s="14">
        <f t="shared" si="29"/>
        <v>486.88660933682593</v>
      </c>
      <c r="Q222" s="14">
        <f t="shared" si="30"/>
        <v>409.24699999999996</v>
      </c>
      <c r="R222" s="14" t="str">
        <f t="shared" si="31"/>
        <v>Apr</v>
      </c>
    </row>
    <row r="223" spans="1:18" x14ac:dyDescent="0.3">
      <c r="A223" t="s">
        <v>1832</v>
      </c>
      <c r="B223" s="1">
        <v>45729</v>
      </c>
      <c r="C223" t="s">
        <v>353</v>
      </c>
      <c r="D223" t="s">
        <v>1385</v>
      </c>
      <c r="E223" t="s">
        <v>1584</v>
      </c>
      <c r="F223">
        <v>4</v>
      </c>
      <c r="G223" s="14">
        <v>652.28</v>
      </c>
      <c r="H223" s="17">
        <v>0.15</v>
      </c>
      <c r="I223" t="s">
        <v>1609</v>
      </c>
      <c r="J223" s="14">
        <v>2217.752</v>
      </c>
      <c r="K223" s="14">
        <f t="shared" si="24"/>
        <v>606514.60843188432</v>
      </c>
      <c r="L223" s="14">
        <f t="shared" si="25"/>
        <v>596</v>
      </c>
      <c r="M223" s="14" t="str">
        <f t="shared" si="26"/>
        <v>13-03-2025</v>
      </c>
      <c r="N223" s="14">
        <f t="shared" si="27"/>
        <v>0.15350967652909464</v>
      </c>
      <c r="O223" s="20">
        <f t="shared" si="28"/>
        <v>2.5044540892769152</v>
      </c>
      <c r="P223" s="14">
        <f t="shared" si="29"/>
        <v>486.9160615649277</v>
      </c>
      <c r="Q223" s="14">
        <f t="shared" si="30"/>
        <v>718.54549999999995</v>
      </c>
      <c r="R223" s="14" t="str">
        <f t="shared" si="31"/>
        <v>Mar</v>
      </c>
    </row>
    <row r="224" spans="1:18" x14ac:dyDescent="0.3">
      <c r="A224" t="s">
        <v>1833</v>
      </c>
      <c r="B224" s="1">
        <v>45480</v>
      </c>
      <c r="C224" t="s">
        <v>857</v>
      </c>
      <c r="D224" t="s">
        <v>1485</v>
      </c>
      <c r="E224" t="s">
        <v>1592</v>
      </c>
      <c r="F224">
        <v>3</v>
      </c>
      <c r="G224" s="14">
        <v>207.8</v>
      </c>
      <c r="H224" s="17">
        <v>0.15</v>
      </c>
      <c r="I224" t="s">
        <v>1609</v>
      </c>
      <c r="J224" s="14">
        <v>529.8900000000001</v>
      </c>
      <c r="K224" s="14">
        <f t="shared" si="24"/>
        <v>604296.85643188411</v>
      </c>
      <c r="L224" s="14">
        <f t="shared" si="25"/>
        <v>595</v>
      </c>
      <c r="M224" s="14" t="str">
        <f t="shared" si="26"/>
        <v>07-07-2024</v>
      </c>
      <c r="N224" s="14">
        <f t="shared" si="27"/>
        <v>0.15351165381164628</v>
      </c>
      <c r="O224" s="20">
        <f t="shared" si="28"/>
        <v>2.5036120026154722</v>
      </c>
      <c r="P224" s="14">
        <f t="shared" si="29"/>
        <v>486.82295123923234</v>
      </c>
      <c r="Q224" s="14">
        <f t="shared" si="30"/>
        <v>185.21000000000004</v>
      </c>
      <c r="R224" s="14" t="str">
        <f t="shared" si="31"/>
        <v>Jul</v>
      </c>
    </row>
    <row r="225" spans="1:18" x14ac:dyDescent="0.3">
      <c r="A225" t="s">
        <v>1834</v>
      </c>
      <c r="B225" s="1">
        <v>45361</v>
      </c>
      <c r="C225" t="s">
        <v>1316</v>
      </c>
      <c r="D225" t="s">
        <v>1455</v>
      </c>
      <c r="E225" t="s">
        <v>1586</v>
      </c>
      <c r="F225">
        <v>4</v>
      </c>
      <c r="G225" s="14">
        <v>385.5</v>
      </c>
      <c r="H225" s="17">
        <v>0.03</v>
      </c>
      <c r="I225" t="s">
        <v>1611</v>
      </c>
      <c r="J225" s="14">
        <v>1495.74</v>
      </c>
      <c r="K225" s="14">
        <f t="shared" si="24"/>
        <v>603766.9664318841</v>
      </c>
      <c r="L225" s="14">
        <f t="shared" si="25"/>
        <v>594</v>
      </c>
      <c r="M225" s="14" t="str">
        <f t="shared" si="26"/>
        <v>10-03-2024</v>
      </c>
      <c r="N225" s="14">
        <f t="shared" si="27"/>
        <v>0.15351363332337775</v>
      </c>
      <c r="O225" s="20">
        <f t="shared" si="28"/>
        <v>2.5033323474056783</v>
      </c>
      <c r="P225" s="14">
        <f t="shared" si="29"/>
        <v>486.98014726809947</v>
      </c>
      <c r="Q225" s="14">
        <f t="shared" si="30"/>
        <v>471.3175</v>
      </c>
      <c r="R225" s="14" t="str">
        <f t="shared" si="31"/>
        <v>Mar</v>
      </c>
    </row>
    <row r="226" spans="1:18" x14ac:dyDescent="0.3">
      <c r="A226" t="s">
        <v>1835</v>
      </c>
      <c r="B226" s="1">
        <v>45915</v>
      </c>
      <c r="C226" t="s">
        <v>344</v>
      </c>
      <c r="D226" t="s">
        <v>1463</v>
      </c>
      <c r="E226" t="s">
        <v>1561</v>
      </c>
      <c r="F226">
        <v>3</v>
      </c>
      <c r="G226" s="14">
        <v>548.19000000000005</v>
      </c>
      <c r="H226" s="17">
        <v>0.12</v>
      </c>
      <c r="I226" t="s">
        <v>1609</v>
      </c>
      <c r="J226" s="14">
        <v>1447.2216000000001</v>
      </c>
      <c r="K226" s="14">
        <f t="shared" si="24"/>
        <v>603766.9664318841</v>
      </c>
      <c r="L226" s="14">
        <f t="shared" si="25"/>
        <v>594</v>
      </c>
      <c r="M226" s="14" t="str">
        <f t="shared" si="26"/>
        <v>15-09-2025</v>
      </c>
      <c r="N226" s="14">
        <f t="shared" si="27"/>
        <v>0.15358329696315406</v>
      </c>
      <c r="O226" s="20">
        <f t="shared" si="28"/>
        <v>2.5024886790558507</v>
      </c>
      <c r="P226" s="14">
        <f t="shared" si="29"/>
        <v>487.03735140973879</v>
      </c>
      <c r="Q226" s="14">
        <f t="shared" si="30"/>
        <v>499.63290000000006</v>
      </c>
      <c r="R226" s="14" t="str">
        <f t="shared" si="31"/>
        <v>Sep</v>
      </c>
    </row>
    <row r="227" spans="1:18" x14ac:dyDescent="0.3">
      <c r="A227" t="s">
        <v>1836</v>
      </c>
      <c r="B227" s="1">
        <v>45607</v>
      </c>
      <c r="C227" t="s">
        <v>255</v>
      </c>
      <c r="D227" t="s">
        <v>1479</v>
      </c>
      <c r="E227" t="s">
        <v>1571</v>
      </c>
      <c r="F227">
        <v>3</v>
      </c>
      <c r="G227" s="14">
        <v>927.6</v>
      </c>
      <c r="H227" s="17">
        <v>0.09</v>
      </c>
      <c r="I227" t="s">
        <v>1609</v>
      </c>
      <c r="J227" s="14">
        <v>2532.348</v>
      </c>
      <c r="K227" s="14">
        <f t="shared" si="24"/>
        <v>602319.74483188416</v>
      </c>
      <c r="L227" s="14">
        <f t="shared" si="25"/>
        <v>593</v>
      </c>
      <c r="M227" s="14" t="str">
        <f t="shared" si="26"/>
        <v>11-11-2024</v>
      </c>
      <c r="N227" s="14">
        <f t="shared" si="27"/>
        <v>0.15360224916234316</v>
      </c>
      <c r="O227" s="20">
        <f t="shared" si="28"/>
        <v>2.502208074813919</v>
      </c>
      <c r="P227" s="14">
        <f t="shared" si="29"/>
        <v>487.00286035018422</v>
      </c>
      <c r="Q227" s="14">
        <f t="shared" si="30"/>
        <v>865.7595</v>
      </c>
      <c r="R227" s="14" t="str">
        <f t="shared" si="31"/>
        <v>Nov</v>
      </c>
    </row>
    <row r="228" spans="1:18" x14ac:dyDescent="0.3">
      <c r="A228" t="s">
        <v>1837</v>
      </c>
      <c r="B228" s="1">
        <v>45666</v>
      </c>
      <c r="C228" t="s">
        <v>849</v>
      </c>
      <c r="D228" t="s">
        <v>1455</v>
      </c>
      <c r="E228" t="s">
        <v>1551</v>
      </c>
      <c r="F228">
        <v>4</v>
      </c>
      <c r="G228" s="14">
        <v>585.04</v>
      </c>
      <c r="H228" s="17">
        <v>0.22</v>
      </c>
      <c r="I228" t="s">
        <v>1611</v>
      </c>
      <c r="J228" s="14">
        <v>1825.3248000000001</v>
      </c>
      <c r="K228" s="14">
        <f t="shared" si="24"/>
        <v>599787.39683188417</v>
      </c>
      <c r="L228" s="14">
        <f t="shared" si="25"/>
        <v>592</v>
      </c>
      <c r="M228" s="14" t="str">
        <f t="shared" si="26"/>
        <v>09-01-2025</v>
      </c>
      <c r="N228" s="14">
        <f t="shared" si="27"/>
        <v>0.15363816234651162</v>
      </c>
      <c r="O228" s="20">
        <f t="shared" si="28"/>
        <v>2.5019271538629115</v>
      </c>
      <c r="P228" s="14">
        <f t="shared" si="29"/>
        <v>486.75421636618313</v>
      </c>
      <c r="Q228" s="14">
        <f t="shared" si="30"/>
        <v>603.64620000000002</v>
      </c>
      <c r="R228" s="14" t="str">
        <f t="shared" si="31"/>
        <v>Jan</v>
      </c>
    </row>
    <row r="229" spans="1:18" x14ac:dyDescent="0.3">
      <c r="A229" t="s">
        <v>1838</v>
      </c>
      <c r="B229" s="1">
        <v>45406</v>
      </c>
      <c r="C229" t="s">
        <v>1320</v>
      </c>
      <c r="D229" t="s">
        <v>1411</v>
      </c>
      <c r="E229" t="s">
        <v>1546</v>
      </c>
      <c r="F229">
        <v>2</v>
      </c>
      <c r="G229" s="14">
        <v>999.89</v>
      </c>
      <c r="H229" s="17">
        <v>0.09</v>
      </c>
      <c r="I229" t="s">
        <v>1609</v>
      </c>
      <c r="J229" s="14">
        <v>1819.7998</v>
      </c>
      <c r="K229" s="14">
        <f t="shared" si="24"/>
        <v>599787.39683188417</v>
      </c>
      <c r="L229" s="14">
        <f t="shared" si="25"/>
        <v>592</v>
      </c>
      <c r="M229" s="14" t="str">
        <f t="shared" si="26"/>
        <v>24-04-2024</v>
      </c>
      <c r="N229" s="14">
        <f t="shared" si="27"/>
        <v>0.1536006697828656</v>
      </c>
      <c r="O229" s="20">
        <f t="shared" si="28"/>
        <v>2.501081262927769</v>
      </c>
      <c r="P229" s="14">
        <f t="shared" si="29"/>
        <v>486.69871902929225</v>
      </c>
      <c r="Q229" s="14">
        <f t="shared" si="30"/>
        <v>705.44495000000006</v>
      </c>
      <c r="R229" s="14" t="str">
        <f t="shared" si="31"/>
        <v>Apr</v>
      </c>
    </row>
    <row r="230" spans="1:18" x14ac:dyDescent="0.3">
      <c r="A230" t="s">
        <v>1839</v>
      </c>
      <c r="B230" s="1">
        <v>45284</v>
      </c>
      <c r="C230" t="s">
        <v>378</v>
      </c>
      <c r="D230" t="s">
        <v>1483</v>
      </c>
      <c r="E230" t="s">
        <v>1551</v>
      </c>
      <c r="F230">
        <v>2</v>
      </c>
      <c r="G230" s="14">
        <v>848.98</v>
      </c>
      <c r="H230" s="17">
        <v>0.04</v>
      </c>
      <c r="I230" t="s">
        <v>1611</v>
      </c>
      <c r="J230" s="14">
        <v>1630.0416</v>
      </c>
      <c r="K230" s="14">
        <f t="shared" si="24"/>
        <v>597967.59703188413</v>
      </c>
      <c r="L230" s="14">
        <f t="shared" si="25"/>
        <v>591</v>
      </c>
      <c r="M230" s="14" t="str">
        <f t="shared" si="26"/>
        <v>24-12-2023</v>
      </c>
      <c r="N230" s="14">
        <f t="shared" si="27"/>
        <v>0.1536366226770334</v>
      </c>
      <c r="O230" s="20">
        <f t="shared" si="28"/>
        <v>2.5013643596864852</v>
      </c>
      <c r="P230" s="14">
        <f t="shared" si="29"/>
        <v>486.40878045247257</v>
      </c>
      <c r="Q230" s="14">
        <f t="shared" si="30"/>
        <v>620.2654</v>
      </c>
      <c r="R230" s="14" t="str">
        <f t="shared" si="31"/>
        <v>Dec</v>
      </c>
    </row>
    <row r="231" spans="1:18" x14ac:dyDescent="0.3">
      <c r="A231" t="s">
        <v>1840</v>
      </c>
      <c r="B231" s="1">
        <v>45348</v>
      </c>
      <c r="C231" t="s">
        <v>481</v>
      </c>
      <c r="D231" t="s">
        <v>1453</v>
      </c>
      <c r="E231" t="s">
        <v>1584</v>
      </c>
      <c r="F231">
        <v>3</v>
      </c>
      <c r="G231" s="14">
        <v>769.56</v>
      </c>
      <c r="H231" s="17">
        <v>0.08</v>
      </c>
      <c r="I231" t="s">
        <v>1609</v>
      </c>
      <c r="J231" s="14">
        <v>2123.9856</v>
      </c>
      <c r="K231" s="14">
        <f t="shared" si="24"/>
        <v>597967.59703188413</v>
      </c>
      <c r="L231" s="14">
        <f t="shared" si="25"/>
        <v>591</v>
      </c>
      <c r="M231" s="14" t="str">
        <f t="shared" si="26"/>
        <v>26-02-2024</v>
      </c>
      <c r="N231" s="14">
        <f t="shared" si="27"/>
        <v>0.15370089678488238</v>
      </c>
      <c r="O231" s="20">
        <f t="shared" si="28"/>
        <v>2.5016477765093712</v>
      </c>
      <c r="P231" s="14">
        <f t="shared" si="29"/>
        <v>486.20382215990759</v>
      </c>
      <c r="Q231" s="14">
        <f t="shared" si="30"/>
        <v>724.15639999999996</v>
      </c>
      <c r="R231" s="14" t="str">
        <f t="shared" si="31"/>
        <v>Feb</v>
      </c>
    </row>
    <row r="232" spans="1:18" x14ac:dyDescent="0.3">
      <c r="A232" t="s">
        <v>1841</v>
      </c>
      <c r="B232" s="1">
        <v>45676</v>
      </c>
      <c r="C232" t="s">
        <v>188</v>
      </c>
      <c r="D232" t="s">
        <v>1429</v>
      </c>
      <c r="E232" t="s">
        <v>1582</v>
      </c>
      <c r="F232">
        <v>3</v>
      </c>
      <c r="G232" s="14">
        <v>449.88</v>
      </c>
      <c r="H232" s="17">
        <v>0.1</v>
      </c>
      <c r="I232" t="s">
        <v>1611</v>
      </c>
      <c r="J232" s="14">
        <v>1214.6759999999999</v>
      </c>
      <c r="K232" s="14">
        <f t="shared" si="24"/>
        <v>595843.61143188411</v>
      </c>
      <c r="L232" s="14">
        <f t="shared" si="25"/>
        <v>590</v>
      </c>
      <c r="M232" s="14" t="str">
        <f t="shared" si="26"/>
        <v>19-01-2025</v>
      </c>
      <c r="N232" s="14">
        <f t="shared" si="27"/>
        <v>0.15374260640388909</v>
      </c>
      <c r="O232" s="20">
        <f t="shared" si="28"/>
        <v>2.5013659030797957</v>
      </c>
      <c r="P232" s="14">
        <f t="shared" si="29"/>
        <v>486.04355282855005</v>
      </c>
      <c r="Q232" s="14">
        <f t="shared" si="30"/>
        <v>416.91399999999999</v>
      </c>
      <c r="R232" s="14" t="str">
        <f t="shared" si="31"/>
        <v>Jan</v>
      </c>
    </row>
    <row r="233" spans="1:18" x14ac:dyDescent="0.3">
      <c r="A233" t="s">
        <v>1842</v>
      </c>
      <c r="B233" s="1">
        <v>45863</v>
      </c>
      <c r="C233" t="s">
        <v>875</v>
      </c>
      <c r="D233" t="s">
        <v>1471</v>
      </c>
      <c r="E233" t="s">
        <v>1579</v>
      </c>
      <c r="F233">
        <v>4</v>
      </c>
      <c r="G233" s="14">
        <v>383.74</v>
      </c>
      <c r="H233" s="17">
        <v>0.01</v>
      </c>
      <c r="I233" t="s">
        <v>1609</v>
      </c>
      <c r="J233" s="14">
        <v>1519.6104</v>
      </c>
      <c r="K233" s="14">
        <f t="shared" si="24"/>
        <v>595843.61143188411</v>
      </c>
      <c r="L233" s="14">
        <f t="shared" si="25"/>
        <v>590</v>
      </c>
      <c r="M233" s="14" t="str">
        <f t="shared" si="26"/>
        <v>25-07-2025</v>
      </c>
      <c r="N233" s="14">
        <f t="shared" si="27"/>
        <v>0.15377303823084487</v>
      </c>
      <c r="O233" s="20">
        <f t="shared" si="28"/>
        <v>2.5010837106084205</v>
      </c>
      <c r="P233" s="14">
        <f t="shared" si="29"/>
        <v>486.06401890258996</v>
      </c>
      <c r="Q233" s="14">
        <f t="shared" si="30"/>
        <v>476.84010000000001</v>
      </c>
      <c r="R233" s="14" t="str">
        <f t="shared" si="31"/>
        <v>Jul</v>
      </c>
    </row>
    <row r="234" spans="1:18" x14ac:dyDescent="0.3">
      <c r="A234" t="s">
        <v>1843</v>
      </c>
      <c r="B234" s="1">
        <v>45409</v>
      </c>
      <c r="C234" t="s">
        <v>499</v>
      </c>
      <c r="D234" t="s">
        <v>1449</v>
      </c>
      <c r="E234" t="s">
        <v>1574</v>
      </c>
      <c r="F234">
        <v>4</v>
      </c>
      <c r="G234" s="14">
        <v>794.97</v>
      </c>
      <c r="H234" s="17">
        <v>0.24</v>
      </c>
      <c r="I234" t="s">
        <v>1611</v>
      </c>
      <c r="J234" s="14">
        <v>2416.7087999999999</v>
      </c>
      <c r="K234" s="14">
        <f t="shared" si="24"/>
        <v>594324.00103188423</v>
      </c>
      <c r="L234" s="14">
        <f t="shared" si="25"/>
        <v>589</v>
      </c>
      <c r="M234" s="14" t="str">
        <f t="shared" si="26"/>
        <v>27-04-2024</v>
      </c>
      <c r="N234" s="14">
        <f t="shared" si="27"/>
        <v>0.15385449604287368</v>
      </c>
      <c r="O234" s="20">
        <f t="shared" si="28"/>
        <v>2.5002349471376433</v>
      </c>
      <c r="P234" s="14">
        <f t="shared" si="29"/>
        <v>486.12196002314636</v>
      </c>
      <c r="Q234" s="14">
        <f t="shared" si="30"/>
        <v>803.97969999999998</v>
      </c>
      <c r="R234" s="14" t="str">
        <f t="shared" si="31"/>
        <v>Apr</v>
      </c>
    </row>
    <row r="235" spans="1:18" x14ac:dyDescent="0.3">
      <c r="A235" t="s">
        <v>1844</v>
      </c>
      <c r="B235" s="1">
        <v>45880</v>
      </c>
      <c r="C235" t="s">
        <v>52</v>
      </c>
      <c r="D235" t="s">
        <v>1491</v>
      </c>
      <c r="E235" t="s">
        <v>1558</v>
      </c>
      <c r="F235">
        <v>1</v>
      </c>
      <c r="G235" s="14">
        <v>989.63</v>
      </c>
      <c r="H235" s="17">
        <v>0.05</v>
      </c>
      <c r="I235" t="s">
        <v>1611</v>
      </c>
      <c r="J235" s="14">
        <v>940.1484999999999</v>
      </c>
      <c r="K235" s="14">
        <f t="shared" si="24"/>
        <v>594324.00103188423</v>
      </c>
      <c r="L235" s="14">
        <f t="shared" si="25"/>
        <v>589</v>
      </c>
      <c r="M235" s="14" t="str">
        <f t="shared" si="26"/>
        <v>11-08-2025</v>
      </c>
      <c r="N235" s="14">
        <f t="shared" si="27"/>
        <v>0.15380566072317012</v>
      </c>
      <c r="O235" s="20">
        <f t="shared" si="28"/>
        <v>2.4993852218952282</v>
      </c>
      <c r="P235" s="14">
        <f t="shared" si="29"/>
        <v>485.94697529794695</v>
      </c>
      <c r="Q235" s="14">
        <f t="shared" si="30"/>
        <v>482.70712499999996</v>
      </c>
      <c r="R235" s="14" t="str">
        <f t="shared" si="31"/>
        <v>Aug</v>
      </c>
    </row>
    <row r="236" spans="1:18" x14ac:dyDescent="0.3">
      <c r="A236" t="s">
        <v>1845</v>
      </c>
      <c r="B236" s="1">
        <v>45731</v>
      </c>
      <c r="C236" t="s">
        <v>1053</v>
      </c>
      <c r="D236" t="s">
        <v>1441</v>
      </c>
      <c r="E236" t="s">
        <v>1537</v>
      </c>
      <c r="F236">
        <v>1</v>
      </c>
      <c r="G236" s="14">
        <v>447.16</v>
      </c>
      <c r="H236" s="17">
        <v>0.22</v>
      </c>
      <c r="I236" t="s">
        <v>1614</v>
      </c>
      <c r="J236" s="14">
        <v>348.78480000000002</v>
      </c>
      <c r="K236" s="14">
        <f t="shared" si="24"/>
        <v>594324.00103188423</v>
      </c>
      <c r="L236" s="14">
        <f t="shared" si="25"/>
        <v>589</v>
      </c>
      <c r="M236" s="14" t="str">
        <f t="shared" si="26"/>
        <v>15-03-2025</v>
      </c>
      <c r="N236" s="14">
        <f t="shared" si="27"/>
        <v>0.15386454084836762</v>
      </c>
      <c r="O236" s="20">
        <f t="shared" si="28"/>
        <v>2.5002352135176182</v>
      </c>
      <c r="P236" s="14">
        <f t="shared" si="29"/>
        <v>485.66144070344473</v>
      </c>
      <c r="Q236" s="14">
        <f t="shared" si="30"/>
        <v>199.2912</v>
      </c>
      <c r="R236" s="14" t="str">
        <f t="shared" si="31"/>
        <v>Mar</v>
      </c>
    </row>
    <row r="237" spans="1:18" x14ac:dyDescent="0.3">
      <c r="A237" t="s">
        <v>1846</v>
      </c>
      <c r="B237" s="1">
        <v>45671</v>
      </c>
      <c r="C237" t="s">
        <v>44</v>
      </c>
      <c r="D237" t="s">
        <v>1521</v>
      </c>
      <c r="E237" t="s">
        <v>1561</v>
      </c>
      <c r="F237">
        <v>1</v>
      </c>
      <c r="G237" s="14">
        <v>946.9</v>
      </c>
      <c r="H237" s="17">
        <v>0.28999999999999998</v>
      </c>
      <c r="I237" t="s">
        <v>1614</v>
      </c>
      <c r="J237" s="14">
        <v>672.29899999999998</v>
      </c>
      <c r="K237" s="14">
        <f t="shared" si="24"/>
        <v>594324.00103188423</v>
      </c>
      <c r="L237" s="14">
        <f t="shared" si="25"/>
        <v>589</v>
      </c>
      <c r="M237" s="14" t="str">
        <f t="shared" si="26"/>
        <v>14-01-2025</v>
      </c>
      <c r="N237" s="14">
        <f t="shared" si="27"/>
        <v>0.15382700653556874</v>
      </c>
      <c r="O237" s="20">
        <f t="shared" si="28"/>
        <v>2.5010861693959607</v>
      </c>
      <c r="P237" s="14">
        <f t="shared" si="29"/>
        <v>485.68327929715053</v>
      </c>
      <c r="Q237" s="14">
        <f t="shared" si="30"/>
        <v>405.12225000000001</v>
      </c>
      <c r="R237" s="14" t="str">
        <f t="shared" si="31"/>
        <v>Jan</v>
      </c>
    </row>
    <row r="238" spans="1:18" x14ac:dyDescent="0.3">
      <c r="A238" t="s">
        <v>1847</v>
      </c>
      <c r="B238" s="1">
        <v>45809</v>
      </c>
      <c r="C238" t="s">
        <v>562</v>
      </c>
      <c r="D238" t="s">
        <v>1367</v>
      </c>
      <c r="E238" t="s">
        <v>1537</v>
      </c>
      <c r="F238">
        <v>4</v>
      </c>
      <c r="G238" s="14">
        <v>469.68</v>
      </c>
      <c r="H238" s="17">
        <v>0.19</v>
      </c>
      <c r="I238" t="s">
        <v>1609</v>
      </c>
      <c r="J238" s="14">
        <v>1521.7632000000001</v>
      </c>
      <c r="K238" s="14">
        <f t="shared" si="24"/>
        <v>594324.00103188423</v>
      </c>
      <c r="L238" s="14">
        <f t="shared" si="25"/>
        <v>589</v>
      </c>
      <c r="M238" s="14" t="str">
        <f t="shared" si="26"/>
        <v>01-06-2025</v>
      </c>
      <c r="N238" s="14">
        <f t="shared" si="27"/>
        <v>0.15374967945239756</v>
      </c>
      <c r="O238" s="20">
        <f t="shared" si="28"/>
        <v>2.5019380911720086</v>
      </c>
      <c r="P238" s="14">
        <f t="shared" si="29"/>
        <v>485.421521793914</v>
      </c>
      <c r="Q238" s="14">
        <f t="shared" si="30"/>
        <v>498.90830000000005</v>
      </c>
      <c r="R238" s="14" t="str">
        <f t="shared" si="31"/>
        <v>Jun</v>
      </c>
    </row>
    <row r="239" spans="1:18" x14ac:dyDescent="0.3">
      <c r="A239" t="s">
        <v>1848</v>
      </c>
      <c r="B239" s="1">
        <v>45559</v>
      </c>
      <c r="C239" t="s">
        <v>1315</v>
      </c>
      <c r="D239" t="s">
        <v>1389</v>
      </c>
      <c r="E239" t="s">
        <v>1592</v>
      </c>
      <c r="F239">
        <v>4</v>
      </c>
      <c r="G239" s="14">
        <v>320.64</v>
      </c>
      <c r="H239" s="17">
        <v>0.2</v>
      </c>
      <c r="I239" t="s">
        <v>1614</v>
      </c>
      <c r="J239" s="14">
        <v>1026.048</v>
      </c>
      <c r="K239" s="14">
        <f t="shared" si="24"/>
        <v>592802.23783188418</v>
      </c>
      <c r="L239" s="14">
        <f t="shared" si="25"/>
        <v>588</v>
      </c>
      <c r="M239" s="14" t="str">
        <f t="shared" si="26"/>
        <v>24-09-2024</v>
      </c>
      <c r="N239" s="14">
        <f t="shared" si="27"/>
        <v>0.15372908267935911</v>
      </c>
      <c r="O239" s="20">
        <f t="shared" si="28"/>
        <v>2.5010874029784658</v>
      </c>
      <c r="P239" s="14">
        <f t="shared" si="29"/>
        <v>485.43046076142895</v>
      </c>
      <c r="Q239" s="14">
        <f t="shared" si="30"/>
        <v>337.72199999999998</v>
      </c>
      <c r="R239" s="14" t="str">
        <f t="shared" si="31"/>
        <v>Sep</v>
      </c>
    </row>
    <row r="240" spans="1:18" x14ac:dyDescent="0.3">
      <c r="A240" t="s">
        <v>1849</v>
      </c>
      <c r="B240" s="1">
        <v>45253</v>
      </c>
      <c r="C240" t="s">
        <v>461</v>
      </c>
      <c r="D240" t="s">
        <v>1363</v>
      </c>
      <c r="E240" t="s">
        <v>1558</v>
      </c>
      <c r="F240">
        <v>1</v>
      </c>
      <c r="G240" s="14">
        <v>594.44000000000005</v>
      </c>
      <c r="H240" s="17">
        <v>0.21</v>
      </c>
      <c r="I240" t="s">
        <v>1609</v>
      </c>
      <c r="J240" s="14">
        <v>469.60759999999999</v>
      </c>
      <c r="K240" s="14">
        <f t="shared" si="24"/>
        <v>592802.23783188418</v>
      </c>
      <c r="L240" s="14">
        <f t="shared" si="25"/>
        <v>588</v>
      </c>
      <c r="M240" s="14" t="str">
        <f t="shared" si="26"/>
        <v>23-11-2023</v>
      </c>
      <c r="N240" s="14">
        <f t="shared" si="27"/>
        <v>0.15370277743926777</v>
      </c>
      <c r="O240" s="20">
        <f t="shared" si="28"/>
        <v>2.5002357480937949</v>
      </c>
      <c r="P240" s="14">
        <f t="shared" si="29"/>
        <v>485.52409170504336</v>
      </c>
      <c r="Q240" s="14">
        <f t="shared" si="30"/>
        <v>266.31440000000003</v>
      </c>
      <c r="R240" s="14" t="str">
        <f t="shared" si="31"/>
        <v>Nov</v>
      </c>
    </row>
    <row r="241" spans="1:18" x14ac:dyDescent="0.3">
      <c r="A241" t="s">
        <v>1850</v>
      </c>
      <c r="B241" s="1">
        <v>45861</v>
      </c>
      <c r="C241" t="s">
        <v>702</v>
      </c>
      <c r="D241" t="s">
        <v>1505</v>
      </c>
      <c r="E241" t="s">
        <v>1567</v>
      </c>
      <c r="F241">
        <v>3</v>
      </c>
      <c r="G241" s="14">
        <v>91.7</v>
      </c>
      <c r="H241" s="17">
        <v>0.08</v>
      </c>
      <c r="I241" t="s">
        <v>1614</v>
      </c>
      <c r="J241" s="14">
        <v>253.09200000000001</v>
      </c>
      <c r="K241" s="14">
        <f t="shared" si="24"/>
        <v>592332.63023188419</v>
      </c>
      <c r="L241" s="14">
        <f t="shared" si="25"/>
        <v>587</v>
      </c>
      <c r="M241" s="14" t="str">
        <f t="shared" si="26"/>
        <v>23-07-2025</v>
      </c>
      <c r="N241" s="14">
        <f t="shared" si="27"/>
        <v>0.15367075399071223</v>
      </c>
      <c r="O241" s="20">
        <f t="shared" si="28"/>
        <v>2.501088639366162</v>
      </c>
      <c r="P241" s="14">
        <f t="shared" si="29"/>
        <v>485.46217248486437</v>
      </c>
      <c r="Q241" s="14">
        <f t="shared" si="30"/>
        <v>86.968000000000004</v>
      </c>
      <c r="R241" s="14" t="str">
        <f t="shared" si="31"/>
        <v>Jul</v>
      </c>
    </row>
    <row r="242" spans="1:18" x14ac:dyDescent="0.3">
      <c r="A242" t="s">
        <v>1851</v>
      </c>
      <c r="B242" s="1">
        <v>45917</v>
      </c>
      <c r="C242" t="s">
        <v>127</v>
      </c>
      <c r="D242" t="s">
        <v>1457</v>
      </c>
      <c r="E242" t="s">
        <v>1579</v>
      </c>
      <c r="F242">
        <v>3</v>
      </c>
      <c r="G242" s="14">
        <v>741.33</v>
      </c>
      <c r="H242" s="17">
        <v>0.03</v>
      </c>
      <c r="I242" t="s">
        <v>1609</v>
      </c>
      <c r="J242" s="14">
        <v>2157.2703000000001</v>
      </c>
      <c r="K242" s="14">
        <f t="shared" si="24"/>
        <v>592332.63023188419</v>
      </c>
      <c r="L242" s="14">
        <f t="shared" si="25"/>
        <v>587</v>
      </c>
      <c r="M242" s="14" t="str">
        <f t="shared" si="26"/>
        <v>17-09-2025</v>
      </c>
      <c r="N242" s="14">
        <f t="shared" si="27"/>
        <v>0.15371268384500403</v>
      </c>
      <c r="O242" s="20">
        <f t="shared" si="28"/>
        <v>2.5008048445080084</v>
      </c>
      <c r="P242" s="14">
        <f t="shared" si="29"/>
        <v>485.68615551813224</v>
      </c>
      <c r="Q242" s="14">
        <f t="shared" si="30"/>
        <v>725.40757500000007</v>
      </c>
      <c r="R242" s="14" t="str">
        <f t="shared" si="31"/>
        <v>Sep</v>
      </c>
    </row>
    <row r="243" spans="1:18" x14ac:dyDescent="0.3">
      <c r="A243" t="s">
        <v>1852</v>
      </c>
      <c r="B243" s="1">
        <v>45754</v>
      </c>
      <c r="C243" t="s">
        <v>1297</v>
      </c>
      <c r="D243" t="s">
        <v>1365</v>
      </c>
      <c r="E243" t="s">
        <v>1598</v>
      </c>
      <c r="F243">
        <v>1</v>
      </c>
      <c r="G243" s="14">
        <v>922.78</v>
      </c>
      <c r="H243" s="17">
        <v>0.28999999999999998</v>
      </c>
      <c r="I243" t="s">
        <v>1614</v>
      </c>
      <c r="J243" s="14">
        <v>655.17379999999991</v>
      </c>
      <c r="K243" s="14">
        <f t="shared" si="24"/>
        <v>590175.35993188433</v>
      </c>
      <c r="L243" s="14">
        <f t="shared" si="25"/>
        <v>586</v>
      </c>
      <c r="M243" s="14" t="str">
        <f t="shared" si="26"/>
        <v>07-04-2025</v>
      </c>
      <c r="N243" s="14">
        <f t="shared" si="27"/>
        <v>0.15378313525949439</v>
      </c>
      <c r="O243" s="20">
        <f t="shared" si="28"/>
        <v>2.5005207266050529</v>
      </c>
      <c r="P243" s="14">
        <f t="shared" si="29"/>
        <v>485.5406553220696</v>
      </c>
      <c r="Q243" s="14">
        <f t="shared" si="30"/>
        <v>394.81094999999993</v>
      </c>
      <c r="R243" s="14" t="str">
        <f t="shared" si="31"/>
        <v>Apr</v>
      </c>
    </row>
    <row r="244" spans="1:18" x14ac:dyDescent="0.3">
      <c r="A244" t="s">
        <v>1853</v>
      </c>
      <c r="B244" s="1">
        <v>45312</v>
      </c>
      <c r="C244" t="s">
        <v>1023</v>
      </c>
      <c r="D244" t="s">
        <v>1347</v>
      </c>
      <c r="E244" t="s">
        <v>1589</v>
      </c>
      <c r="F244">
        <v>1</v>
      </c>
      <c r="G244" s="14">
        <v>394.35</v>
      </c>
      <c r="H244" s="17">
        <v>0.09</v>
      </c>
      <c r="I244" t="s">
        <v>1611</v>
      </c>
      <c r="J244" s="14">
        <v>358.85849999999999</v>
      </c>
      <c r="K244" s="14">
        <f t="shared" si="24"/>
        <v>590175.35993188433</v>
      </c>
      <c r="L244" s="14">
        <f t="shared" si="25"/>
        <v>586</v>
      </c>
      <c r="M244" s="14" t="str">
        <f t="shared" si="26"/>
        <v>21-01-2024</v>
      </c>
      <c r="N244" s="14">
        <f t="shared" si="27"/>
        <v>0.15370551881234878</v>
      </c>
      <c r="O244" s="20">
        <f t="shared" si="28"/>
        <v>2.5013752372694067</v>
      </c>
      <c r="P244" s="14">
        <f t="shared" si="29"/>
        <v>485.29165797316421</v>
      </c>
      <c r="Q244" s="14">
        <f t="shared" si="30"/>
        <v>188.574625</v>
      </c>
      <c r="R244" s="14" t="str">
        <f t="shared" si="31"/>
        <v>Jan</v>
      </c>
    </row>
    <row r="245" spans="1:18" x14ac:dyDescent="0.3">
      <c r="A245" t="s">
        <v>1854</v>
      </c>
      <c r="B245" s="1">
        <v>45480</v>
      </c>
      <c r="C245" t="s">
        <v>1139</v>
      </c>
      <c r="D245" t="s">
        <v>1463</v>
      </c>
      <c r="E245" t="s">
        <v>1577</v>
      </c>
      <c r="F245">
        <v>2</v>
      </c>
      <c r="G245" s="14">
        <v>703.95</v>
      </c>
      <c r="H245" s="17">
        <v>0.03</v>
      </c>
      <c r="I245" t="s">
        <v>1609</v>
      </c>
      <c r="J245" s="14">
        <v>1365.663</v>
      </c>
      <c r="K245" s="14">
        <f t="shared" si="24"/>
        <v>590175.35993188433</v>
      </c>
      <c r="L245" s="14">
        <f t="shared" si="25"/>
        <v>586</v>
      </c>
      <c r="M245" s="14" t="str">
        <f t="shared" si="26"/>
        <v>07-07-2024</v>
      </c>
      <c r="N245" s="14">
        <f t="shared" si="27"/>
        <v>0.15374183894850174</v>
      </c>
      <c r="O245" s="20">
        <f t="shared" si="28"/>
        <v>2.5022307217350872</v>
      </c>
      <c r="P245" s="14">
        <f t="shared" si="29"/>
        <v>485.34347658169594</v>
      </c>
      <c r="Q245" s="14">
        <f t="shared" si="30"/>
        <v>517.91075000000001</v>
      </c>
      <c r="R245" s="14" t="str">
        <f t="shared" si="31"/>
        <v>Jul</v>
      </c>
    </row>
    <row r="246" spans="1:18" x14ac:dyDescent="0.3">
      <c r="A246" t="s">
        <v>1855</v>
      </c>
      <c r="B246" s="1">
        <v>45780</v>
      </c>
      <c r="C246" t="s">
        <v>654</v>
      </c>
      <c r="D246" t="s">
        <v>1361</v>
      </c>
      <c r="E246" t="s">
        <v>1537</v>
      </c>
      <c r="F246">
        <v>4</v>
      </c>
      <c r="G246" s="14">
        <v>452.67</v>
      </c>
      <c r="H246" s="17">
        <v>0.28000000000000003</v>
      </c>
      <c r="I246" t="s">
        <v>1611</v>
      </c>
      <c r="J246" s="14">
        <v>1303.6895999999999</v>
      </c>
      <c r="K246" s="14">
        <f t="shared" si="24"/>
        <v>588809.69693188439</v>
      </c>
      <c r="L246" s="14">
        <f t="shared" si="25"/>
        <v>585</v>
      </c>
      <c r="M246" s="14" t="str">
        <f t="shared" si="26"/>
        <v>03-05-2025</v>
      </c>
      <c r="N246" s="14">
        <f t="shared" si="27"/>
        <v>0.15381242756170682</v>
      </c>
      <c r="O246" s="20">
        <f t="shared" si="28"/>
        <v>2.5025170562400678</v>
      </c>
      <c r="P246" s="14">
        <f t="shared" si="29"/>
        <v>485.2188434440572</v>
      </c>
      <c r="Q246" s="14">
        <f t="shared" si="30"/>
        <v>440.15989999999999</v>
      </c>
      <c r="R246" s="14" t="str">
        <f t="shared" si="31"/>
        <v>May</v>
      </c>
    </row>
    <row r="247" spans="1:18" x14ac:dyDescent="0.3">
      <c r="A247" t="s">
        <v>1856</v>
      </c>
      <c r="B247" s="1">
        <v>45349</v>
      </c>
      <c r="C247" t="s">
        <v>1284</v>
      </c>
      <c r="D247" t="s">
        <v>1347</v>
      </c>
      <c r="E247" t="s">
        <v>1564</v>
      </c>
      <c r="F247">
        <v>2</v>
      </c>
      <c r="G247" s="14">
        <v>377.3</v>
      </c>
      <c r="H247" s="17">
        <v>0.15</v>
      </c>
      <c r="I247" t="s">
        <v>1611</v>
      </c>
      <c r="J247" s="14">
        <v>641.41</v>
      </c>
      <c r="K247" s="14">
        <f t="shared" si="24"/>
        <v>588809.69693188439</v>
      </c>
      <c r="L247" s="14">
        <f t="shared" si="25"/>
        <v>585</v>
      </c>
      <c r="M247" s="14" t="str">
        <f t="shared" si="26"/>
        <v>27-02-2024</v>
      </c>
      <c r="N247" s="14">
        <f t="shared" si="27"/>
        <v>0.15374040269159361</v>
      </c>
      <c r="O247" s="20">
        <f t="shared" si="28"/>
        <v>2.5016628161124239</v>
      </c>
      <c r="P247" s="14">
        <f t="shared" si="29"/>
        <v>485.23741095315245</v>
      </c>
      <c r="Q247" s="14">
        <f t="shared" si="30"/>
        <v>255.21499999999997</v>
      </c>
      <c r="R247" s="14" t="str">
        <f t="shared" si="31"/>
        <v>Feb</v>
      </c>
    </row>
    <row r="248" spans="1:18" x14ac:dyDescent="0.3">
      <c r="A248" t="s">
        <v>1857</v>
      </c>
      <c r="B248" s="1">
        <v>45846</v>
      </c>
      <c r="C248" t="s">
        <v>1080</v>
      </c>
      <c r="D248" t="s">
        <v>1481</v>
      </c>
      <c r="E248" t="s">
        <v>1564</v>
      </c>
      <c r="F248">
        <v>2</v>
      </c>
      <c r="G248" s="14">
        <v>130.47999999999999</v>
      </c>
      <c r="H248" s="17">
        <v>0.23</v>
      </c>
      <c r="I248" t="s">
        <v>1611</v>
      </c>
      <c r="J248" s="14">
        <v>200.9392</v>
      </c>
      <c r="K248" s="14">
        <f t="shared" si="24"/>
        <v>588809.69693188439</v>
      </c>
      <c r="L248" s="14">
        <f t="shared" si="25"/>
        <v>585</v>
      </c>
      <c r="M248" s="14" t="str">
        <f t="shared" si="26"/>
        <v>08-07-2025</v>
      </c>
      <c r="N248" s="14">
        <f t="shared" si="27"/>
        <v>0.15374253884390179</v>
      </c>
      <c r="O248" s="20">
        <f t="shared" si="28"/>
        <v>2.5019491533362324</v>
      </c>
      <c r="P248" s="14">
        <f t="shared" si="29"/>
        <v>485.29901906442706</v>
      </c>
      <c r="Q248" s="14">
        <f t="shared" si="30"/>
        <v>83.412299999999988</v>
      </c>
      <c r="R248" s="14" t="str">
        <f t="shared" si="31"/>
        <v>Jul</v>
      </c>
    </row>
    <row r="249" spans="1:18" x14ac:dyDescent="0.3">
      <c r="A249" t="s">
        <v>1858</v>
      </c>
      <c r="B249" s="1">
        <v>45729</v>
      </c>
      <c r="C249" t="s">
        <v>1256</v>
      </c>
      <c r="D249" t="s">
        <v>1521</v>
      </c>
      <c r="E249" t="s">
        <v>1579</v>
      </c>
      <c r="F249">
        <v>1</v>
      </c>
      <c r="G249" s="14">
        <v>809.45</v>
      </c>
      <c r="H249" s="17">
        <v>0.09</v>
      </c>
      <c r="I249" t="s">
        <v>1614</v>
      </c>
      <c r="J249" s="14">
        <v>736.59950000000003</v>
      </c>
      <c r="K249" s="14">
        <f t="shared" si="24"/>
        <v>588809.69693188439</v>
      </c>
      <c r="L249" s="14">
        <f t="shared" si="25"/>
        <v>585</v>
      </c>
      <c r="M249" s="14" t="str">
        <f t="shared" si="26"/>
        <v>13-03-2025</v>
      </c>
      <c r="N249" s="14">
        <f t="shared" si="27"/>
        <v>0.15369896315181261</v>
      </c>
      <c r="O249" s="20">
        <f t="shared" si="28"/>
        <v>2.5022358176156931</v>
      </c>
      <c r="P249" s="14">
        <f t="shared" si="29"/>
        <v>485.50165699650267</v>
      </c>
      <c r="Q249" s="14">
        <f t="shared" si="30"/>
        <v>386.78487500000006</v>
      </c>
      <c r="R249" s="14" t="str">
        <f t="shared" si="31"/>
        <v>Mar</v>
      </c>
    </row>
    <row r="250" spans="1:18" x14ac:dyDescent="0.3">
      <c r="A250" t="s">
        <v>1859</v>
      </c>
      <c r="B250" s="1">
        <v>45768</v>
      </c>
      <c r="C250" t="s">
        <v>301</v>
      </c>
      <c r="D250" t="s">
        <v>1423</v>
      </c>
      <c r="E250" t="s">
        <v>1571</v>
      </c>
      <c r="F250">
        <v>3</v>
      </c>
      <c r="G250" s="14">
        <v>499.12</v>
      </c>
      <c r="H250" s="17">
        <v>0.05</v>
      </c>
      <c r="I250" t="s">
        <v>1611</v>
      </c>
      <c r="J250" s="14">
        <v>1422.492</v>
      </c>
      <c r="K250" s="14">
        <f t="shared" si="24"/>
        <v>588809.69693188439</v>
      </c>
      <c r="L250" s="14">
        <f t="shared" si="25"/>
        <v>585</v>
      </c>
      <c r="M250" s="14" t="str">
        <f t="shared" si="26"/>
        <v>21-04-2025</v>
      </c>
      <c r="N250" s="14">
        <f t="shared" si="27"/>
        <v>0.15373538337088169</v>
      </c>
      <c r="O250" s="20">
        <f t="shared" si="28"/>
        <v>2.5030942380829022</v>
      </c>
      <c r="P250" s="14">
        <f t="shared" si="29"/>
        <v>485.31654365764359</v>
      </c>
      <c r="Q250" s="14">
        <f t="shared" si="30"/>
        <v>481.16550000000001</v>
      </c>
      <c r="R250" s="14" t="str">
        <f t="shared" si="31"/>
        <v>Apr</v>
      </c>
    </row>
    <row r="251" spans="1:18" x14ac:dyDescent="0.3">
      <c r="A251" t="s">
        <v>1860</v>
      </c>
      <c r="B251" s="1">
        <v>45606</v>
      </c>
      <c r="C251" t="s">
        <v>100</v>
      </c>
      <c r="D251" t="s">
        <v>1469</v>
      </c>
      <c r="E251" t="s">
        <v>1551</v>
      </c>
      <c r="F251">
        <v>2</v>
      </c>
      <c r="G251" s="14">
        <v>894.58</v>
      </c>
      <c r="H251" s="17">
        <v>0.25</v>
      </c>
      <c r="I251" t="s">
        <v>1609</v>
      </c>
      <c r="J251" s="14">
        <v>1341.87</v>
      </c>
      <c r="K251" s="14">
        <f t="shared" si="24"/>
        <v>588809.69693188439</v>
      </c>
      <c r="L251" s="14">
        <f t="shared" si="25"/>
        <v>585</v>
      </c>
      <c r="M251" s="14" t="str">
        <f t="shared" si="26"/>
        <v>10-11-2024</v>
      </c>
      <c r="N251" s="14">
        <f t="shared" si="27"/>
        <v>0.15379472855587648</v>
      </c>
      <c r="O251" s="20">
        <f t="shared" si="28"/>
        <v>2.5028101295855225</v>
      </c>
      <c r="P251" s="14">
        <f t="shared" si="29"/>
        <v>485.30865145847702</v>
      </c>
      <c r="Q251" s="14">
        <f t="shared" si="30"/>
        <v>559.67499999999995</v>
      </c>
      <c r="R251" s="14" t="str">
        <f t="shared" si="31"/>
        <v>Nov</v>
      </c>
    </row>
    <row r="252" spans="1:18" x14ac:dyDescent="0.3">
      <c r="A252" t="s">
        <v>1861</v>
      </c>
      <c r="B252" s="1">
        <v>45513</v>
      </c>
      <c r="C252" t="s">
        <v>449</v>
      </c>
      <c r="D252" t="s">
        <v>1483</v>
      </c>
      <c r="E252" t="s">
        <v>1571</v>
      </c>
      <c r="F252">
        <v>4</v>
      </c>
      <c r="G252" s="14">
        <v>578.39</v>
      </c>
      <c r="H252" s="17">
        <v>0.01</v>
      </c>
      <c r="I252" t="s">
        <v>1609</v>
      </c>
      <c r="J252" s="14">
        <v>2290.4243999999999</v>
      </c>
      <c r="K252" s="14">
        <f t="shared" si="24"/>
        <v>587467.8269318844</v>
      </c>
      <c r="L252" s="14">
        <f t="shared" si="25"/>
        <v>584</v>
      </c>
      <c r="M252" s="14" t="str">
        <f t="shared" si="26"/>
        <v>09-08-2024</v>
      </c>
      <c r="N252" s="14">
        <f t="shared" si="27"/>
        <v>0.1537396597113177</v>
      </c>
      <c r="O252" s="20">
        <f t="shared" si="28"/>
        <v>2.5030977784010751</v>
      </c>
      <c r="P252" s="14">
        <f t="shared" si="29"/>
        <v>485.07451453139373</v>
      </c>
      <c r="Q252" s="14">
        <f t="shared" si="30"/>
        <v>718.20609999999999</v>
      </c>
      <c r="R252" s="14" t="str">
        <f t="shared" si="31"/>
        <v>Aug</v>
      </c>
    </row>
    <row r="253" spans="1:18" x14ac:dyDescent="0.3">
      <c r="A253" t="s">
        <v>1862</v>
      </c>
      <c r="B253" s="1">
        <v>45356</v>
      </c>
      <c r="C253" t="s">
        <v>1306</v>
      </c>
      <c r="D253" t="s">
        <v>1415</v>
      </c>
      <c r="E253" t="s">
        <v>1592</v>
      </c>
      <c r="F253">
        <v>4</v>
      </c>
      <c r="G253" s="14">
        <v>982.45</v>
      </c>
      <c r="H253" s="17">
        <v>0.2</v>
      </c>
      <c r="I253" t="s">
        <v>1611</v>
      </c>
      <c r="J253" s="14">
        <v>3143.84</v>
      </c>
      <c r="K253" s="14">
        <f t="shared" si="24"/>
        <v>585177.40253188449</v>
      </c>
      <c r="L253" s="14">
        <f t="shared" si="25"/>
        <v>583</v>
      </c>
      <c r="M253" s="14" t="str">
        <f t="shared" si="26"/>
        <v>05-03-2024</v>
      </c>
      <c r="N253" s="14">
        <f t="shared" si="27"/>
        <v>0.15382198483142728</v>
      </c>
      <c r="O253" s="20">
        <f t="shared" si="28"/>
        <v>2.5022409368317562</v>
      </c>
      <c r="P253" s="14">
        <f t="shared" si="29"/>
        <v>485.02109982877863</v>
      </c>
      <c r="Q253" s="14">
        <f t="shared" si="30"/>
        <v>1032.6224999999999</v>
      </c>
      <c r="R253" s="14" t="str">
        <f t="shared" si="31"/>
        <v>Mar</v>
      </c>
    </row>
    <row r="254" spans="1:18" x14ac:dyDescent="0.3">
      <c r="A254" t="s">
        <v>1863</v>
      </c>
      <c r="B254" s="1">
        <v>45925</v>
      </c>
      <c r="C254" t="s">
        <v>1270</v>
      </c>
      <c r="D254" t="s">
        <v>1529</v>
      </c>
      <c r="E254" t="s">
        <v>1598</v>
      </c>
      <c r="F254">
        <v>1</v>
      </c>
      <c r="G254" s="14">
        <v>549.52</v>
      </c>
      <c r="H254" s="17">
        <v>0.1</v>
      </c>
      <c r="I254" t="s">
        <v>1611</v>
      </c>
      <c r="J254" s="14">
        <v>494.56799999999998</v>
      </c>
      <c r="K254" s="14">
        <f t="shared" si="24"/>
        <v>585177.40253188449</v>
      </c>
      <c r="L254" s="14">
        <f t="shared" si="25"/>
        <v>583</v>
      </c>
      <c r="M254" s="14" t="str">
        <f t="shared" si="26"/>
        <v>25-09-2025</v>
      </c>
      <c r="N254" s="14">
        <f t="shared" si="27"/>
        <v>0.15379552178548539</v>
      </c>
      <c r="O254" s="20">
        <f t="shared" si="28"/>
        <v>2.501383113771523</v>
      </c>
      <c r="P254" s="14">
        <f t="shared" si="29"/>
        <v>484.73620355147546</v>
      </c>
      <c r="Q254" s="14">
        <f t="shared" si="30"/>
        <v>261.29700000000003</v>
      </c>
      <c r="R254" s="14" t="str">
        <f t="shared" si="31"/>
        <v>Sep</v>
      </c>
    </row>
    <row r="255" spans="1:18" x14ac:dyDescent="0.3">
      <c r="A255" t="s">
        <v>1864</v>
      </c>
      <c r="B255" s="1">
        <v>45876</v>
      </c>
      <c r="C255" t="s">
        <v>770</v>
      </c>
      <c r="D255" t="s">
        <v>1517</v>
      </c>
      <c r="E255" t="s">
        <v>1595</v>
      </c>
      <c r="F255">
        <v>2</v>
      </c>
      <c r="G255" s="14">
        <v>239.92</v>
      </c>
      <c r="H255" s="17">
        <v>0.16</v>
      </c>
      <c r="I255" t="s">
        <v>1609</v>
      </c>
      <c r="J255" s="14">
        <v>403.06560000000002</v>
      </c>
      <c r="K255" s="14">
        <f t="shared" si="24"/>
        <v>585177.40253188449</v>
      </c>
      <c r="L255" s="14">
        <f t="shared" si="25"/>
        <v>583</v>
      </c>
      <c r="M255" s="14" t="str">
        <f t="shared" si="26"/>
        <v>07-08-2025</v>
      </c>
      <c r="N255" s="14">
        <f t="shared" si="27"/>
        <v>0.15382636784155507</v>
      </c>
      <c r="O255" s="20">
        <f t="shared" si="28"/>
        <v>2.5022435052407328</v>
      </c>
      <c r="P255" s="14">
        <f t="shared" si="29"/>
        <v>484.69907816669115</v>
      </c>
      <c r="Q255" s="14">
        <f t="shared" si="30"/>
        <v>161.28640000000001</v>
      </c>
      <c r="R255" s="14" t="str">
        <f t="shared" si="31"/>
        <v>Aug</v>
      </c>
    </row>
    <row r="256" spans="1:18" x14ac:dyDescent="0.3">
      <c r="A256" t="s">
        <v>1865</v>
      </c>
      <c r="B256" s="1">
        <v>45338</v>
      </c>
      <c r="C256" t="s">
        <v>298</v>
      </c>
      <c r="D256" t="s">
        <v>1517</v>
      </c>
      <c r="E256" t="s">
        <v>1561</v>
      </c>
      <c r="F256">
        <v>2</v>
      </c>
      <c r="G256" s="14">
        <v>878.05</v>
      </c>
      <c r="H256" s="17">
        <v>0.11</v>
      </c>
      <c r="I256" t="s">
        <v>1611</v>
      </c>
      <c r="J256" s="14">
        <v>1562.9290000000001</v>
      </c>
      <c r="K256" s="14">
        <f t="shared" si="24"/>
        <v>584774.33693188452</v>
      </c>
      <c r="L256" s="14">
        <f t="shared" si="25"/>
        <v>582</v>
      </c>
      <c r="M256" s="14" t="str">
        <f t="shared" si="26"/>
        <v>16-02-2024</v>
      </c>
      <c r="N256" s="14">
        <f t="shared" si="27"/>
        <v>0.15382282588391968</v>
      </c>
      <c r="O256" s="20">
        <f t="shared" si="28"/>
        <v>2.5025314889019947</v>
      </c>
      <c r="P256" s="14">
        <f t="shared" si="29"/>
        <v>484.83943314270425</v>
      </c>
      <c r="Q256" s="14">
        <f t="shared" si="30"/>
        <v>610.77224999999999</v>
      </c>
      <c r="R256" s="14" t="str">
        <f t="shared" si="31"/>
        <v>Feb</v>
      </c>
    </row>
    <row r="257" spans="1:18" x14ac:dyDescent="0.3">
      <c r="A257" t="s">
        <v>1866</v>
      </c>
      <c r="B257" s="1">
        <v>45746</v>
      </c>
      <c r="C257" t="s">
        <v>172</v>
      </c>
      <c r="D257" t="s">
        <v>1331</v>
      </c>
      <c r="E257" t="s">
        <v>1571</v>
      </c>
      <c r="F257">
        <v>3</v>
      </c>
      <c r="G257" s="14">
        <v>546.96</v>
      </c>
      <c r="H257" s="17">
        <v>0.19</v>
      </c>
      <c r="I257" t="s">
        <v>1609</v>
      </c>
      <c r="J257" s="14">
        <v>1329.1128000000001</v>
      </c>
      <c r="K257" s="14">
        <f t="shared" si="24"/>
        <v>584774.33693188452</v>
      </c>
      <c r="L257" s="14">
        <f t="shared" si="25"/>
        <v>582</v>
      </c>
      <c r="M257" s="14" t="str">
        <f t="shared" si="26"/>
        <v>30-03-2025</v>
      </c>
      <c r="N257" s="14">
        <f t="shared" si="27"/>
        <v>0.15384798250038578</v>
      </c>
      <c r="O257" s="20">
        <f t="shared" si="28"/>
        <v>2.502819803009225</v>
      </c>
      <c r="P257" s="14">
        <f t="shared" si="29"/>
        <v>484.61383901369834</v>
      </c>
      <c r="Q257" s="14">
        <f t="shared" si="30"/>
        <v>469.81570000000005</v>
      </c>
      <c r="R257" s="14" t="str">
        <f t="shared" si="31"/>
        <v>Mar</v>
      </c>
    </row>
    <row r="258" spans="1:18" x14ac:dyDescent="0.3">
      <c r="A258" t="s">
        <v>1867</v>
      </c>
      <c r="B258" s="1">
        <v>45706</v>
      </c>
      <c r="C258" t="s">
        <v>1292</v>
      </c>
      <c r="D258" t="s">
        <v>1367</v>
      </c>
      <c r="E258" t="s">
        <v>1574</v>
      </c>
      <c r="F258">
        <v>2</v>
      </c>
      <c r="G258" s="14">
        <v>71.77</v>
      </c>
      <c r="H258" s="17">
        <v>0.22</v>
      </c>
      <c r="I258" t="s">
        <v>1609</v>
      </c>
      <c r="J258" s="14">
        <v>111.96120000000001</v>
      </c>
      <c r="K258" s="14">
        <f t="shared" ref="K258:K321" si="32">SUMIF(I258:I2257,"Credit Card",J258:J2257)</f>
        <v>583445.22413188464</v>
      </c>
      <c r="L258" s="14">
        <f t="shared" ref="L258:L321" si="33">COUNTIF(I258:I2257,"Credit Card")</f>
        <v>581</v>
      </c>
      <c r="M258" s="14" t="str">
        <f t="shared" ref="M258:M321" si="34">TEXT(B258:B2257,"dd-mm-yyyy")</f>
        <v>18-02-2025</v>
      </c>
      <c r="N258" s="14">
        <f t="shared" ref="N258:N321" si="35">AVERAGE(H258:H2257)</f>
        <v>0.15382721741279268</v>
      </c>
      <c r="O258" s="20">
        <f t="shared" ref="O258:O321" si="36">AVERAGE(F258:F2257)</f>
        <v>2.5025343953186447</v>
      </c>
      <c r="P258" s="14">
        <f t="shared" ref="P258:P321" si="37">AVERAGE(G258:G2257)</f>
        <v>484.57804902461316</v>
      </c>
      <c r="Q258" s="14">
        <f t="shared" ref="Q258:Q321" si="38">AVERAGE(F258,G258,H258,J258)</f>
        <v>46.4878</v>
      </c>
      <c r="R258" s="14" t="str">
        <f t="shared" ref="R258:R321" si="39">TEXT(M258,"mmm")</f>
        <v>Feb</v>
      </c>
    </row>
    <row r="259" spans="1:18" x14ac:dyDescent="0.3">
      <c r="A259" t="s">
        <v>1868</v>
      </c>
      <c r="B259" s="1">
        <v>45717</v>
      </c>
      <c r="C259" t="s">
        <v>63</v>
      </c>
      <c r="D259" t="s">
        <v>1381</v>
      </c>
      <c r="E259" t="s">
        <v>1542</v>
      </c>
      <c r="F259">
        <v>2</v>
      </c>
      <c r="G259" s="14">
        <v>679.86</v>
      </c>
      <c r="H259" s="17">
        <v>0.22</v>
      </c>
      <c r="I259" t="s">
        <v>1614</v>
      </c>
      <c r="J259" s="14">
        <v>1060.5816</v>
      </c>
      <c r="K259" s="14">
        <f t="shared" si="32"/>
        <v>583333.26293188462</v>
      </c>
      <c r="L259" s="14">
        <f t="shared" si="33"/>
        <v>580</v>
      </c>
      <c r="M259" s="14" t="str">
        <f t="shared" si="34"/>
        <v>01-03-2025</v>
      </c>
      <c r="N259" s="14">
        <f t="shared" si="35"/>
        <v>0.15378918707797243</v>
      </c>
      <c r="O259" s="20">
        <f t="shared" si="36"/>
        <v>2.5028230423004474</v>
      </c>
      <c r="P259" s="14">
        <f t="shared" si="37"/>
        <v>484.81515875983695</v>
      </c>
      <c r="Q259" s="14">
        <f t="shared" si="38"/>
        <v>435.66539999999998</v>
      </c>
      <c r="R259" s="14" t="str">
        <f t="shared" si="39"/>
        <v>Mar</v>
      </c>
    </row>
    <row r="260" spans="1:18" x14ac:dyDescent="0.3">
      <c r="A260" t="s">
        <v>1869</v>
      </c>
      <c r="B260" s="1">
        <v>45300</v>
      </c>
      <c r="C260" t="s">
        <v>464</v>
      </c>
      <c r="D260" t="s">
        <v>1403</v>
      </c>
      <c r="E260" t="s">
        <v>1592</v>
      </c>
      <c r="F260">
        <v>1</v>
      </c>
      <c r="G260" s="14">
        <v>222.94</v>
      </c>
      <c r="H260" s="17">
        <v>0.19</v>
      </c>
      <c r="I260" t="s">
        <v>1609</v>
      </c>
      <c r="J260" s="14">
        <v>180.5814</v>
      </c>
      <c r="K260" s="14">
        <f t="shared" si="32"/>
        <v>583333.26293188462</v>
      </c>
      <c r="L260" s="14">
        <f t="shared" si="33"/>
        <v>580</v>
      </c>
      <c r="M260" s="14" t="str">
        <f t="shared" si="34"/>
        <v>09-01-2024</v>
      </c>
      <c r="N260" s="14">
        <f t="shared" si="35"/>
        <v>0.15375111300498681</v>
      </c>
      <c r="O260" s="20">
        <f t="shared" si="36"/>
        <v>2.5031120210603901</v>
      </c>
      <c r="P260" s="14">
        <f t="shared" si="37"/>
        <v>484.703064023492</v>
      </c>
      <c r="Q260" s="14">
        <f t="shared" si="38"/>
        <v>101.17785000000001</v>
      </c>
      <c r="R260" s="14" t="str">
        <f t="shared" si="39"/>
        <v>Jan</v>
      </c>
    </row>
    <row r="261" spans="1:18" x14ac:dyDescent="0.3">
      <c r="A261" t="s">
        <v>1870</v>
      </c>
      <c r="B261" s="1">
        <v>45773</v>
      </c>
      <c r="C261" t="s">
        <v>794</v>
      </c>
      <c r="D261" t="s">
        <v>1403</v>
      </c>
      <c r="E261" t="s">
        <v>1546</v>
      </c>
      <c r="F261">
        <v>2</v>
      </c>
      <c r="G261" s="14">
        <v>355.3</v>
      </c>
      <c r="I261" t="s">
        <v>1611</v>
      </c>
      <c r="J261" s="14">
        <v>589.798</v>
      </c>
      <c r="K261" s="14">
        <f t="shared" si="32"/>
        <v>583152.68153188459</v>
      </c>
      <c r="L261" s="14">
        <f t="shared" si="33"/>
        <v>579</v>
      </c>
      <c r="M261" s="14" t="str">
        <f t="shared" si="34"/>
        <v>26-04-2025</v>
      </c>
      <c r="N261" s="14">
        <f t="shared" si="35"/>
        <v>0.15373025633813117</v>
      </c>
      <c r="O261" s="20">
        <f t="shared" si="36"/>
        <v>2.5039763752990671</v>
      </c>
      <c r="P261" s="14">
        <f t="shared" si="37"/>
        <v>484.85358907468441</v>
      </c>
      <c r="Q261" s="14">
        <f t="shared" si="38"/>
        <v>315.6993333333333</v>
      </c>
      <c r="R261" s="14" t="str">
        <f t="shared" si="39"/>
        <v>Apr</v>
      </c>
    </row>
    <row r="262" spans="1:18" x14ac:dyDescent="0.3">
      <c r="A262" t="s">
        <v>1871</v>
      </c>
      <c r="B262" s="1">
        <v>45497</v>
      </c>
      <c r="C262" t="s">
        <v>366</v>
      </c>
      <c r="D262" t="s">
        <v>1511</v>
      </c>
      <c r="E262" t="s">
        <v>1598</v>
      </c>
      <c r="F262">
        <v>4</v>
      </c>
      <c r="G262" s="14">
        <v>611.29999999999995</v>
      </c>
      <c r="H262" s="17">
        <v>0.11</v>
      </c>
      <c r="I262" t="s">
        <v>1611</v>
      </c>
      <c r="J262" s="14">
        <v>2176.2280000000001</v>
      </c>
      <c r="K262" s="14">
        <f t="shared" si="32"/>
        <v>583152.68153188459</v>
      </c>
      <c r="L262" s="14">
        <f t="shared" si="33"/>
        <v>579</v>
      </c>
      <c r="M262" s="14" t="str">
        <f t="shared" si="34"/>
        <v>24-07-2024</v>
      </c>
      <c r="N262" s="14">
        <f t="shared" si="35"/>
        <v>0.15373025633813117</v>
      </c>
      <c r="O262" s="20">
        <f t="shared" si="36"/>
        <v>2.5042663501985487</v>
      </c>
      <c r="P262" s="14">
        <f t="shared" si="37"/>
        <v>484.92813084055024</v>
      </c>
      <c r="Q262" s="14">
        <f t="shared" si="38"/>
        <v>697.90949999999998</v>
      </c>
      <c r="R262" s="14" t="str">
        <f t="shared" si="39"/>
        <v>Jul</v>
      </c>
    </row>
    <row r="263" spans="1:18" x14ac:dyDescent="0.3">
      <c r="A263" t="s">
        <v>1872</v>
      </c>
      <c r="B263" s="1">
        <v>45742</v>
      </c>
      <c r="C263" t="s">
        <v>1047</v>
      </c>
      <c r="D263" t="s">
        <v>1328</v>
      </c>
      <c r="E263" t="s">
        <v>1567</v>
      </c>
      <c r="F263">
        <v>4</v>
      </c>
      <c r="G263" s="14">
        <v>849.21</v>
      </c>
      <c r="H263" s="17">
        <v>7.0000000000000007E-2</v>
      </c>
      <c r="I263" t="s">
        <v>1609</v>
      </c>
      <c r="J263" s="14">
        <v>3159.0612000000001</v>
      </c>
      <c r="K263" s="14">
        <f t="shared" si="32"/>
        <v>583152.68153188459</v>
      </c>
      <c r="L263" s="14">
        <f t="shared" si="33"/>
        <v>579</v>
      </c>
      <c r="M263" s="14" t="str">
        <f t="shared" si="34"/>
        <v>26-03-2025</v>
      </c>
      <c r="N263" s="14">
        <f t="shared" si="35"/>
        <v>0.15375543207580425</v>
      </c>
      <c r="O263" s="20">
        <f t="shared" si="36"/>
        <v>2.5034052485003331</v>
      </c>
      <c r="P263" s="14">
        <f t="shared" si="37"/>
        <v>484.85537789342328</v>
      </c>
      <c r="Q263" s="14">
        <f t="shared" si="38"/>
        <v>1003.0853000000001</v>
      </c>
      <c r="R263" s="14" t="str">
        <f t="shared" si="39"/>
        <v>Mar</v>
      </c>
    </row>
    <row r="264" spans="1:18" x14ac:dyDescent="0.3">
      <c r="A264" t="s">
        <v>1873</v>
      </c>
      <c r="B264" s="1">
        <v>45713</v>
      </c>
      <c r="C264" t="s">
        <v>681</v>
      </c>
      <c r="D264" t="s">
        <v>1417</v>
      </c>
      <c r="E264" t="s">
        <v>1564</v>
      </c>
      <c r="F264">
        <v>3</v>
      </c>
      <c r="G264" s="14">
        <v>553.12</v>
      </c>
      <c r="H264" s="17">
        <v>0.28000000000000003</v>
      </c>
      <c r="I264" t="s">
        <v>1614</v>
      </c>
      <c r="J264" s="14">
        <v>1194.7392</v>
      </c>
      <c r="K264" s="14">
        <f t="shared" si="32"/>
        <v>579993.62033188459</v>
      </c>
      <c r="L264" s="14">
        <f t="shared" si="33"/>
        <v>578</v>
      </c>
      <c r="M264" s="14" t="str">
        <f t="shared" si="34"/>
        <v>25-02-2025</v>
      </c>
      <c r="N264" s="14">
        <f t="shared" si="35"/>
        <v>0.15380367829243782</v>
      </c>
      <c r="O264" s="20">
        <f t="shared" si="36"/>
        <v>2.5025431547494694</v>
      </c>
      <c r="P264" s="14">
        <f t="shared" si="37"/>
        <v>484.64549619866136</v>
      </c>
      <c r="Q264" s="14">
        <f t="shared" si="38"/>
        <v>437.78480000000002</v>
      </c>
      <c r="R264" s="14" t="str">
        <f t="shared" si="39"/>
        <v>Feb</v>
      </c>
    </row>
    <row r="265" spans="1:18" x14ac:dyDescent="0.3">
      <c r="A265" t="s">
        <v>1874</v>
      </c>
      <c r="B265" s="1">
        <v>45826</v>
      </c>
      <c r="C265" t="s">
        <v>896</v>
      </c>
      <c r="D265" t="s">
        <v>1515</v>
      </c>
      <c r="E265" t="s">
        <v>1571</v>
      </c>
      <c r="F265">
        <v>2</v>
      </c>
      <c r="G265" s="14">
        <v>903.08</v>
      </c>
      <c r="H265" s="17">
        <v>0.18</v>
      </c>
      <c r="I265" t="s">
        <v>1614</v>
      </c>
      <c r="J265" s="14">
        <v>1481.0512000000001</v>
      </c>
      <c r="K265" s="14">
        <f t="shared" si="32"/>
        <v>579993.62033188459</v>
      </c>
      <c r="L265" s="14">
        <f t="shared" si="33"/>
        <v>578</v>
      </c>
      <c r="M265" s="14" t="str">
        <f t="shared" si="34"/>
        <v>18-06-2025</v>
      </c>
      <c r="N265" s="14">
        <f t="shared" si="35"/>
        <v>0.15373094266032969</v>
      </c>
      <c r="O265" s="20">
        <f t="shared" si="36"/>
        <v>2.5022564361066735</v>
      </c>
      <c r="P265" s="14">
        <f t="shared" si="37"/>
        <v>484.60602962586523</v>
      </c>
      <c r="Q265" s="14">
        <f t="shared" si="38"/>
        <v>596.57780000000002</v>
      </c>
      <c r="R265" s="14" t="str">
        <f t="shared" si="39"/>
        <v>Jun</v>
      </c>
    </row>
    <row r="266" spans="1:18" x14ac:dyDescent="0.3">
      <c r="A266" t="s">
        <v>1875</v>
      </c>
      <c r="B266" s="1">
        <v>45648</v>
      </c>
      <c r="C266" t="s">
        <v>1299</v>
      </c>
      <c r="D266" t="s">
        <v>1365</v>
      </c>
      <c r="E266" t="s">
        <v>1577</v>
      </c>
      <c r="F266">
        <v>4</v>
      </c>
      <c r="G266" s="14">
        <v>640.23</v>
      </c>
      <c r="H266" s="17">
        <v>0.06</v>
      </c>
      <c r="I266" t="s">
        <v>1614</v>
      </c>
      <c r="J266" s="14">
        <v>2407.2647999999999</v>
      </c>
      <c r="K266" s="14">
        <f t="shared" si="32"/>
        <v>579993.62033188459</v>
      </c>
      <c r="L266" s="14">
        <f t="shared" si="33"/>
        <v>578</v>
      </c>
      <c r="M266" s="14" t="str">
        <f t="shared" si="34"/>
        <v>22-12-2024</v>
      </c>
      <c r="N266" s="14">
        <f t="shared" si="35"/>
        <v>0.15371579326163323</v>
      </c>
      <c r="O266" s="20">
        <f t="shared" si="36"/>
        <v>2.5025460880306101</v>
      </c>
      <c r="P266" s="14">
        <f t="shared" si="37"/>
        <v>484.36469515621468</v>
      </c>
      <c r="Q266" s="14">
        <f t="shared" si="38"/>
        <v>762.88869999999997</v>
      </c>
      <c r="R266" s="14" t="str">
        <f t="shared" si="39"/>
        <v>Dec</v>
      </c>
    </row>
    <row r="267" spans="1:18" x14ac:dyDescent="0.3">
      <c r="A267" t="s">
        <v>1876</v>
      </c>
      <c r="B267" s="1">
        <v>45836</v>
      </c>
      <c r="C267" t="s">
        <v>478</v>
      </c>
      <c r="D267" t="s">
        <v>1375</v>
      </c>
      <c r="E267" t="s">
        <v>1561</v>
      </c>
      <c r="F267">
        <v>1</v>
      </c>
      <c r="G267" s="14">
        <v>518</v>
      </c>
      <c r="H267" s="17">
        <v>0.25</v>
      </c>
      <c r="I267" t="s">
        <v>1609</v>
      </c>
      <c r="J267" s="14">
        <v>388.5</v>
      </c>
      <c r="K267" s="14">
        <f t="shared" si="32"/>
        <v>579993.62033188459</v>
      </c>
      <c r="L267" s="14">
        <f t="shared" si="33"/>
        <v>578</v>
      </c>
      <c r="M267" s="14" t="str">
        <f t="shared" si="34"/>
        <v>28-06-2025</v>
      </c>
      <c r="N267" s="14">
        <f t="shared" si="35"/>
        <v>0.15376987046490018</v>
      </c>
      <c r="O267" s="20">
        <f t="shared" si="36"/>
        <v>2.5016820061425724</v>
      </c>
      <c r="P267" s="14">
        <f t="shared" si="37"/>
        <v>484.27475556888413</v>
      </c>
      <c r="Q267" s="14">
        <f t="shared" si="38"/>
        <v>226.9375</v>
      </c>
      <c r="R267" s="14" t="str">
        <f t="shared" si="39"/>
        <v>Jun</v>
      </c>
    </row>
    <row r="268" spans="1:18" x14ac:dyDescent="0.3">
      <c r="A268" t="s">
        <v>1877</v>
      </c>
      <c r="B268" s="1">
        <v>45437</v>
      </c>
      <c r="C268" t="s">
        <v>1254</v>
      </c>
      <c r="D268" t="s">
        <v>1461</v>
      </c>
      <c r="E268" t="s">
        <v>1554</v>
      </c>
      <c r="F268">
        <v>4</v>
      </c>
      <c r="G268" s="14">
        <v>779.25</v>
      </c>
      <c r="H268" s="17">
        <v>0.25</v>
      </c>
      <c r="I268" t="s">
        <v>1609</v>
      </c>
      <c r="J268" s="14">
        <v>2337.75</v>
      </c>
      <c r="K268" s="14">
        <f t="shared" si="32"/>
        <v>579605.12033188459</v>
      </c>
      <c r="L268" s="14">
        <f t="shared" si="33"/>
        <v>577</v>
      </c>
      <c r="M268" s="14" t="str">
        <f t="shared" si="34"/>
        <v>25-05-2024</v>
      </c>
      <c r="N268" s="14">
        <f t="shared" si="35"/>
        <v>0.15371431034392147</v>
      </c>
      <c r="O268" s="20">
        <f t="shared" si="36"/>
        <v>2.5025490280860727</v>
      </c>
      <c r="P268" s="14">
        <f t="shared" si="37"/>
        <v>484.25528371875066</v>
      </c>
      <c r="Q268" s="14">
        <f t="shared" si="38"/>
        <v>780.3125</v>
      </c>
      <c r="R268" s="14" t="str">
        <f t="shared" si="39"/>
        <v>May</v>
      </c>
    </row>
    <row r="269" spans="1:18" x14ac:dyDescent="0.3">
      <c r="A269" t="s">
        <v>1878</v>
      </c>
      <c r="B269" s="1">
        <v>45807</v>
      </c>
      <c r="C269" t="s">
        <v>411</v>
      </c>
      <c r="D269" t="s">
        <v>1499</v>
      </c>
      <c r="E269" t="s">
        <v>1564</v>
      </c>
      <c r="F269">
        <v>2</v>
      </c>
      <c r="G269" s="14">
        <v>467.75</v>
      </c>
      <c r="H269" s="17">
        <v>0.26</v>
      </c>
      <c r="I269" t="s">
        <v>1609</v>
      </c>
      <c r="J269" s="14">
        <v>692.27</v>
      </c>
      <c r="K269" s="14">
        <f t="shared" si="32"/>
        <v>577267.37033188459</v>
      </c>
      <c r="L269" s="14">
        <f t="shared" si="33"/>
        <v>576</v>
      </c>
      <c r="M269" s="14" t="str">
        <f t="shared" si="34"/>
        <v>30-05-2025</v>
      </c>
      <c r="N269" s="14">
        <f t="shared" si="35"/>
        <v>0.15365868602869553</v>
      </c>
      <c r="O269" s="20">
        <f t="shared" si="36"/>
        <v>2.5016839495349958</v>
      </c>
      <c r="P269" s="14">
        <f t="shared" si="37"/>
        <v>484.08486504961076</v>
      </c>
      <c r="Q269" s="14">
        <f t="shared" si="38"/>
        <v>290.57</v>
      </c>
      <c r="R269" s="14" t="str">
        <f t="shared" si="39"/>
        <v>May</v>
      </c>
    </row>
    <row r="270" spans="1:18" x14ac:dyDescent="0.3">
      <c r="A270" t="s">
        <v>1879</v>
      </c>
      <c r="B270" s="1">
        <v>45555</v>
      </c>
      <c r="C270" t="s">
        <v>1227</v>
      </c>
      <c r="D270" t="s">
        <v>1513</v>
      </c>
      <c r="E270" t="s">
        <v>1595</v>
      </c>
      <c r="F270">
        <v>3</v>
      </c>
      <c r="G270" s="14">
        <v>510.19</v>
      </c>
      <c r="H270" s="17">
        <v>0.06</v>
      </c>
      <c r="I270" t="s">
        <v>1609</v>
      </c>
      <c r="J270" s="14">
        <v>315.24779999999998</v>
      </c>
      <c r="K270" s="14">
        <f t="shared" si="32"/>
        <v>576575.10033188458</v>
      </c>
      <c r="L270" s="14">
        <f t="shared" si="33"/>
        <v>575</v>
      </c>
      <c r="M270" s="14" t="str">
        <f t="shared" si="34"/>
        <v>20-09-2024</v>
      </c>
      <c r="N270" s="14">
        <f t="shared" si="35"/>
        <v>0.15359721706108209</v>
      </c>
      <c r="O270" s="20">
        <f t="shared" si="36"/>
        <v>2.5019739402572703</v>
      </c>
      <c r="P270" s="14">
        <f t="shared" si="37"/>
        <v>484.09430716813648</v>
      </c>
      <c r="Q270" s="14">
        <f t="shared" si="38"/>
        <v>207.12445</v>
      </c>
      <c r="R270" s="14" t="str">
        <f t="shared" si="39"/>
        <v>Sep</v>
      </c>
    </row>
    <row r="271" spans="1:18" x14ac:dyDescent="0.3">
      <c r="A271" t="s">
        <v>1880</v>
      </c>
      <c r="B271" s="1">
        <v>45803</v>
      </c>
      <c r="C271" t="s">
        <v>711</v>
      </c>
      <c r="D271" t="s">
        <v>1407</v>
      </c>
      <c r="E271" t="s">
        <v>1537</v>
      </c>
      <c r="F271">
        <v>4</v>
      </c>
      <c r="G271" s="14">
        <v>747.01</v>
      </c>
      <c r="H271" s="17">
        <v>0.13</v>
      </c>
      <c r="I271" t="s">
        <v>1611</v>
      </c>
      <c r="J271" s="14">
        <v>2599.5947999999999</v>
      </c>
      <c r="K271" s="14">
        <f t="shared" si="32"/>
        <v>576259.85253188456</v>
      </c>
      <c r="L271" s="14">
        <f t="shared" si="33"/>
        <v>574</v>
      </c>
      <c r="M271" s="14" t="str">
        <f t="shared" si="34"/>
        <v>26-05-2025</v>
      </c>
      <c r="N271" s="14">
        <f t="shared" si="35"/>
        <v>0.15365135078986236</v>
      </c>
      <c r="O271" s="20">
        <f t="shared" si="36"/>
        <v>2.5016858974234113</v>
      </c>
      <c r="P271" s="14">
        <f t="shared" si="37"/>
        <v>484.07921422838405</v>
      </c>
      <c r="Q271" s="14">
        <f t="shared" si="38"/>
        <v>837.68369999999993</v>
      </c>
      <c r="R271" s="14" t="str">
        <f t="shared" si="39"/>
        <v>May</v>
      </c>
    </row>
    <row r="272" spans="1:18" x14ac:dyDescent="0.3">
      <c r="A272" t="s">
        <v>1881</v>
      </c>
      <c r="B272" s="1">
        <v>45735</v>
      </c>
      <c r="C272" t="s">
        <v>360</v>
      </c>
      <c r="D272" t="s">
        <v>1511</v>
      </c>
      <c r="E272" t="s">
        <v>1579</v>
      </c>
      <c r="F272">
        <v>4</v>
      </c>
      <c r="G272" s="14">
        <v>461.83</v>
      </c>
      <c r="H272" s="17">
        <v>0.28000000000000003</v>
      </c>
      <c r="I272" t="s">
        <v>1611</v>
      </c>
      <c r="J272" s="14">
        <v>1330.0704000000001</v>
      </c>
      <c r="K272" s="14">
        <f t="shared" si="32"/>
        <v>576259.85253188456</v>
      </c>
      <c r="L272" s="14">
        <f t="shared" si="33"/>
        <v>574</v>
      </c>
      <c r="M272" s="14" t="str">
        <f t="shared" si="34"/>
        <v>19-03-2025</v>
      </c>
      <c r="N272" s="14">
        <f t="shared" si="35"/>
        <v>0.15366503791416206</v>
      </c>
      <c r="O272" s="20">
        <f t="shared" si="36"/>
        <v>2.5008188175029393</v>
      </c>
      <c r="P272" s="14">
        <f t="shared" si="37"/>
        <v>483.92705520884033</v>
      </c>
      <c r="Q272" s="14">
        <f t="shared" si="38"/>
        <v>449.04509999999999</v>
      </c>
      <c r="R272" s="14" t="str">
        <f t="shared" si="39"/>
        <v>Mar</v>
      </c>
    </row>
    <row r="273" spans="1:18" x14ac:dyDescent="0.3">
      <c r="A273" t="s">
        <v>1882</v>
      </c>
      <c r="B273" s="1">
        <v>45750</v>
      </c>
      <c r="C273" t="s">
        <v>458</v>
      </c>
      <c r="D273" t="s">
        <v>1473</v>
      </c>
      <c r="E273" t="s">
        <v>1567</v>
      </c>
      <c r="F273">
        <v>2</v>
      </c>
      <c r="G273" s="14">
        <v>105.15</v>
      </c>
      <c r="H273" s="17">
        <v>0.06</v>
      </c>
      <c r="I273" t="s">
        <v>1609</v>
      </c>
      <c r="J273" s="14">
        <v>197.68199999999999</v>
      </c>
      <c r="K273" s="14">
        <f t="shared" si="32"/>
        <v>576259.85253188456</v>
      </c>
      <c r="L273" s="14">
        <f t="shared" si="33"/>
        <v>574</v>
      </c>
      <c r="M273" s="14" t="str">
        <f t="shared" si="34"/>
        <v>03-04-2025</v>
      </c>
      <c r="N273" s="14">
        <f t="shared" si="35"/>
        <v>0.15359188506987376</v>
      </c>
      <c r="O273" s="20">
        <f t="shared" si="36"/>
        <v>2.4999507334366404</v>
      </c>
      <c r="P273" s="14">
        <f t="shared" si="37"/>
        <v>483.93985026107475</v>
      </c>
      <c r="Q273" s="14">
        <f t="shared" si="38"/>
        <v>76.222999999999999</v>
      </c>
      <c r="R273" s="14" t="str">
        <f t="shared" si="39"/>
        <v>Apr</v>
      </c>
    </row>
    <row r="274" spans="1:18" x14ac:dyDescent="0.3">
      <c r="A274" t="s">
        <v>1883</v>
      </c>
      <c r="B274" s="1">
        <v>45693</v>
      </c>
      <c r="C274" t="s">
        <v>134</v>
      </c>
      <c r="D274" t="s">
        <v>1379</v>
      </c>
      <c r="E274" t="s">
        <v>1551</v>
      </c>
      <c r="F274">
        <v>3</v>
      </c>
      <c r="G274" s="14">
        <v>610.24</v>
      </c>
      <c r="H274" s="17">
        <v>0.17</v>
      </c>
      <c r="I274" t="s">
        <v>1614</v>
      </c>
      <c r="J274" s="14">
        <v>1519.4975999999999</v>
      </c>
      <c r="K274" s="14">
        <f t="shared" si="32"/>
        <v>576062.17053188453</v>
      </c>
      <c r="L274" s="14">
        <f t="shared" si="33"/>
        <v>573</v>
      </c>
      <c r="M274" s="14" t="str">
        <f t="shared" si="34"/>
        <v>05-02-2025</v>
      </c>
      <c r="N274" s="14">
        <f t="shared" si="35"/>
        <v>0.15364610980050519</v>
      </c>
      <c r="O274" s="20">
        <f t="shared" si="36"/>
        <v>2.5002403920307521</v>
      </c>
      <c r="P274" s="14">
        <f t="shared" si="37"/>
        <v>484.15931135624339</v>
      </c>
      <c r="Q274" s="14">
        <f t="shared" si="38"/>
        <v>533.2269</v>
      </c>
      <c r="R274" s="14" t="str">
        <f t="shared" si="39"/>
        <v>Feb</v>
      </c>
    </row>
    <row r="275" spans="1:18" x14ac:dyDescent="0.3">
      <c r="A275" t="s">
        <v>1884</v>
      </c>
      <c r="B275" s="1">
        <v>45667</v>
      </c>
      <c r="C275" t="s">
        <v>984</v>
      </c>
      <c r="D275" t="s">
        <v>1481</v>
      </c>
      <c r="E275" t="s">
        <v>1567</v>
      </c>
      <c r="F275">
        <v>1</v>
      </c>
      <c r="G275" s="14">
        <v>872.12</v>
      </c>
      <c r="H275" s="17">
        <v>7.0000000000000007E-2</v>
      </c>
      <c r="I275" t="s">
        <v>1611</v>
      </c>
      <c r="J275" s="14">
        <v>811.07159999999999</v>
      </c>
      <c r="K275" s="14">
        <f t="shared" si="32"/>
        <v>576062.17053188453</v>
      </c>
      <c r="L275" s="14">
        <f t="shared" si="33"/>
        <v>573</v>
      </c>
      <c r="M275" s="14" t="str">
        <f t="shared" si="34"/>
        <v>10-01-2025</v>
      </c>
      <c r="N275" s="14">
        <f t="shared" si="35"/>
        <v>0.15363662928444752</v>
      </c>
      <c r="O275" s="20">
        <f t="shared" si="36"/>
        <v>2.4999506763159873</v>
      </c>
      <c r="P275" s="14">
        <f t="shared" si="37"/>
        <v>484.08622110195716</v>
      </c>
      <c r="Q275" s="14">
        <f t="shared" si="38"/>
        <v>421.06540000000001</v>
      </c>
      <c r="R275" s="14" t="str">
        <f t="shared" si="39"/>
        <v>Jan</v>
      </c>
    </row>
    <row r="276" spans="1:18" x14ac:dyDescent="0.3">
      <c r="A276" t="s">
        <v>1885</v>
      </c>
      <c r="B276" s="1">
        <v>45316</v>
      </c>
      <c r="C276" t="s">
        <v>1254</v>
      </c>
      <c r="D276" t="s">
        <v>1353</v>
      </c>
      <c r="E276" t="s">
        <v>1542</v>
      </c>
      <c r="F276">
        <v>1</v>
      </c>
      <c r="G276" s="14">
        <v>406.79</v>
      </c>
      <c r="H276" s="17">
        <v>0.03</v>
      </c>
      <c r="I276" t="s">
        <v>1614</v>
      </c>
      <c r="J276" s="14">
        <v>394.58629999999999</v>
      </c>
      <c r="K276" s="14">
        <f t="shared" si="32"/>
        <v>576062.17053188453</v>
      </c>
      <c r="L276" s="14">
        <f t="shared" si="33"/>
        <v>573</v>
      </c>
      <c r="M276" s="14" t="str">
        <f t="shared" si="34"/>
        <v>25-01-2024</v>
      </c>
      <c r="N276" s="14">
        <f t="shared" si="35"/>
        <v>0.15368514241048259</v>
      </c>
      <c r="O276" s="20">
        <f t="shared" si="36"/>
        <v>2.5008207173115302</v>
      </c>
      <c r="P276" s="14">
        <f t="shared" si="37"/>
        <v>483.86114350398833</v>
      </c>
      <c r="Q276" s="14">
        <f t="shared" si="38"/>
        <v>200.601575</v>
      </c>
      <c r="R276" s="14" t="str">
        <f t="shared" si="39"/>
        <v>Jan</v>
      </c>
    </row>
    <row r="277" spans="1:18" x14ac:dyDescent="0.3">
      <c r="A277" t="s">
        <v>1886</v>
      </c>
      <c r="B277" s="1">
        <v>45932</v>
      </c>
      <c r="C277" t="s">
        <v>1163</v>
      </c>
      <c r="D277" t="s">
        <v>1441</v>
      </c>
      <c r="E277" t="s">
        <v>1584</v>
      </c>
      <c r="F277">
        <v>1</v>
      </c>
      <c r="G277" s="14">
        <v>606.01</v>
      </c>
      <c r="H277" s="17">
        <v>0.04</v>
      </c>
      <c r="I277" t="s">
        <v>1611</v>
      </c>
      <c r="J277" s="14">
        <v>581.76959999999997</v>
      </c>
      <c r="K277" s="14">
        <f t="shared" si="32"/>
        <v>576062.17053188453</v>
      </c>
      <c r="L277" s="14">
        <f t="shared" si="33"/>
        <v>573</v>
      </c>
      <c r="M277" s="14" t="str">
        <f t="shared" si="34"/>
        <v>02-10-2025</v>
      </c>
      <c r="N277" s="14">
        <f t="shared" si="35"/>
        <v>0.1537569271710226</v>
      </c>
      <c r="O277" s="20">
        <f t="shared" si="36"/>
        <v>2.5016917682211712</v>
      </c>
      <c r="P277" s="14">
        <f t="shared" si="37"/>
        <v>483.90587428953921</v>
      </c>
      <c r="Q277" s="14">
        <f t="shared" si="38"/>
        <v>297.20489999999995</v>
      </c>
      <c r="R277" s="14" t="str">
        <f t="shared" si="39"/>
        <v>Oct</v>
      </c>
    </row>
    <row r="278" spans="1:18" x14ac:dyDescent="0.3">
      <c r="A278" t="s">
        <v>1887</v>
      </c>
      <c r="B278" s="1">
        <v>45483</v>
      </c>
      <c r="C278" t="s">
        <v>1095</v>
      </c>
      <c r="D278" t="s">
        <v>1367</v>
      </c>
      <c r="E278" t="s">
        <v>1558</v>
      </c>
      <c r="F278">
        <v>4</v>
      </c>
      <c r="G278" s="14">
        <v>322.58</v>
      </c>
      <c r="H278" s="17">
        <v>0.06</v>
      </c>
      <c r="I278" t="s">
        <v>1609</v>
      </c>
      <c r="J278" s="14">
        <v>1212.9007999999999</v>
      </c>
      <c r="K278" s="14">
        <f t="shared" si="32"/>
        <v>576062.17053188453</v>
      </c>
      <c r="L278" s="14">
        <f t="shared" si="33"/>
        <v>573</v>
      </c>
      <c r="M278" s="14" t="str">
        <f t="shared" si="34"/>
        <v>10-07-2024</v>
      </c>
      <c r="N278" s="14">
        <f t="shared" si="35"/>
        <v>0.15382298810433914</v>
      </c>
      <c r="O278" s="20">
        <f t="shared" si="36"/>
        <v>2.5025638308043425</v>
      </c>
      <c r="P278" s="14">
        <f t="shared" si="37"/>
        <v>483.83496597031126</v>
      </c>
      <c r="Q278" s="14">
        <f t="shared" si="38"/>
        <v>384.88519999999994</v>
      </c>
      <c r="R278" s="14" t="str">
        <f t="shared" si="39"/>
        <v>Jul</v>
      </c>
    </row>
    <row r="279" spans="1:18" x14ac:dyDescent="0.3">
      <c r="A279" t="s">
        <v>1888</v>
      </c>
      <c r="B279" s="1">
        <v>45661</v>
      </c>
      <c r="C279" t="s">
        <v>1305</v>
      </c>
      <c r="D279" t="s">
        <v>1487</v>
      </c>
      <c r="E279" t="s">
        <v>1595</v>
      </c>
      <c r="F279">
        <v>4</v>
      </c>
      <c r="G279" s="14">
        <v>463.17</v>
      </c>
      <c r="H279" s="17">
        <v>0.06</v>
      </c>
      <c r="I279" t="s">
        <v>1611</v>
      </c>
      <c r="J279" s="14">
        <v>1741.5192</v>
      </c>
      <c r="K279" s="14">
        <f t="shared" si="32"/>
        <v>574849.26973188447</v>
      </c>
      <c r="L279" s="14">
        <f t="shared" si="33"/>
        <v>572</v>
      </c>
      <c r="M279" s="14" t="str">
        <f t="shared" si="34"/>
        <v>04-01-2025</v>
      </c>
      <c r="N279" s="14">
        <f t="shared" si="35"/>
        <v>0.15387750465756653</v>
      </c>
      <c r="O279" s="20">
        <f t="shared" si="36"/>
        <v>2.5016937342504812</v>
      </c>
      <c r="P279" s="14">
        <f t="shared" si="37"/>
        <v>483.92866438168278</v>
      </c>
      <c r="Q279" s="14">
        <f t="shared" si="38"/>
        <v>552.18730000000005</v>
      </c>
      <c r="R279" s="14" t="str">
        <f t="shared" si="39"/>
        <v>Jan</v>
      </c>
    </row>
    <row r="280" spans="1:18" x14ac:dyDescent="0.3">
      <c r="A280" t="s">
        <v>1889</v>
      </c>
      <c r="B280" s="1">
        <v>45798</v>
      </c>
      <c r="C280" t="s">
        <v>996</v>
      </c>
      <c r="D280" t="s">
        <v>1383</v>
      </c>
      <c r="E280" t="s">
        <v>1564</v>
      </c>
      <c r="F280">
        <v>4</v>
      </c>
      <c r="G280" s="14">
        <v>285.82</v>
      </c>
      <c r="H280" s="17">
        <v>0.18</v>
      </c>
      <c r="I280" t="s">
        <v>1611</v>
      </c>
      <c r="J280" s="14">
        <v>937.4896</v>
      </c>
      <c r="K280" s="14">
        <f t="shared" si="32"/>
        <v>574849.26973188447</v>
      </c>
      <c r="L280" s="14">
        <f t="shared" si="33"/>
        <v>572</v>
      </c>
      <c r="M280" s="14" t="str">
        <f t="shared" si="34"/>
        <v>21-05-2025</v>
      </c>
      <c r="N280" s="14">
        <f t="shared" si="35"/>
        <v>0.15393208460213489</v>
      </c>
      <c r="O280" s="20">
        <f t="shared" si="36"/>
        <v>2.5008226259564412</v>
      </c>
      <c r="P280" s="14">
        <f t="shared" si="37"/>
        <v>483.94073337260227</v>
      </c>
      <c r="Q280" s="14">
        <f t="shared" si="38"/>
        <v>306.87239999999997</v>
      </c>
      <c r="R280" s="14" t="str">
        <f t="shared" si="39"/>
        <v>May</v>
      </c>
    </row>
    <row r="281" spans="1:18" x14ac:dyDescent="0.3">
      <c r="A281" t="s">
        <v>1890</v>
      </c>
      <c r="B281" s="1">
        <v>45868</v>
      </c>
      <c r="C281" t="s">
        <v>1026</v>
      </c>
      <c r="D281" t="s">
        <v>1407</v>
      </c>
      <c r="E281" t="s">
        <v>1577</v>
      </c>
      <c r="F281">
        <v>3</v>
      </c>
      <c r="G281" s="14">
        <v>995.38</v>
      </c>
      <c r="H281" s="17">
        <v>0.1</v>
      </c>
      <c r="I281" t="s">
        <v>1611</v>
      </c>
      <c r="J281" s="14">
        <v>2687.5259999999998</v>
      </c>
      <c r="K281" s="14">
        <f t="shared" si="32"/>
        <v>574849.26973188447</v>
      </c>
      <c r="L281" s="14">
        <f t="shared" si="33"/>
        <v>572</v>
      </c>
      <c r="M281" s="14" t="str">
        <f t="shared" si="34"/>
        <v>30-07-2025</v>
      </c>
      <c r="N281" s="14">
        <f t="shared" si="35"/>
        <v>0.15391692002075161</v>
      </c>
      <c r="O281" s="20">
        <f t="shared" si="36"/>
        <v>2.4999505041565317</v>
      </c>
      <c r="P281" s="14">
        <f t="shared" si="37"/>
        <v>484.05598685333098</v>
      </c>
      <c r="Q281" s="14">
        <f t="shared" si="38"/>
        <v>921.50149999999996</v>
      </c>
      <c r="R281" s="14" t="str">
        <f t="shared" si="39"/>
        <v>Jul</v>
      </c>
    </row>
    <row r="282" spans="1:18" x14ac:dyDescent="0.3">
      <c r="A282" t="s">
        <v>1891</v>
      </c>
      <c r="B282" s="1">
        <v>45757</v>
      </c>
      <c r="C282" t="s">
        <v>414</v>
      </c>
      <c r="D282" t="s">
        <v>1457</v>
      </c>
      <c r="E282" t="s">
        <v>1567</v>
      </c>
      <c r="F282">
        <v>1</v>
      </c>
      <c r="G282" s="14">
        <v>329.31</v>
      </c>
      <c r="H282" s="17">
        <v>0.09</v>
      </c>
      <c r="I282" t="s">
        <v>1609</v>
      </c>
      <c r="J282" s="14">
        <v>299.6721</v>
      </c>
      <c r="K282" s="14">
        <f t="shared" si="32"/>
        <v>574849.26973188447</v>
      </c>
      <c r="L282" s="14">
        <f t="shared" si="33"/>
        <v>572</v>
      </c>
      <c r="M282" s="14" t="str">
        <f t="shared" si="34"/>
        <v>10-04-2025</v>
      </c>
      <c r="N282" s="14">
        <f t="shared" si="35"/>
        <v>0.15394830355976252</v>
      </c>
      <c r="O282" s="20">
        <f t="shared" si="36"/>
        <v>2.4996594392579032</v>
      </c>
      <c r="P282" s="14">
        <f t="shared" si="37"/>
        <v>483.7583593718719</v>
      </c>
      <c r="Q282" s="14">
        <f t="shared" si="38"/>
        <v>157.51802499999999</v>
      </c>
      <c r="R282" s="14" t="str">
        <f t="shared" si="39"/>
        <v>Apr</v>
      </c>
    </row>
    <row r="283" spans="1:18" x14ac:dyDescent="0.3">
      <c r="A283" t="s">
        <v>1892</v>
      </c>
      <c r="B283" s="1">
        <v>45475</v>
      </c>
      <c r="C283" t="s">
        <v>1311</v>
      </c>
      <c r="D283" t="s">
        <v>1427</v>
      </c>
      <c r="E283" t="s">
        <v>1589</v>
      </c>
      <c r="F283">
        <v>3</v>
      </c>
      <c r="G283" s="14">
        <v>64.2</v>
      </c>
      <c r="H283" s="17">
        <v>0.08</v>
      </c>
      <c r="I283" t="s">
        <v>1614</v>
      </c>
      <c r="J283" s="14">
        <v>177.19200000000001</v>
      </c>
      <c r="K283" s="14">
        <f t="shared" si="32"/>
        <v>574549.59763188451</v>
      </c>
      <c r="L283" s="14">
        <f t="shared" si="33"/>
        <v>571</v>
      </c>
      <c r="M283" s="14" t="str">
        <f t="shared" si="34"/>
        <v>02-07-2024</v>
      </c>
      <c r="N283" s="14">
        <f t="shared" si="35"/>
        <v>0.1539855477668445</v>
      </c>
      <c r="O283" s="20">
        <f t="shared" si="36"/>
        <v>2.500532857684961</v>
      </c>
      <c r="P283" s="14">
        <f t="shared" si="37"/>
        <v>483.84831182345721</v>
      </c>
      <c r="Q283" s="14">
        <f t="shared" si="38"/>
        <v>61.118000000000002</v>
      </c>
      <c r="R283" s="14" t="str">
        <f t="shared" si="39"/>
        <v>Jul</v>
      </c>
    </row>
    <row r="284" spans="1:18" x14ac:dyDescent="0.3">
      <c r="A284" t="s">
        <v>1893</v>
      </c>
      <c r="B284" s="1">
        <v>45829</v>
      </c>
      <c r="C284" t="s">
        <v>836</v>
      </c>
      <c r="D284" t="s">
        <v>1355</v>
      </c>
      <c r="E284" t="s">
        <v>1582</v>
      </c>
      <c r="F284">
        <v>3</v>
      </c>
      <c r="G284" s="14">
        <v>697.13</v>
      </c>
      <c r="H284" s="17">
        <v>0.25</v>
      </c>
      <c r="I284" t="s">
        <v>1614</v>
      </c>
      <c r="J284" s="14">
        <v>1568.5425</v>
      </c>
      <c r="K284" s="14">
        <f t="shared" si="32"/>
        <v>574549.59763188451</v>
      </c>
      <c r="L284" s="14">
        <f t="shared" si="33"/>
        <v>571</v>
      </c>
      <c r="M284" s="14" t="str">
        <f t="shared" si="34"/>
        <v>21-06-2025</v>
      </c>
      <c r="N284" s="14">
        <f t="shared" si="35"/>
        <v>0.15402866288792078</v>
      </c>
      <c r="O284" s="20">
        <f t="shared" si="36"/>
        <v>2.5002417929167122</v>
      </c>
      <c r="P284" s="14">
        <f t="shared" si="37"/>
        <v>484.09286212172259</v>
      </c>
      <c r="Q284" s="14">
        <f t="shared" si="38"/>
        <v>567.23062500000003</v>
      </c>
      <c r="R284" s="14" t="str">
        <f t="shared" si="39"/>
        <v>Jun</v>
      </c>
    </row>
    <row r="285" spans="1:18" x14ac:dyDescent="0.3">
      <c r="A285" t="s">
        <v>1894</v>
      </c>
      <c r="B285" s="1">
        <v>45639</v>
      </c>
      <c r="C285" t="s">
        <v>97</v>
      </c>
      <c r="D285" t="s">
        <v>1350</v>
      </c>
      <c r="E285" t="s">
        <v>1558</v>
      </c>
      <c r="F285">
        <v>3</v>
      </c>
      <c r="G285" s="14">
        <v>134.30000000000001</v>
      </c>
      <c r="H285" s="17">
        <v>0.14000000000000001</v>
      </c>
      <c r="I285" t="s">
        <v>1609</v>
      </c>
      <c r="J285" s="14">
        <v>346.49400000000003</v>
      </c>
      <c r="K285" s="14">
        <f t="shared" si="32"/>
        <v>574549.59763188451</v>
      </c>
      <c r="L285" s="14">
        <f t="shared" si="33"/>
        <v>571</v>
      </c>
      <c r="M285" s="14" t="str">
        <f t="shared" si="34"/>
        <v>13-12-2024</v>
      </c>
      <c r="N285" s="14">
        <f t="shared" si="35"/>
        <v>0.15397270292459009</v>
      </c>
      <c r="O285" s="20">
        <f t="shared" si="36"/>
        <v>2.4999503887143311</v>
      </c>
      <c r="P285" s="14">
        <f t="shared" si="37"/>
        <v>483.96864221625424</v>
      </c>
      <c r="Q285" s="14">
        <f t="shared" si="38"/>
        <v>120.98350000000001</v>
      </c>
      <c r="R285" s="14" t="str">
        <f t="shared" si="39"/>
        <v>Dec</v>
      </c>
    </row>
    <row r="286" spans="1:18" x14ac:dyDescent="0.3">
      <c r="A286" t="s">
        <v>1895</v>
      </c>
      <c r="B286" s="1">
        <v>45518</v>
      </c>
      <c r="C286" t="s">
        <v>830</v>
      </c>
      <c r="D286" t="s">
        <v>1501</v>
      </c>
      <c r="E286" t="s">
        <v>1582</v>
      </c>
      <c r="F286">
        <v>1</v>
      </c>
      <c r="G286" s="14">
        <v>520.92999999999995</v>
      </c>
      <c r="H286" s="17">
        <v>0.15</v>
      </c>
      <c r="I286" t="s">
        <v>1609</v>
      </c>
      <c r="J286" s="14">
        <v>442.79050000000001</v>
      </c>
      <c r="K286" s="14">
        <f t="shared" si="32"/>
        <v>574203.10363188456</v>
      </c>
      <c r="L286" s="14">
        <f t="shared" si="33"/>
        <v>570</v>
      </c>
      <c r="M286" s="14" t="str">
        <f t="shared" si="34"/>
        <v>14-08-2024</v>
      </c>
      <c r="N286" s="14">
        <f t="shared" si="35"/>
        <v>0.15398085502664643</v>
      </c>
      <c r="O286" s="20">
        <f t="shared" si="36"/>
        <v>2.4996586444837101</v>
      </c>
      <c r="P286" s="14">
        <f t="shared" si="37"/>
        <v>484.17264959210974</v>
      </c>
      <c r="Q286" s="14">
        <f t="shared" si="38"/>
        <v>241.217625</v>
      </c>
      <c r="R286" s="14" t="str">
        <f t="shared" si="39"/>
        <v>Aug</v>
      </c>
    </row>
    <row r="287" spans="1:18" x14ac:dyDescent="0.3">
      <c r="A287" t="s">
        <v>1896</v>
      </c>
      <c r="B287" s="1">
        <v>45721</v>
      </c>
      <c r="C287" t="s">
        <v>727</v>
      </c>
      <c r="D287" t="s">
        <v>1371</v>
      </c>
      <c r="E287" t="s">
        <v>1564</v>
      </c>
      <c r="F287">
        <v>2</v>
      </c>
      <c r="G287" s="14">
        <v>350.12</v>
      </c>
      <c r="H287" s="17">
        <v>0.21</v>
      </c>
      <c r="I287" t="s">
        <v>1614</v>
      </c>
      <c r="J287" s="14">
        <v>553.18960000000004</v>
      </c>
      <c r="K287" s="14">
        <f t="shared" si="32"/>
        <v>573760.31313188456</v>
      </c>
      <c r="L287" s="14">
        <f t="shared" si="33"/>
        <v>569</v>
      </c>
      <c r="M287" s="14" t="str">
        <f t="shared" si="34"/>
        <v>05-03-2025</v>
      </c>
      <c r="N287" s="14">
        <f t="shared" si="35"/>
        <v>0.1539831789350099</v>
      </c>
      <c r="O287" s="20">
        <f t="shared" si="36"/>
        <v>2.5005341019527605</v>
      </c>
      <c r="P287" s="14">
        <f t="shared" si="37"/>
        <v>484.15119171096086</v>
      </c>
      <c r="Q287" s="14">
        <f t="shared" si="38"/>
        <v>226.37990000000002</v>
      </c>
      <c r="R287" s="14" t="str">
        <f t="shared" si="39"/>
        <v>Mar</v>
      </c>
    </row>
    <row r="288" spans="1:18" x14ac:dyDescent="0.3">
      <c r="A288" t="s">
        <v>1897</v>
      </c>
      <c r="B288" s="1">
        <v>45308</v>
      </c>
      <c r="C288" t="s">
        <v>1287</v>
      </c>
      <c r="D288" t="s">
        <v>1429</v>
      </c>
      <c r="E288" t="s">
        <v>1598</v>
      </c>
      <c r="F288">
        <v>3</v>
      </c>
      <c r="G288" s="14">
        <v>807.95</v>
      </c>
      <c r="H288" s="17">
        <v>0.1</v>
      </c>
      <c r="I288" t="s">
        <v>1611</v>
      </c>
      <c r="J288" s="14">
        <v>2181.4650000000011</v>
      </c>
      <c r="K288" s="14">
        <f t="shared" si="32"/>
        <v>573760.31313188456</v>
      </c>
      <c r="L288" s="14">
        <f t="shared" si="33"/>
        <v>569</v>
      </c>
      <c r="M288" s="14" t="str">
        <f t="shared" si="34"/>
        <v>17-01-2024</v>
      </c>
      <c r="N288" s="14">
        <f t="shared" si="35"/>
        <v>0.15395045882924766</v>
      </c>
      <c r="O288" s="20">
        <f t="shared" si="36"/>
        <v>2.5008264700029668</v>
      </c>
      <c r="P288" s="14">
        <f t="shared" si="37"/>
        <v>484.22948095845567</v>
      </c>
      <c r="Q288" s="14">
        <f t="shared" si="38"/>
        <v>748.12875000000031</v>
      </c>
      <c r="R288" s="14" t="str">
        <f t="shared" si="39"/>
        <v>Jan</v>
      </c>
    </row>
    <row r="289" spans="1:18" x14ac:dyDescent="0.3">
      <c r="A289" t="s">
        <v>1898</v>
      </c>
      <c r="B289" s="1">
        <v>45889</v>
      </c>
      <c r="C289" t="s">
        <v>1053</v>
      </c>
      <c r="D289" t="s">
        <v>1409</v>
      </c>
      <c r="E289" t="s">
        <v>1561</v>
      </c>
      <c r="F289">
        <v>4</v>
      </c>
      <c r="G289" s="14">
        <v>766.03</v>
      </c>
      <c r="H289" s="17">
        <v>0.28999999999999998</v>
      </c>
      <c r="I289" t="s">
        <v>1611</v>
      </c>
      <c r="J289" s="14">
        <v>2175.5252</v>
      </c>
      <c r="K289" s="14">
        <f t="shared" si="32"/>
        <v>573760.31313188456</v>
      </c>
      <c r="L289" s="14">
        <f t="shared" si="33"/>
        <v>569</v>
      </c>
      <c r="M289" s="14" t="str">
        <f t="shared" si="34"/>
        <v>20-08-2025</v>
      </c>
      <c r="N289" s="14">
        <f t="shared" si="35"/>
        <v>0.15398199036567622</v>
      </c>
      <c r="O289" s="20">
        <f t="shared" si="36"/>
        <v>2.5005347262683095</v>
      </c>
      <c r="P289" s="14">
        <f t="shared" si="37"/>
        <v>484.04028135644427</v>
      </c>
      <c r="Q289" s="14">
        <f t="shared" si="38"/>
        <v>736.46129999999994</v>
      </c>
      <c r="R289" s="14" t="str">
        <f t="shared" si="39"/>
        <v>Aug</v>
      </c>
    </row>
    <row r="290" spans="1:18" x14ac:dyDescent="0.3">
      <c r="A290" t="s">
        <v>1899</v>
      </c>
      <c r="B290" s="1">
        <v>45386</v>
      </c>
      <c r="C290" t="s">
        <v>601</v>
      </c>
      <c r="D290" t="s">
        <v>1447</v>
      </c>
      <c r="E290" t="s">
        <v>1567</v>
      </c>
      <c r="F290">
        <v>3</v>
      </c>
      <c r="G290" s="14">
        <v>545.1</v>
      </c>
      <c r="H290" s="17">
        <v>0.08</v>
      </c>
      <c r="I290" t="s">
        <v>1614</v>
      </c>
      <c r="J290" s="14">
        <v>1504.4760000000001</v>
      </c>
      <c r="K290" s="14">
        <f t="shared" si="32"/>
        <v>573760.31313188456</v>
      </c>
      <c r="L290" s="14">
        <f t="shared" si="33"/>
        <v>569</v>
      </c>
      <c r="M290" s="14" t="str">
        <f t="shared" si="34"/>
        <v>04-04-2024</v>
      </c>
      <c r="N290" s="14">
        <f t="shared" si="35"/>
        <v>0.15390244766998362</v>
      </c>
      <c r="O290" s="20">
        <f t="shared" si="36"/>
        <v>2.4996578459912735</v>
      </c>
      <c r="P290" s="14">
        <f t="shared" si="37"/>
        <v>483.87537508823169</v>
      </c>
      <c r="Q290" s="14">
        <f t="shared" si="38"/>
        <v>513.16399999999999</v>
      </c>
      <c r="R290" s="14" t="str">
        <f t="shared" si="39"/>
        <v>Apr</v>
      </c>
    </row>
    <row r="291" spans="1:18" x14ac:dyDescent="0.3">
      <c r="A291" t="s">
        <v>1900</v>
      </c>
      <c r="B291" s="1">
        <v>45438</v>
      </c>
      <c r="C291" t="s">
        <v>839</v>
      </c>
      <c r="D291" t="s">
        <v>1463</v>
      </c>
      <c r="E291" t="s">
        <v>1564</v>
      </c>
      <c r="F291">
        <v>1</v>
      </c>
      <c r="G291" s="14">
        <v>203.61</v>
      </c>
      <c r="H291" s="17">
        <v>0.24</v>
      </c>
      <c r="I291" t="s">
        <v>1614</v>
      </c>
      <c r="J291" s="14">
        <v>154.74359999999999</v>
      </c>
      <c r="K291" s="14">
        <f t="shared" si="32"/>
        <v>573760.31313188456</v>
      </c>
      <c r="L291" s="14">
        <f t="shared" si="33"/>
        <v>569</v>
      </c>
      <c r="M291" s="14" t="str">
        <f t="shared" si="34"/>
        <v>26-05-2024</v>
      </c>
      <c r="N291" s="14">
        <f t="shared" si="35"/>
        <v>0.15394569076399767</v>
      </c>
      <c r="O291" s="20">
        <f t="shared" si="36"/>
        <v>2.4993650770304727</v>
      </c>
      <c r="P291" s="14">
        <f t="shared" si="37"/>
        <v>483.83955026382461</v>
      </c>
      <c r="Q291" s="14">
        <f t="shared" si="38"/>
        <v>89.898400000000009</v>
      </c>
      <c r="R291" s="14" t="str">
        <f t="shared" si="39"/>
        <v>May</v>
      </c>
    </row>
    <row r="292" spans="1:18" x14ac:dyDescent="0.3">
      <c r="A292" t="s">
        <v>1901</v>
      </c>
      <c r="B292" s="1">
        <v>45856</v>
      </c>
      <c r="C292" t="s">
        <v>1238</v>
      </c>
      <c r="D292" t="s">
        <v>1527</v>
      </c>
      <c r="E292" t="s">
        <v>1586</v>
      </c>
      <c r="F292">
        <v>4</v>
      </c>
      <c r="G292" s="14">
        <v>493.8</v>
      </c>
      <c r="H292" s="17">
        <v>0.24</v>
      </c>
      <c r="I292" t="s">
        <v>1614</v>
      </c>
      <c r="J292" s="14">
        <v>1501.152</v>
      </c>
      <c r="K292" s="14">
        <f t="shared" si="32"/>
        <v>573760.31313188456</v>
      </c>
      <c r="L292" s="14">
        <f t="shared" si="33"/>
        <v>569</v>
      </c>
      <c r="M292" s="14" t="str">
        <f t="shared" si="34"/>
        <v>18-07-2025</v>
      </c>
      <c r="N292" s="14">
        <f t="shared" si="35"/>
        <v>0.15389530767896487</v>
      </c>
      <c r="O292" s="20">
        <f t="shared" si="36"/>
        <v>2.5002429254362282</v>
      </c>
      <c r="P292" s="14">
        <f t="shared" si="37"/>
        <v>484.00361908716411</v>
      </c>
      <c r="Q292" s="14">
        <f t="shared" si="38"/>
        <v>499.798</v>
      </c>
      <c r="R292" s="14" t="str">
        <f t="shared" si="39"/>
        <v>Jul</v>
      </c>
    </row>
    <row r="293" spans="1:18" x14ac:dyDescent="0.3">
      <c r="A293" t="s">
        <v>1902</v>
      </c>
      <c r="B293" s="1">
        <v>45485</v>
      </c>
      <c r="C293" t="s">
        <v>78</v>
      </c>
      <c r="D293" t="s">
        <v>1415</v>
      </c>
      <c r="E293" t="s">
        <v>1592</v>
      </c>
      <c r="F293">
        <v>1</v>
      </c>
      <c r="G293" s="14">
        <v>640.54999999999995</v>
      </c>
      <c r="H293" s="17">
        <v>0.25</v>
      </c>
      <c r="I293" t="s">
        <v>1609</v>
      </c>
      <c r="J293" s="14">
        <v>480.41250000000002</v>
      </c>
      <c r="K293" s="14">
        <f t="shared" si="32"/>
        <v>573760.31313188456</v>
      </c>
      <c r="L293" s="14">
        <f t="shared" si="33"/>
        <v>569</v>
      </c>
      <c r="M293" s="14" t="str">
        <f t="shared" si="34"/>
        <v>12-07-2024</v>
      </c>
      <c r="N293" s="14">
        <f t="shared" si="35"/>
        <v>0.15384486556278384</v>
      </c>
      <c r="O293" s="20">
        <f t="shared" si="36"/>
        <v>2.4993643331254116</v>
      </c>
      <c r="P293" s="14">
        <f t="shared" si="37"/>
        <v>483.99788014111084</v>
      </c>
      <c r="Q293" s="14">
        <f t="shared" si="38"/>
        <v>280.55312500000002</v>
      </c>
      <c r="R293" s="14" t="str">
        <f t="shared" si="39"/>
        <v>Jul</v>
      </c>
    </row>
    <row r="294" spans="1:18" x14ac:dyDescent="0.3">
      <c r="A294" t="s">
        <v>1903</v>
      </c>
      <c r="B294" s="1">
        <v>45545</v>
      </c>
      <c r="C294" t="s">
        <v>414</v>
      </c>
      <c r="D294" t="s">
        <v>1481</v>
      </c>
      <c r="E294" t="s">
        <v>1554</v>
      </c>
      <c r="F294">
        <v>1</v>
      </c>
      <c r="G294" s="14">
        <v>702.53</v>
      </c>
      <c r="H294" s="17">
        <v>0.3</v>
      </c>
      <c r="I294" t="s">
        <v>1609</v>
      </c>
      <c r="J294" s="14">
        <v>491.77100000000002</v>
      </c>
      <c r="K294" s="14">
        <f t="shared" si="32"/>
        <v>573279.90063188458</v>
      </c>
      <c r="L294" s="14">
        <f t="shared" si="33"/>
        <v>568</v>
      </c>
      <c r="M294" s="14" t="str">
        <f t="shared" si="34"/>
        <v>10-09-2024</v>
      </c>
      <c r="N294" s="14">
        <f t="shared" si="35"/>
        <v>0.15378850264693555</v>
      </c>
      <c r="O294" s="20">
        <f t="shared" si="36"/>
        <v>2.5002432102257197</v>
      </c>
      <c r="P294" s="14">
        <f t="shared" si="37"/>
        <v>483.90611453744214</v>
      </c>
      <c r="Q294" s="14">
        <f t="shared" si="38"/>
        <v>298.90024999999997</v>
      </c>
      <c r="R294" s="14" t="str">
        <f t="shared" si="39"/>
        <v>Sep</v>
      </c>
    </row>
    <row r="295" spans="1:18" x14ac:dyDescent="0.3">
      <c r="A295" t="s">
        <v>1904</v>
      </c>
      <c r="B295" s="1">
        <v>45826</v>
      </c>
      <c r="C295" t="s">
        <v>724</v>
      </c>
      <c r="D295" t="s">
        <v>1411</v>
      </c>
      <c r="E295" t="s">
        <v>1567</v>
      </c>
      <c r="F295">
        <v>4</v>
      </c>
      <c r="G295" s="14">
        <v>139.94</v>
      </c>
      <c r="H295" s="17">
        <v>0.24</v>
      </c>
      <c r="I295" t="s">
        <v>1609</v>
      </c>
      <c r="J295" s="14">
        <v>425.41759999999999</v>
      </c>
      <c r="K295" s="14">
        <f t="shared" si="32"/>
        <v>572788.12963188451</v>
      </c>
      <c r="L295" s="14">
        <f t="shared" si="33"/>
        <v>567</v>
      </c>
      <c r="M295" s="14" t="str">
        <f t="shared" si="34"/>
        <v>18-06-2025</v>
      </c>
      <c r="N295" s="14">
        <f t="shared" si="35"/>
        <v>0.15370274810303347</v>
      </c>
      <c r="O295" s="20">
        <f t="shared" si="36"/>
        <v>2.5011231182669085</v>
      </c>
      <c r="P295" s="14">
        <f t="shared" si="37"/>
        <v>483.77788938467813</v>
      </c>
      <c r="Q295" s="14">
        <f t="shared" si="38"/>
        <v>142.39940000000001</v>
      </c>
      <c r="R295" s="14" t="str">
        <f t="shared" si="39"/>
        <v>Jun</v>
      </c>
    </row>
    <row r="296" spans="1:18" x14ac:dyDescent="0.3">
      <c r="A296" t="s">
        <v>1905</v>
      </c>
      <c r="B296" s="1">
        <v>45654</v>
      </c>
      <c r="C296" t="s">
        <v>881</v>
      </c>
      <c r="D296" t="s">
        <v>1371</v>
      </c>
      <c r="E296" t="s">
        <v>1567</v>
      </c>
      <c r="F296">
        <v>2</v>
      </c>
      <c r="G296" s="14">
        <v>230.85</v>
      </c>
      <c r="H296" s="17">
        <v>0.18</v>
      </c>
      <c r="I296" t="s">
        <v>1609</v>
      </c>
      <c r="J296" s="14">
        <v>378.59399999999999</v>
      </c>
      <c r="K296" s="14">
        <f t="shared" si="32"/>
        <v>572362.71203188447</v>
      </c>
      <c r="L296" s="14">
        <f t="shared" si="33"/>
        <v>566</v>
      </c>
      <c r="M296" s="14" t="str">
        <f t="shared" si="34"/>
        <v>28-12-2024</v>
      </c>
      <c r="N296" s="14">
        <f t="shared" si="35"/>
        <v>0.15365210417586384</v>
      </c>
      <c r="O296" s="20">
        <f t="shared" si="36"/>
        <v>2.5002434956837312</v>
      </c>
      <c r="P296" s="14">
        <f t="shared" si="37"/>
        <v>483.97967218361276</v>
      </c>
      <c r="Q296" s="14">
        <f t="shared" si="38"/>
        <v>152.90600000000001</v>
      </c>
      <c r="R296" s="14" t="str">
        <f t="shared" si="39"/>
        <v>Dec</v>
      </c>
    </row>
    <row r="297" spans="1:18" x14ac:dyDescent="0.3">
      <c r="A297" t="s">
        <v>1906</v>
      </c>
      <c r="B297" s="1">
        <v>45556</v>
      </c>
      <c r="C297" t="s">
        <v>687</v>
      </c>
      <c r="D297" t="s">
        <v>1503</v>
      </c>
      <c r="E297" t="s">
        <v>1592</v>
      </c>
      <c r="F297">
        <v>4</v>
      </c>
      <c r="G297" s="14">
        <v>626.35</v>
      </c>
      <c r="H297" s="17">
        <v>0.25</v>
      </c>
      <c r="I297" t="s">
        <v>1614</v>
      </c>
      <c r="J297" s="14">
        <v>1879.05</v>
      </c>
      <c r="K297" s="14">
        <f t="shared" si="32"/>
        <v>571984.11803188454</v>
      </c>
      <c r="L297" s="14">
        <f t="shared" si="33"/>
        <v>565</v>
      </c>
      <c r="M297" s="14" t="str">
        <f t="shared" si="34"/>
        <v>21-09-2024</v>
      </c>
      <c r="N297" s="14">
        <f t="shared" si="35"/>
        <v>0.15363663271619024</v>
      </c>
      <c r="O297" s="20">
        <f t="shared" si="36"/>
        <v>2.5005372381944087</v>
      </c>
      <c r="P297" s="14">
        <f t="shared" si="37"/>
        <v>484.12830968929893</v>
      </c>
      <c r="Q297" s="14">
        <f t="shared" si="38"/>
        <v>627.41250000000002</v>
      </c>
      <c r="R297" s="14" t="str">
        <f t="shared" si="39"/>
        <v>Sep</v>
      </c>
    </row>
    <row r="298" spans="1:18" x14ac:dyDescent="0.3">
      <c r="A298" t="s">
        <v>1907</v>
      </c>
      <c r="B298" s="1">
        <v>45434</v>
      </c>
      <c r="C298" t="s">
        <v>298</v>
      </c>
      <c r="D298" t="s">
        <v>1415</v>
      </c>
      <c r="E298" t="s">
        <v>1584</v>
      </c>
      <c r="F298">
        <v>4</v>
      </c>
      <c r="G298" s="14">
        <v>108.55</v>
      </c>
      <c r="H298" s="17">
        <v>0.18</v>
      </c>
      <c r="I298" t="s">
        <v>1611</v>
      </c>
      <c r="J298" s="14">
        <v>356.04399999999998</v>
      </c>
      <c r="K298" s="14">
        <f t="shared" si="32"/>
        <v>571984.11803188454</v>
      </c>
      <c r="L298" s="14">
        <f t="shared" si="33"/>
        <v>565</v>
      </c>
      <c r="M298" s="14" t="str">
        <f t="shared" si="34"/>
        <v>22-05-2024</v>
      </c>
      <c r="N298" s="14">
        <f t="shared" si="35"/>
        <v>0.15358001499158169</v>
      </c>
      <c r="O298" s="20">
        <f t="shared" si="36"/>
        <v>2.499656237746815</v>
      </c>
      <c r="P298" s="14">
        <f t="shared" si="37"/>
        <v>484.04474817912825</v>
      </c>
      <c r="Q298" s="14">
        <f t="shared" si="38"/>
        <v>117.1935</v>
      </c>
      <c r="R298" s="14" t="str">
        <f t="shared" si="39"/>
        <v>May</v>
      </c>
    </row>
    <row r="299" spans="1:18" x14ac:dyDescent="0.3">
      <c r="A299" t="s">
        <v>1908</v>
      </c>
      <c r="B299" s="1">
        <v>45871</v>
      </c>
      <c r="C299" t="s">
        <v>628</v>
      </c>
      <c r="D299" t="s">
        <v>1367</v>
      </c>
      <c r="E299" t="s">
        <v>1542</v>
      </c>
      <c r="F299">
        <v>4</v>
      </c>
      <c r="G299" s="14">
        <v>353.67</v>
      </c>
      <c r="H299" s="17">
        <v>0.03</v>
      </c>
      <c r="I299" t="s">
        <v>1614</v>
      </c>
      <c r="J299" s="14">
        <v>1372.2396000000001</v>
      </c>
      <c r="K299" s="14">
        <f t="shared" si="32"/>
        <v>571984.11803188454</v>
      </c>
      <c r="L299" s="14">
        <f t="shared" si="33"/>
        <v>565</v>
      </c>
      <c r="M299" s="14" t="str">
        <f t="shared" si="34"/>
        <v>02-08-2025</v>
      </c>
      <c r="N299" s="14">
        <f t="shared" si="35"/>
        <v>0.15356448296041864</v>
      </c>
      <c r="O299" s="20">
        <f t="shared" si="36"/>
        <v>2.4987742014374357</v>
      </c>
      <c r="P299" s="14">
        <f t="shared" si="37"/>
        <v>484.26549759016831</v>
      </c>
      <c r="Q299" s="14">
        <f t="shared" si="38"/>
        <v>432.48490000000004</v>
      </c>
      <c r="R299" s="14" t="str">
        <f t="shared" si="39"/>
        <v>Aug</v>
      </c>
    </row>
    <row r="300" spans="1:18" x14ac:dyDescent="0.3">
      <c r="A300" t="s">
        <v>1909</v>
      </c>
      <c r="B300" s="1">
        <v>45583</v>
      </c>
      <c r="C300" t="s">
        <v>241</v>
      </c>
      <c r="D300" t="s">
        <v>1513</v>
      </c>
      <c r="E300" t="s">
        <v>1542</v>
      </c>
      <c r="F300">
        <v>4</v>
      </c>
      <c r="G300" s="14">
        <v>61.98</v>
      </c>
      <c r="H300" s="17">
        <v>0.16</v>
      </c>
      <c r="I300" t="s">
        <v>1609</v>
      </c>
      <c r="J300" s="14">
        <v>208.25280000000001</v>
      </c>
      <c r="K300" s="14">
        <f t="shared" si="32"/>
        <v>571984.11803188454</v>
      </c>
      <c r="L300" s="14">
        <f t="shared" si="33"/>
        <v>565</v>
      </c>
      <c r="M300" s="14" t="str">
        <f t="shared" si="34"/>
        <v>18-10-2024</v>
      </c>
      <c r="N300" s="14">
        <f t="shared" si="35"/>
        <v>0.15363716795039534</v>
      </c>
      <c r="O300" s="20">
        <f t="shared" si="36"/>
        <v>2.4978911274382818</v>
      </c>
      <c r="P300" s="14">
        <f t="shared" si="37"/>
        <v>484.34231847110368</v>
      </c>
      <c r="Q300" s="14">
        <f t="shared" si="38"/>
        <v>68.598199999999991</v>
      </c>
      <c r="R300" s="14" t="str">
        <f t="shared" si="39"/>
        <v>Oct</v>
      </c>
    </row>
    <row r="301" spans="1:18" x14ac:dyDescent="0.3">
      <c r="A301" t="s">
        <v>1910</v>
      </c>
      <c r="B301" s="1">
        <v>45348</v>
      </c>
      <c r="C301" t="s">
        <v>702</v>
      </c>
      <c r="D301" t="s">
        <v>1377</v>
      </c>
      <c r="E301" t="s">
        <v>1598</v>
      </c>
      <c r="F301">
        <v>2</v>
      </c>
      <c r="G301" s="14">
        <v>873.1</v>
      </c>
      <c r="H301" s="17">
        <v>0.12</v>
      </c>
      <c r="I301" t="s">
        <v>1611</v>
      </c>
      <c r="J301" s="14">
        <v>1536.6559999999999</v>
      </c>
      <c r="K301" s="14">
        <f t="shared" si="32"/>
        <v>571775.86523188453</v>
      </c>
      <c r="L301" s="14">
        <f t="shared" si="33"/>
        <v>564</v>
      </c>
      <c r="M301" s="14" t="str">
        <f t="shared" si="34"/>
        <v>26-02-2024</v>
      </c>
      <c r="N301" s="14">
        <f t="shared" si="35"/>
        <v>0.15363342290504536</v>
      </c>
      <c r="O301" s="20">
        <f t="shared" si="36"/>
        <v>2.4970070139170564</v>
      </c>
      <c r="P301" s="14">
        <f t="shared" si="37"/>
        <v>484.59091312588362</v>
      </c>
      <c r="Q301" s="14">
        <f t="shared" si="38"/>
        <v>602.96900000000005</v>
      </c>
      <c r="R301" s="14" t="str">
        <f t="shared" si="39"/>
        <v>Feb</v>
      </c>
    </row>
    <row r="302" spans="1:18" x14ac:dyDescent="0.3">
      <c r="A302" t="s">
        <v>1911</v>
      </c>
      <c r="B302" s="1">
        <v>45268</v>
      </c>
      <c r="C302" t="s">
        <v>648</v>
      </c>
      <c r="D302" t="s">
        <v>1357</v>
      </c>
      <c r="E302" t="s">
        <v>1586</v>
      </c>
      <c r="F302">
        <v>4</v>
      </c>
      <c r="G302" s="14">
        <v>889.47</v>
      </c>
      <c r="H302" s="17">
        <v>0.24</v>
      </c>
      <c r="I302" t="s">
        <v>1609</v>
      </c>
      <c r="J302" s="14">
        <v>2703.9888000000001</v>
      </c>
      <c r="K302" s="14">
        <f t="shared" si="32"/>
        <v>571775.86523188453</v>
      </c>
      <c r="L302" s="14">
        <f t="shared" si="33"/>
        <v>564</v>
      </c>
      <c r="M302" s="14" t="str">
        <f t="shared" si="34"/>
        <v>08-12-2023</v>
      </c>
      <c r="N302" s="14">
        <f t="shared" si="35"/>
        <v>0.15365323057460073</v>
      </c>
      <c r="O302" s="20">
        <f t="shared" si="36"/>
        <v>2.4972997153386798</v>
      </c>
      <c r="P302" s="14">
        <f t="shared" si="37"/>
        <v>484.36210918779523</v>
      </c>
      <c r="Q302" s="14">
        <f t="shared" si="38"/>
        <v>899.42470000000003</v>
      </c>
      <c r="R302" s="14" t="str">
        <f t="shared" si="39"/>
        <v>Dec</v>
      </c>
    </row>
    <row r="303" spans="1:18" x14ac:dyDescent="0.3">
      <c r="A303" t="s">
        <v>1912</v>
      </c>
      <c r="B303" s="1">
        <v>45596</v>
      </c>
      <c r="C303" t="s">
        <v>118</v>
      </c>
      <c r="D303" t="s">
        <v>1481</v>
      </c>
      <c r="E303" t="s">
        <v>1577</v>
      </c>
      <c r="F303">
        <v>3</v>
      </c>
      <c r="G303" s="14">
        <v>803.76</v>
      </c>
      <c r="H303" s="17">
        <v>0.19</v>
      </c>
      <c r="I303" t="s">
        <v>1614</v>
      </c>
      <c r="J303" s="14">
        <v>1953.1368</v>
      </c>
      <c r="K303" s="14">
        <f t="shared" si="32"/>
        <v>569071.87643188471</v>
      </c>
      <c r="L303" s="14">
        <f t="shared" si="33"/>
        <v>563</v>
      </c>
      <c r="M303" s="14" t="str">
        <f t="shared" si="34"/>
        <v>31-10-2024</v>
      </c>
      <c r="N303" s="14">
        <f t="shared" si="35"/>
        <v>0.15360234856551092</v>
      </c>
      <c r="O303" s="20">
        <f t="shared" si="36"/>
        <v>2.4964142113406469</v>
      </c>
      <c r="P303" s="14">
        <f t="shared" si="37"/>
        <v>484.1233891578529</v>
      </c>
      <c r="Q303" s="14">
        <f t="shared" si="38"/>
        <v>690.02170000000001</v>
      </c>
      <c r="R303" s="14" t="str">
        <f t="shared" si="39"/>
        <v>Oct</v>
      </c>
    </row>
    <row r="304" spans="1:18" x14ac:dyDescent="0.3">
      <c r="A304" t="s">
        <v>1913</v>
      </c>
      <c r="B304" s="1">
        <v>45624</v>
      </c>
      <c r="C304" t="s">
        <v>1289</v>
      </c>
      <c r="D304" t="s">
        <v>1483</v>
      </c>
      <c r="E304" t="s">
        <v>1558</v>
      </c>
      <c r="F304">
        <v>2</v>
      </c>
      <c r="G304" s="14">
        <v>865.14</v>
      </c>
      <c r="H304" s="17">
        <v>0.2</v>
      </c>
      <c r="I304" t="s">
        <v>1611</v>
      </c>
      <c r="J304" s="14">
        <v>1384.2239999999999</v>
      </c>
      <c r="K304" s="14">
        <f t="shared" si="32"/>
        <v>569071.87643188471</v>
      </c>
      <c r="L304" s="14">
        <f t="shared" si="33"/>
        <v>563</v>
      </c>
      <c r="M304" s="14" t="str">
        <f t="shared" si="34"/>
        <v>28-11-2024</v>
      </c>
      <c r="N304" s="14">
        <f t="shared" si="35"/>
        <v>0.1535808876861274</v>
      </c>
      <c r="O304" s="20">
        <f t="shared" si="36"/>
        <v>2.4961172857577116</v>
      </c>
      <c r="P304" s="14">
        <f t="shared" si="37"/>
        <v>483.93492417504507</v>
      </c>
      <c r="Q304" s="14">
        <f t="shared" si="38"/>
        <v>562.89099999999996</v>
      </c>
      <c r="R304" s="14" t="str">
        <f t="shared" si="39"/>
        <v>Nov</v>
      </c>
    </row>
    <row r="305" spans="1:18" x14ac:dyDescent="0.3">
      <c r="A305" t="s">
        <v>1914</v>
      </c>
      <c r="B305" s="1">
        <v>45813</v>
      </c>
      <c r="C305" t="s">
        <v>347</v>
      </c>
      <c r="D305" t="s">
        <v>1395</v>
      </c>
      <c r="E305" t="s">
        <v>1571</v>
      </c>
      <c r="F305">
        <v>2</v>
      </c>
      <c r="G305" s="14">
        <v>916.49</v>
      </c>
      <c r="H305" s="17">
        <v>0.3</v>
      </c>
      <c r="I305" t="s">
        <v>1614</v>
      </c>
      <c r="J305" s="14">
        <v>1283.086</v>
      </c>
      <c r="K305" s="14">
        <f t="shared" si="32"/>
        <v>569071.87643188471</v>
      </c>
      <c r="L305" s="14">
        <f t="shared" si="33"/>
        <v>563</v>
      </c>
      <c r="M305" s="14" t="str">
        <f t="shared" si="34"/>
        <v>05-06-2025</v>
      </c>
      <c r="N305" s="14">
        <f t="shared" si="35"/>
        <v>0.15355350177915758</v>
      </c>
      <c r="O305" s="20">
        <f t="shared" si="36"/>
        <v>2.4964099803215802</v>
      </c>
      <c r="P305" s="14">
        <f t="shared" si="37"/>
        <v>483.71002442529579</v>
      </c>
      <c r="Q305" s="14">
        <f t="shared" si="38"/>
        <v>550.46900000000005</v>
      </c>
      <c r="R305" s="14" t="str">
        <f t="shared" si="39"/>
        <v>Jun</v>
      </c>
    </row>
    <row r="306" spans="1:18" x14ac:dyDescent="0.3">
      <c r="A306" t="s">
        <v>1915</v>
      </c>
      <c r="B306" s="1">
        <v>45615</v>
      </c>
      <c r="C306" t="s">
        <v>164</v>
      </c>
      <c r="D306" t="s">
        <v>1435</v>
      </c>
      <c r="E306" t="s">
        <v>1579</v>
      </c>
      <c r="F306">
        <v>3</v>
      </c>
      <c r="G306" s="14">
        <v>781.39</v>
      </c>
      <c r="H306" s="17">
        <v>0.12</v>
      </c>
      <c r="I306" t="s">
        <v>1609</v>
      </c>
      <c r="J306" s="14">
        <v>2062.8696</v>
      </c>
      <c r="K306" s="14">
        <f t="shared" si="32"/>
        <v>569071.87643188471</v>
      </c>
      <c r="L306" s="14">
        <f t="shared" si="33"/>
        <v>563</v>
      </c>
      <c r="M306" s="14" t="str">
        <f t="shared" si="34"/>
        <v>19-11-2024</v>
      </c>
      <c r="N306" s="14">
        <f t="shared" si="35"/>
        <v>0.15346705166214408</v>
      </c>
      <c r="O306" s="20">
        <f t="shared" si="36"/>
        <v>2.4967030204516405</v>
      </c>
      <c r="P306" s="14">
        <f t="shared" si="37"/>
        <v>483.45454628150912</v>
      </c>
      <c r="Q306" s="14">
        <f t="shared" si="38"/>
        <v>711.84490000000005</v>
      </c>
      <c r="R306" s="14" t="str">
        <f t="shared" si="39"/>
        <v>Nov</v>
      </c>
    </row>
    <row r="307" spans="1:18" x14ac:dyDescent="0.3">
      <c r="A307" t="s">
        <v>1916</v>
      </c>
      <c r="B307" s="1">
        <v>45431</v>
      </c>
      <c r="C307" t="s">
        <v>687</v>
      </c>
      <c r="D307" t="s">
        <v>1409</v>
      </c>
      <c r="E307" t="s">
        <v>1579</v>
      </c>
      <c r="F307">
        <v>4</v>
      </c>
      <c r="G307" s="14">
        <v>619.74</v>
      </c>
      <c r="H307" s="17">
        <v>0.13</v>
      </c>
      <c r="I307" t="s">
        <v>1614</v>
      </c>
      <c r="J307" s="14">
        <v>2156.6952000000001</v>
      </c>
      <c r="K307" s="14">
        <f t="shared" si="32"/>
        <v>567009.00683188473</v>
      </c>
      <c r="L307" s="14">
        <f t="shared" si="33"/>
        <v>562</v>
      </c>
      <c r="M307" s="14" t="str">
        <f t="shared" si="34"/>
        <v>19-05-2024</v>
      </c>
      <c r="N307" s="14">
        <f t="shared" si="35"/>
        <v>0.15348681956034971</v>
      </c>
      <c r="O307" s="20">
        <f t="shared" si="36"/>
        <v>2.4964057393060122</v>
      </c>
      <c r="P307" s="14">
        <f t="shared" si="37"/>
        <v>483.27856550553832</v>
      </c>
      <c r="Q307" s="14">
        <f t="shared" si="38"/>
        <v>695.1413</v>
      </c>
      <c r="R307" s="14" t="str">
        <f t="shared" si="39"/>
        <v>May</v>
      </c>
    </row>
    <row r="308" spans="1:18" x14ac:dyDescent="0.3">
      <c r="A308" t="s">
        <v>1917</v>
      </c>
      <c r="B308" s="1">
        <v>45679</v>
      </c>
      <c r="C308" t="s">
        <v>1302</v>
      </c>
      <c r="D308" t="s">
        <v>1457</v>
      </c>
      <c r="E308" t="s">
        <v>1584</v>
      </c>
      <c r="F308">
        <v>2</v>
      </c>
      <c r="G308" s="14">
        <v>837.76</v>
      </c>
      <c r="H308" s="17">
        <v>0.03</v>
      </c>
      <c r="I308" t="s">
        <v>1614</v>
      </c>
      <c r="J308" s="14">
        <v>1625.2544</v>
      </c>
      <c r="K308" s="14">
        <f t="shared" si="32"/>
        <v>567009.00683188473</v>
      </c>
      <c r="L308" s="14">
        <f t="shared" si="33"/>
        <v>562</v>
      </c>
      <c r="M308" s="14" t="str">
        <f t="shared" si="34"/>
        <v>22-01-2025</v>
      </c>
      <c r="N308" s="14">
        <f t="shared" si="35"/>
        <v>0.15350070065938065</v>
      </c>
      <c r="O308" s="20">
        <f t="shared" si="36"/>
        <v>2.4955170902157677</v>
      </c>
      <c r="P308" s="14">
        <f t="shared" si="37"/>
        <v>483.19791453952502</v>
      </c>
      <c r="Q308" s="14">
        <f t="shared" si="38"/>
        <v>616.26109999999994</v>
      </c>
      <c r="R308" s="14" t="str">
        <f t="shared" si="39"/>
        <v>Jan</v>
      </c>
    </row>
    <row r="309" spans="1:18" x14ac:dyDescent="0.3">
      <c r="A309" t="s">
        <v>1918</v>
      </c>
      <c r="B309" s="1">
        <v>45842</v>
      </c>
      <c r="C309" t="s">
        <v>1272</v>
      </c>
      <c r="D309" t="s">
        <v>1513</v>
      </c>
      <c r="E309" t="s">
        <v>1542</v>
      </c>
      <c r="F309">
        <v>3</v>
      </c>
      <c r="G309" s="14">
        <v>135.94</v>
      </c>
      <c r="H309" s="17">
        <v>0.2</v>
      </c>
      <c r="I309" t="s">
        <v>1609</v>
      </c>
      <c r="J309" s="14">
        <v>326.25599999999997</v>
      </c>
      <c r="K309" s="14">
        <f t="shared" si="32"/>
        <v>567009.00683188473</v>
      </c>
      <c r="L309" s="14">
        <f t="shared" si="33"/>
        <v>562</v>
      </c>
      <c r="M309" s="14" t="str">
        <f t="shared" si="34"/>
        <v>04-07-2025</v>
      </c>
      <c r="N309" s="14">
        <f t="shared" si="35"/>
        <v>0.15357373478159198</v>
      </c>
      <c r="O309" s="20">
        <f t="shared" si="36"/>
        <v>2.4958101222028852</v>
      </c>
      <c r="P309" s="14">
        <f t="shared" si="37"/>
        <v>482.98823855758502</v>
      </c>
      <c r="Q309" s="14">
        <f t="shared" si="38"/>
        <v>116.34899999999999</v>
      </c>
      <c r="R309" s="14" t="str">
        <f t="shared" si="39"/>
        <v>Jul</v>
      </c>
    </row>
    <row r="310" spans="1:18" x14ac:dyDescent="0.3">
      <c r="A310" t="s">
        <v>1919</v>
      </c>
      <c r="B310" s="1">
        <v>45796</v>
      </c>
      <c r="C310" t="s">
        <v>1300</v>
      </c>
      <c r="D310" t="s">
        <v>1481</v>
      </c>
      <c r="E310" t="s">
        <v>1542</v>
      </c>
      <c r="F310">
        <v>4</v>
      </c>
      <c r="G310" s="14">
        <v>396.53</v>
      </c>
      <c r="H310" s="17">
        <v>7.0000000000000007E-2</v>
      </c>
      <c r="I310" t="s">
        <v>1611</v>
      </c>
      <c r="J310" s="14">
        <v>1475.0916</v>
      </c>
      <c r="K310" s="14">
        <f t="shared" si="32"/>
        <v>566682.75083188468</v>
      </c>
      <c r="L310" s="14">
        <f t="shared" si="33"/>
        <v>561</v>
      </c>
      <c r="M310" s="14" t="str">
        <f t="shared" si="34"/>
        <v>19-05-2025</v>
      </c>
      <c r="N310" s="14">
        <f t="shared" si="35"/>
        <v>0.15354626361874085</v>
      </c>
      <c r="O310" s="20">
        <f t="shared" si="36"/>
        <v>2.4955117849970874</v>
      </c>
      <c r="P310" s="14">
        <f t="shared" si="37"/>
        <v>483.19359254489729</v>
      </c>
      <c r="Q310" s="14">
        <f t="shared" si="38"/>
        <v>468.92289999999997</v>
      </c>
      <c r="R310" s="14" t="str">
        <f t="shared" si="39"/>
        <v>May</v>
      </c>
    </row>
    <row r="311" spans="1:18" x14ac:dyDescent="0.3">
      <c r="A311" t="s">
        <v>1920</v>
      </c>
      <c r="B311" s="1">
        <v>45264</v>
      </c>
      <c r="C311" t="s">
        <v>713</v>
      </c>
      <c r="D311" t="s">
        <v>1391</v>
      </c>
      <c r="E311" t="s">
        <v>1584</v>
      </c>
      <c r="F311">
        <v>2</v>
      </c>
      <c r="G311" s="14">
        <v>722.45</v>
      </c>
      <c r="H311" s="17">
        <v>0.22</v>
      </c>
      <c r="I311" t="s">
        <v>1611</v>
      </c>
      <c r="J311" s="14">
        <v>1127.0219999999999</v>
      </c>
      <c r="K311" s="14">
        <f t="shared" si="32"/>
        <v>566682.75083188468</v>
      </c>
      <c r="L311" s="14">
        <f t="shared" si="33"/>
        <v>561</v>
      </c>
      <c r="M311" s="14" t="str">
        <f t="shared" si="34"/>
        <v>04-12-2023</v>
      </c>
      <c r="N311" s="14">
        <f t="shared" si="35"/>
        <v>0.15359572854687512</v>
      </c>
      <c r="O311" s="20">
        <f t="shared" si="36"/>
        <v>2.4946210282090462</v>
      </c>
      <c r="P311" s="14">
        <f t="shared" si="37"/>
        <v>483.24490313847036</v>
      </c>
      <c r="Q311" s="14">
        <f t="shared" si="38"/>
        <v>462.923</v>
      </c>
      <c r="R311" s="14" t="str">
        <f t="shared" si="39"/>
        <v>Dec</v>
      </c>
    </row>
    <row r="312" spans="1:18" x14ac:dyDescent="0.3">
      <c r="A312" t="s">
        <v>1921</v>
      </c>
      <c r="B312" s="1">
        <v>45504</v>
      </c>
      <c r="C312" t="s">
        <v>181</v>
      </c>
      <c r="D312" t="s">
        <v>1461</v>
      </c>
      <c r="E312" t="s">
        <v>1546</v>
      </c>
      <c r="F312">
        <v>2</v>
      </c>
      <c r="G312" s="14">
        <v>138.41</v>
      </c>
      <c r="H312" s="17">
        <v>0.02</v>
      </c>
      <c r="I312" t="s">
        <v>1609</v>
      </c>
      <c r="J312" s="14">
        <v>271.28359999999998</v>
      </c>
      <c r="K312" s="14">
        <f t="shared" si="32"/>
        <v>566682.75083188468</v>
      </c>
      <c r="L312" s="14">
        <f t="shared" si="33"/>
        <v>561</v>
      </c>
      <c r="M312" s="14" t="str">
        <f t="shared" si="34"/>
        <v>31-07-2024</v>
      </c>
      <c r="N312" s="14">
        <f t="shared" si="35"/>
        <v>0.1535563895235024</v>
      </c>
      <c r="O312" s="20">
        <f t="shared" si="36"/>
        <v>2.494914050145189</v>
      </c>
      <c r="P312" s="14">
        <f t="shared" si="37"/>
        <v>483.10319395786524</v>
      </c>
      <c r="Q312" s="14">
        <f t="shared" si="38"/>
        <v>102.9284</v>
      </c>
      <c r="R312" s="14" t="str">
        <f t="shared" si="39"/>
        <v>Jul</v>
      </c>
    </row>
    <row r="313" spans="1:18" x14ac:dyDescent="0.3">
      <c r="A313" t="s">
        <v>1922</v>
      </c>
      <c r="B313" s="1">
        <v>45679</v>
      </c>
      <c r="C313" t="s">
        <v>435</v>
      </c>
      <c r="D313" t="s">
        <v>1493</v>
      </c>
      <c r="E313" t="s">
        <v>1546</v>
      </c>
      <c r="F313">
        <v>4</v>
      </c>
      <c r="G313" s="14">
        <v>741.51</v>
      </c>
      <c r="H313" s="17">
        <v>0.09</v>
      </c>
      <c r="I313" t="s">
        <v>1614</v>
      </c>
      <c r="J313" s="14">
        <v>2699.0963999999999</v>
      </c>
      <c r="K313" s="14">
        <f t="shared" si="32"/>
        <v>566411.46723188472</v>
      </c>
      <c r="L313" s="14">
        <f t="shared" si="33"/>
        <v>560</v>
      </c>
      <c r="M313" s="14" t="str">
        <f t="shared" si="34"/>
        <v>22-01-2025</v>
      </c>
      <c r="N313" s="14">
        <f t="shared" si="35"/>
        <v>0.153635557507808</v>
      </c>
      <c r="O313" s="20">
        <f t="shared" si="36"/>
        <v>2.4952074194695193</v>
      </c>
      <c r="P313" s="14">
        <f t="shared" si="37"/>
        <v>483.30751713152131</v>
      </c>
      <c r="Q313" s="14">
        <f t="shared" si="38"/>
        <v>861.17409999999995</v>
      </c>
      <c r="R313" s="14" t="str">
        <f t="shared" si="39"/>
        <v>Jan</v>
      </c>
    </row>
    <row r="314" spans="1:18" x14ac:dyDescent="0.3">
      <c r="A314" t="s">
        <v>1923</v>
      </c>
      <c r="B314" s="1">
        <v>45611</v>
      </c>
      <c r="C314" t="s">
        <v>100</v>
      </c>
      <c r="D314" t="s">
        <v>1493</v>
      </c>
      <c r="E314" t="s">
        <v>1592</v>
      </c>
      <c r="F314">
        <v>2</v>
      </c>
      <c r="G314" s="14">
        <v>588.9</v>
      </c>
      <c r="H314" s="17">
        <v>0.19</v>
      </c>
      <c r="I314" t="s">
        <v>1611</v>
      </c>
      <c r="J314" s="14">
        <v>954.01800000000003</v>
      </c>
      <c r="K314" s="14">
        <f t="shared" si="32"/>
        <v>566411.46723188472</v>
      </c>
      <c r="L314" s="14">
        <f t="shared" si="33"/>
        <v>560</v>
      </c>
      <c r="M314" s="14" t="str">
        <f t="shared" si="34"/>
        <v>15-11-2024</v>
      </c>
      <c r="N314" s="14">
        <f t="shared" si="35"/>
        <v>0.1536733010175991</v>
      </c>
      <c r="O314" s="20">
        <f t="shared" si="36"/>
        <v>2.4943148971797622</v>
      </c>
      <c r="P314" s="14">
        <f t="shared" si="37"/>
        <v>483.15437212388878</v>
      </c>
      <c r="Q314" s="14">
        <f t="shared" si="38"/>
        <v>386.27700000000004</v>
      </c>
      <c r="R314" s="14" t="str">
        <f t="shared" si="39"/>
        <v>Nov</v>
      </c>
    </row>
    <row r="315" spans="1:18" x14ac:dyDescent="0.3">
      <c r="A315" t="s">
        <v>1924</v>
      </c>
      <c r="B315" s="1">
        <v>45389</v>
      </c>
      <c r="C315" t="s">
        <v>960</v>
      </c>
      <c r="D315" t="s">
        <v>1433</v>
      </c>
      <c r="E315" t="s">
        <v>1546</v>
      </c>
      <c r="F315">
        <v>1</v>
      </c>
      <c r="G315" s="14">
        <v>88.92</v>
      </c>
      <c r="H315" s="17">
        <v>0.19</v>
      </c>
      <c r="I315" t="s">
        <v>1611</v>
      </c>
      <c r="J315" s="14">
        <v>72.025200000000012</v>
      </c>
      <c r="K315" s="14">
        <f t="shared" si="32"/>
        <v>566411.46723188472</v>
      </c>
      <c r="L315" s="14">
        <f t="shared" si="33"/>
        <v>560</v>
      </c>
      <c r="M315" s="14" t="str">
        <f t="shared" si="34"/>
        <v>07-04-2024</v>
      </c>
      <c r="N315" s="14">
        <f t="shared" si="35"/>
        <v>0.15365174214579946</v>
      </c>
      <c r="O315" s="20">
        <f t="shared" si="36"/>
        <v>2.4946082591365455</v>
      </c>
      <c r="P315" s="14">
        <f t="shared" si="37"/>
        <v>483.09161507470412</v>
      </c>
      <c r="Q315" s="14">
        <f t="shared" si="38"/>
        <v>40.533799999999999</v>
      </c>
      <c r="R315" s="14" t="str">
        <f t="shared" si="39"/>
        <v>Apr</v>
      </c>
    </row>
    <row r="316" spans="1:18" x14ac:dyDescent="0.3">
      <c r="A316" t="s">
        <v>1925</v>
      </c>
      <c r="B316" s="1">
        <v>45339</v>
      </c>
      <c r="C316" t="s">
        <v>411</v>
      </c>
      <c r="D316" t="s">
        <v>1455</v>
      </c>
      <c r="E316" t="s">
        <v>1589</v>
      </c>
      <c r="F316">
        <v>1</v>
      </c>
      <c r="G316" s="14">
        <v>299.13</v>
      </c>
      <c r="H316" s="17">
        <v>0.1</v>
      </c>
      <c r="I316" t="s">
        <v>1614</v>
      </c>
      <c r="J316" s="14">
        <v>269.21699999999998</v>
      </c>
      <c r="K316" s="14">
        <f t="shared" si="32"/>
        <v>566411.46723188472</v>
      </c>
      <c r="L316" s="14">
        <f t="shared" si="33"/>
        <v>560</v>
      </c>
      <c r="M316" s="14" t="str">
        <f t="shared" si="34"/>
        <v>17-02-2024</v>
      </c>
      <c r="N316" s="14">
        <f t="shared" si="35"/>
        <v>0.153630157669639</v>
      </c>
      <c r="O316" s="20">
        <f t="shared" si="36"/>
        <v>2.495495793732232</v>
      </c>
      <c r="P316" s="14">
        <f t="shared" si="37"/>
        <v>483.32568372973657</v>
      </c>
      <c r="Q316" s="14">
        <f t="shared" si="38"/>
        <v>142.36175</v>
      </c>
      <c r="R316" s="14" t="str">
        <f t="shared" si="39"/>
        <v>Feb</v>
      </c>
    </row>
    <row r="317" spans="1:18" x14ac:dyDescent="0.3">
      <c r="A317" t="s">
        <v>1926</v>
      </c>
      <c r="B317" s="1">
        <v>45433</v>
      </c>
      <c r="C317" t="s">
        <v>405</v>
      </c>
      <c r="D317" t="s">
        <v>1487</v>
      </c>
      <c r="E317" t="s">
        <v>1551</v>
      </c>
      <c r="F317">
        <v>2</v>
      </c>
      <c r="G317" s="14">
        <v>548.29999999999995</v>
      </c>
      <c r="H317" s="17">
        <v>0.23</v>
      </c>
      <c r="I317" t="s">
        <v>1609</v>
      </c>
      <c r="J317" s="14">
        <v>844.38199999999995</v>
      </c>
      <c r="K317" s="14">
        <f t="shared" si="32"/>
        <v>566411.46723188472</v>
      </c>
      <c r="L317" s="14">
        <f t="shared" si="33"/>
        <v>560</v>
      </c>
      <c r="M317" s="14" t="str">
        <f t="shared" si="34"/>
        <v>21-05-2024</v>
      </c>
      <c r="N317" s="14">
        <f t="shared" si="35"/>
        <v>0.15366202347930605</v>
      </c>
      <c r="O317" s="20">
        <f t="shared" si="36"/>
        <v>2.4963843830333206</v>
      </c>
      <c r="P317" s="14">
        <f t="shared" si="37"/>
        <v>483.43512858043755</v>
      </c>
      <c r="Q317" s="14">
        <f t="shared" si="38"/>
        <v>348.72799999999995</v>
      </c>
      <c r="R317" s="14" t="str">
        <f t="shared" si="39"/>
        <v>May</v>
      </c>
    </row>
    <row r="318" spans="1:18" x14ac:dyDescent="0.3">
      <c r="A318" t="s">
        <v>1927</v>
      </c>
      <c r="B318" s="1">
        <v>45435</v>
      </c>
      <c r="C318" t="s">
        <v>836</v>
      </c>
      <c r="D318" t="s">
        <v>1441</v>
      </c>
      <c r="E318" t="s">
        <v>1574</v>
      </c>
      <c r="F318">
        <v>3</v>
      </c>
      <c r="G318" s="14">
        <v>977.55</v>
      </c>
      <c r="H318" s="17">
        <v>0.02</v>
      </c>
      <c r="I318" t="s">
        <v>1611</v>
      </c>
      <c r="J318" s="14">
        <v>2873.9969999999989</v>
      </c>
      <c r="K318" s="14">
        <f t="shared" si="32"/>
        <v>565567.08523188473</v>
      </c>
      <c r="L318" s="14">
        <f t="shared" si="33"/>
        <v>559</v>
      </c>
      <c r="M318" s="14" t="str">
        <f t="shared" si="34"/>
        <v>23-05-2024</v>
      </c>
      <c r="N318" s="14">
        <f t="shared" si="35"/>
        <v>0.15361663823761715</v>
      </c>
      <c r="O318" s="20">
        <f t="shared" si="36"/>
        <v>2.4966794985999279</v>
      </c>
      <c r="P318" s="14">
        <f t="shared" si="37"/>
        <v>483.39656444760789</v>
      </c>
      <c r="Q318" s="14">
        <f t="shared" si="38"/>
        <v>963.64174999999977</v>
      </c>
      <c r="R318" s="14" t="str">
        <f t="shared" si="39"/>
        <v>May</v>
      </c>
    </row>
    <row r="319" spans="1:18" x14ac:dyDescent="0.3">
      <c r="A319" t="s">
        <v>1928</v>
      </c>
      <c r="B319" s="1">
        <v>45823</v>
      </c>
      <c r="C319" t="s">
        <v>1086</v>
      </c>
      <c r="D319" t="s">
        <v>1421</v>
      </c>
      <c r="E319" t="s">
        <v>1595</v>
      </c>
      <c r="F319">
        <v>1</v>
      </c>
      <c r="G319" s="14">
        <v>459.42</v>
      </c>
      <c r="H319" s="17">
        <v>0.28000000000000003</v>
      </c>
      <c r="I319" t="s">
        <v>1614</v>
      </c>
      <c r="J319" s="14">
        <v>330.7824</v>
      </c>
      <c r="K319" s="14">
        <f t="shared" si="32"/>
        <v>565567.08523188473</v>
      </c>
      <c r="L319" s="14">
        <f t="shared" si="33"/>
        <v>559</v>
      </c>
      <c r="M319" s="14" t="str">
        <f t="shared" si="34"/>
        <v>15-06-2025</v>
      </c>
      <c r="N319" s="14">
        <f t="shared" si="35"/>
        <v>0.15369612463752055</v>
      </c>
      <c r="O319" s="20">
        <f t="shared" si="36"/>
        <v>2.4963800812879704</v>
      </c>
      <c r="P319" s="14">
        <f t="shared" si="37"/>
        <v>483.10260047642856</v>
      </c>
      <c r="Q319" s="14">
        <f t="shared" si="38"/>
        <v>197.8706</v>
      </c>
      <c r="R319" s="14" t="str">
        <f t="shared" si="39"/>
        <v>Jun</v>
      </c>
    </row>
    <row r="320" spans="1:18" x14ac:dyDescent="0.3">
      <c r="A320" t="s">
        <v>1929</v>
      </c>
      <c r="B320" s="1">
        <v>45663</v>
      </c>
      <c r="C320" t="s">
        <v>318</v>
      </c>
      <c r="D320" t="s">
        <v>1334</v>
      </c>
      <c r="E320" t="s">
        <v>1554</v>
      </c>
      <c r="F320">
        <v>2</v>
      </c>
      <c r="G320" s="14">
        <v>123.19</v>
      </c>
      <c r="H320" s="17">
        <v>0.19</v>
      </c>
      <c r="I320" t="s">
        <v>1609</v>
      </c>
      <c r="J320" s="14">
        <v>199.56780000000001</v>
      </c>
      <c r="K320" s="14">
        <f t="shared" si="32"/>
        <v>565567.08523188473</v>
      </c>
      <c r="L320" s="14">
        <f t="shared" si="33"/>
        <v>559</v>
      </c>
      <c r="M320" s="14" t="str">
        <f t="shared" si="34"/>
        <v>06-01-2025</v>
      </c>
      <c r="N320" s="14">
        <f t="shared" si="35"/>
        <v>0.15362094375932858</v>
      </c>
      <c r="O320" s="20">
        <f t="shared" si="36"/>
        <v>2.4972707837173083</v>
      </c>
      <c r="P320" s="14">
        <f t="shared" si="37"/>
        <v>483.11669726242638</v>
      </c>
      <c r="Q320" s="14">
        <f t="shared" si="38"/>
        <v>81.236950000000007</v>
      </c>
      <c r="R320" s="14" t="str">
        <f t="shared" si="39"/>
        <v>Jan</v>
      </c>
    </row>
    <row r="321" spans="1:18" x14ac:dyDescent="0.3">
      <c r="A321" t="s">
        <v>1930</v>
      </c>
      <c r="B321" s="1">
        <v>45879</v>
      </c>
      <c r="C321" t="s">
        <v>1121</v>
      </c>
      <c r="D321" t="s">
        <v>1443</v>
      </c>
      <c r="E321" t="s">
        <v>1598</v>
      </c>
      <c r="F321">
        <v>1</v>
      </c>
      <c r="G321" s="14">
        <v>222.95</v>
      </c>
      <c r="H321" s="17">
        <v>0.02</v>
      </c>
      <c r="I321" t="s">
        <v>1611</v>
      </c>
      <c r="J321" s="14">
        <v>218.49100000000001</v>
      </c>
      <c r="K321" s="14">
        <f t="shared" si="32"/>
        <v>565367.51743188477</v>
      </c>
      <c r="L321" s="14">
        <f t="shared" si="33"/>
        <v>558</v>
      </c>
      <c r="M321" s="14" t="str">
        <f t="shared" si="34"/>
        <v>10-08-2025</v>
      </c>
      <c r="N321" s="14">
        <f t="shared" si="35"/>
        <v>0.15359927666210368</v>
      </c>
      <c r="O321" s="20">
        <f t="shared" si="36"/>
        <v>2.497566954523573</v>
      </c>
      <c r="P321" s="14">
        <f t="shared" si="37"/>
        <v>483.33106694513197</v>
      </c>
      <c r="Q321" s="14">
        <f t="shared" si="38"/>
        <v>110.61525</v>
      </c>
      <c r="R321" s="14" t="str">
        <f t="shared" si="39"/>
        <v>Aug</v>
      </c>
    </row>
    <row r="322" spans="1:18" x14ac:dyDescent="0.3">
      <c r="A322" t="s">
        <v>1931</v>
      </c>
      <c r="B322" s="1">
        <v>45840</v>
      </c>
      <c r="C322" t="s">
        <v>1044</v>
      </c>
      <c r="D322" t="s">
        <v>1397</v>
      </c>
      <c r="E322" t="s">
        <v>1554</v>
      </c>
      <c r="F322">
        <v>3</v>
      </c>
      <c r="G322" s="14">
        <v>601.92999999999995</v>
      </c>
      <c r="H322" s="17">
        <v>0.14000000000000001</v>
      </c>
      <c r="I322" t="s">
        <v>1609</v>
      </c>
      <c r="J322" s="14">
        <v>1552.9793999999999</v>
      </c>
      <c r="K322" s="14">
        <f t="shared" ref="K322:K385" si="40">SUMIF(I322:I2321,"Credit Card",J322:J2321)</f>
        <v>565367.51743188477</v>
      </c>
      <c r="L322" s="14">
        <f t="shared" ref="L322:L385" si="41">COUNTIF(I322:I2321,"Credit Card")</f>
        <v>558</v>
      </c>
      <c r="M322" s="14" t="str">
        <f t="shared" ref="M322:M385" si="42">TEXT(B322:B2321,"dd-mm-yyyy")</f>
        <v>02-07-2025</v>
      </c>
      <c r="N322" s="14">
        <f t="shared" ref="N322:N385" si="43">AVERAGE(H322:H2321)</f>
        <v>0.15367889482459601</v>
      </c>
      <c r="O322" s="20">
        <f t="shared" ref="O322:O385" si="44">AVERAGE(F322:F2321)</f>
        <v>2.4984594258909887</v>
      </c>
      <c r="P322" s="14">
        <f t="shared" ref="P322:P385" si="45">AVERAGE(G322:G2321)</f>
        <v>483.48624040576675</v>
      </c>
      <c r="Q322" s="14">
        <f t="shared" ref="Q322:Q385" si="46">AVERAGE(F322,G322,H322,J322)</f>
        <v>539.51234999999997</v>
      </c>
      <c r="R322" s="14" t="str">
        <f t="shared" ref="R322:R385" si="47">TEXT(M322,"mmm")</f>
        <v>Jul</v>
      </c>
    </row>
    <row r="323" spans="1:18" x14ac:dyDescent="0.3">
      <c r="A323" t="s">
        <v>1932</v>
      </c>
      <c r="B323" s="1">
        <v>45380</v>
      </c>
      <c r="C323" t="s">
        <v>939</v>
      </c>
      <c r="D323" t="s">
        <v>1471</v>
      </c>
      <c r="E323" t="s">
        <v>1546</v>
      </c>
      <c r="F323">
        <v>1</v>
      </c>
      <c r="G323" s="14">
        <v>564.1</v>
      </c>
      <c r="H323" s="17">
        <v>0.03</v>
      </c>
      <c r="I323" t="s">
        <v>1609</v>
      </c>
      <c r="J323" s="14">
        <v>547.17700000000002</v>
      </c>
      <c r="K323" s="14">
        <f t="shared" si="40"/>
        <v>563814.5380318847</v>
      </c>
      <c r="L323" s="14">
        <f t="shared" si="41"/>
        <v>557</v>
      </c>
      <c r="M323" s="14" t="str">
        <f t="shared" si="42"/>
        <v>29-03-2024</v>
      </c>
      <c r="N323" s="14">
        <f t="shared" si="43"/>
        <v>0.15368705158954807</v>
      </c>
      <c r="O323" s="20">
        <f t="shared" si="44"/>
        <v>2.498160355781204</v>
      </c>
      <c r="P323" s="14">
        <f t="shared" si="45"/>
        <v>483.41561204584173</v>
      </c>
      <c r="Q323" s="14">
        <f t="shared" si="46"/>
        <v>278.07675</v>
      </c>
      <c r="R323" s="14" t="str">
        <f t="shared" si="47"/>
        <v>Mar</v>
      </c>
    </row>
    <row r="324" spans="1:18" x14ac:dyDescent="0.3">
      <c r="A324" t="s">
        <v>1933</v>
      </c>
      <c r="B324" s="1">
        <v>45672</v>
      </c>
      <c r="C324" t="s">
        <v>341</v>
      </c>
      <c r="D324" t="s">
        <v>1493</v>
      </c>
      <c r="E324" t="s">
        <v>1558</v>
      </c>
      <c r="F324">
        <v>1</v>
      </c>
      <c r="G324" s="14">
        <v>516.62</v>
      </c>
      <c r="H324" s="17">
        <v>0.18</v>
      </c>
      <c r="I324" t="s">
        <v>1609</v>
      </c>
      <c r="J324" s="14">
        <v>423.62840000000011</v>
      </c>
      <c r="K324" s="14">
        <f t="shared" si="40"/>
        <v>563267.36103188468</v>
      </c>
      <c r="L324" s="14">
        <f t="shared" si="41"/>
        <v>556</v>
      </c>
      <c r="M324" s="14" t="str">
        <f t="shared" si="42"/>
        <v>15-01-2025</v>
      </c>
      <c r="N324" s="14">
        <f t="shared" si="43"/>
        <v>0.15376085054634375</v>
      </c>
      <c r="O324" s="20">
        <f t="shared" si="44"/>
        <v>2.499054246208281</v>
      </c>
      <c r="P324" s="14">
        <f t="shared" si="45"/>
        <v>483.36747100290967</v>
      </c>
      <c r="Q324" s="14">
        <f t="shared" si="46"/>
        <v>235.3571</v>
      </c>
      <c r="R324" s="14" t="str">
        <f t="shared" si="47"/>
        <v>Jan</v>
      </c>
    </row>
    <row r="325" spans="1:18" x14ac:dyDescent="0.3">
      <c r="A325" t="s">
        <v>1934</v>
      </c>
      <c r="B325" s="1">
        <v>45497</v>
      </c>
      <c r="C325" t="s">
        <v>1259</v>
      </c>
      <c r="D325" t="s">
        <v>1459</v>
      </c>
      <c r="E325" t="s">
        <v>1579</v>
      </c>
      <c r="F325">
        <v>1</v>
      </c>
      <c r="G325" s="14">
        <v>934.75</v>
      </c>
      <c r="H325" s="17">
        <v>0.11</v>
      </c>
      <c r="I325" t="s">
        <v>1611</v>
      </c>
      <c r="J325" s="14">
        <v>831.92750000000001</v>
      </c>
      <c r="K325" s="14">
        <f t="shared" si="40"/>
        <v>562843.73263188475</v>
      </c>
      <c r="L325" s="14">
        <f t="shared" si="41"/>
        <v>555</v>
      </c>
      <c r="M325" s="14" t="str">
        <f t="shared" si="42"/>
        <v>24-07-2024</v>
      </c>
      <c r="N325" s="14">
        <f t="shared" si="43"/>
        <v>0.1537451853824908</v>
      </c>
      <c r="O325" s="20">
        <f t="shared" si="44"/>
        <v>2.4999492039672111</v>
      </c>
      <c r="P325" s="14">
        <f t="shared" si="45"/>
        <v>483.34761874679197</v>
      </c>
      <c r="Q325" s="14">
        <f t="shared" si="46"/>
        <v>441.94687499999998</v>
      </c>
      <c r="R325" s="14" t="str">
        <f t="shared" si="47"/>
        <v>Jul</v>
      </c>
    </row>
    <row r="326" spans="1:18" x14ac:dyDescent="0.3">
      <c r="A326" t="s">
        <v>1935</v>
      </c>
      <c r="B326" s="1">
        <v>45407</v>
      </c>
      <c r="C326" t="s">
        <v>752</v>
      </c>
      <c r="D326" t="s">
        <v>1529</v>
      </c>
      <c r="E326" t="s">
        <v>1564</v>
      </c>
      <c r="F326">
        <v>4</v>
      </c>
      <c r="G326" s="14">
        <v>548.44000000000005</v>
      </c>
      <c r="H326" s="17">
        <v>0.05</v>
      </c>
      <c r="I326" t="s">
        <v>1611</v>
      </c>
      <c r="J326" s="14">
        <v>2084.0720000000001</v>
      </c>
      <c r="K326" s="14">
        <f t="shared" si="40"/>
        <v>562843.73263188475</v>
      </c>
      <c r="L326" s="14">
        <f t="shared" si="41"/>
        <v>555</v>
      </c>
      <c r="M326" s="14" t="str">
        <f t="shared" si="42"/>
        <v>25-04-2024</v>
      </c>
      <c r="N326" s="14">
        <f t="shared" si="43"/>
        <v>0.1537713175123489</v>
      </c>
      <c r="O326" s="20">
        <f t="shared" si="44"/>
        <v>2.5008452309707758</v>
      </c>
      <c r="P326" s="14">
        <f t="shared" si="45"/>
        <v>483.07796379980681</v>
      </c>
      <c r="Q326" s="14">
        <f t="shared" si="46"/>
        <v>659.14049999999997</v>
      </c>
      <c r="R326" s="14" t="str">
        <f t="shared" si="47"/>
        <v>Apr</v>
      </c>
    </row>
    <row r="327" spans="1:18" x14ac:dyDescent="0.3">
      <c r="A327" t="s">
        <v>1936</v>
      </c>
      <c r="B327" s="1">
        <v>45764</v>
      </c>
      <c r="C327" t="s">
        <v>63</v>
      </c>
      <c r="D327" t="s">
        <v>1407</v>
      </c>
      <c r="E327" t="s">
        <v>1551</v>
      </c>
      <c r="F327">
        <v>3</v>
      </c>
      <c r="G327" s="14">
        <v>361.11</v>
      </c>
      <c r="H327" s="17">
        <v>0.06</v>
      </c>
      <c r="I327" t="s">
        <v>1609</v>
      </c>
      <c r="J327" s="14">
        <v>1018.3302</v>
      </c>
      <c r="K327" s="14">
        <f t="shared" si="40"/>
        <v>562843.73263188475</v>
      </c>
      <c r="L327" s="14">
        <f t="shared" si="41"/>
        <v>555</v>
      </c>
      <c r="M327" s="14" t="str">
        <f t="shared" si="42"/>
        <v>17-04-2025</v>
      </c>
      <c r="N327" s="14">
        <f t="shared" si="43"/>
        <v>0.15383334459992354</v>
      </c>
      <c r="O327" s="20">
        <f t="shared" si="44"/>
        <v>2.4999491432427248</v>
      </c>
      <c r="P327" s="14">
        <f t="shared" si="45"/>
        <v>483.03889503937626</v>
      </c>
      <c r="Q327" s="14">
        <f t="shared" si="46"/>
        <v>345.62504999999999</v>
      </c>
      <c r="R327" s="14" t="str">
        <f t="shared" si="47"/>
        <v>Apr</v>
      </c>
    </row>
    <row r="328" spans="1:18" x14ac:dyDescent="0.3">
      <c r="A328" t="s">
        <v>1937</v>
      </c>
      <c r="B328" s="1">
        <v>45924</v>
      </c>
      <c r="C328" t="s">
        <v>616</v>
      </c>
      <c r="D328" t="s">
        <v>1359</v>
      </c>
      <c r="E328" t="s">
        <v>1542</v>
      </c>
      <c r="F328">
        <v>2</v>
      </c>
      <c r="G328" s="14">
        <v>610.37</v>
      </c>
      <c r="H328" s="17">
        <v>0.1</v>
      </c>
      <c r="I328" t="s">
        <v>1611</v>
      </c>
      <c r="J328" s="14">
        <v>1098.6659999999999</v>
      </c>
      <c r="K328" s="14">
        <f t="shared" si="40"/>
        <v>561825.40243188478</v>
      </c>
      <c r="L328" s="14">
        <f t="shared" si="41"/>
        <v>554</v>
      </c>
      <c r="M328" s="14" t="str">
        <f t="shared" si="42"/>
        <v>24-09-2025</v>
      </c>
      <c r="N328" s="14">
        <f t="shared" si="43"/>
        <v>0.15388946502133496</v>
      </c>
      <c r="O328" s="20">
        <f t="shared" si="44"/>
        <v>2.4996500697638031</v>
      </c>
      <c r="P328" s="14">
        <f t="shared" si="45"/>
        <v>483.11181901966302</v>
      </c>
      <c r="Q328" s="14">
        <f t="shared" si="46"/>
        <v>427.78399999999999</v>
      </c>
      <c r="R328" s="14" t="str">
        <f t="shared" si="47"/>
        <v>Sep</v>
      </c>
    </row>
    <row r="329" spans="1:18" x14ac:dyDescent="0.3">
      <c r="A329" t="s">
        <v>1938</v>
      </c>
      <c r="B329" s="1">
        <v>45240</v>
      </c>
      <c r="C329" t="s">
        <v>1050</v>
      </c>
      <c r="D329" t="s">
        <v>1435</v>
      </c>
      <c r="E329" t="s">
        <v>1589</v>
      </c>
      <c r="F329">
        <v>1</v>
      </c>
      <c r="G329" s="14">
        <v>272.2</v>
      </c>
      <c r="H329" s="17">
        <v>0.3</v>
      </c>
      <c r="I329" t="s">
        <v>1609</v>
      </c>
      <c r="J329" s="14">
        <v>190.54</v>
      </c>
      <c r="K329" s="14">
        <f t="shared" si="40"/>
        <v>561825.40243188478</v>
      </c>
      <c r="L329" s="14">
        <f t="shared" si="41"/>
        <v>554</v>
      </c>
      <c r="M329" s="14" t="str">
        <f t="shared" si="42"/>
        <v>10-11-2023</v>
      </c>
      <c r="N329" s="14">
        <f t="shared" si="43"/>
        <v>0.1539217148507912</v>
      </c>
      <c r="O329" s="20">
        <f t="shared" si="44"/>
        <v>2.4999490823728774</v>
      </c>
      <c r="P329" s="14">
        <f t="shared" si="45"/>
        <v>483.03566211901648</v>
      </c>
      <c r="Q329" s="14">
        <f t="shared" si="46"/>
        <v>116.00999999999999</v>
      </c>
      <c r="R329" s="14" t="str">
        <f t="shared" si="47"/>
        <v>Nov</v>
      </c>
    </row>
    <row r="330" spans="1:18" x14ac:dyDescent="0.3">
      <c r="A330" t="s">
        <v>1939</v>
      </c>
      <c r="B330" s="1">
        <v>45349</v>
      </c>
      <c r="C330" t="s">
        <v>1259</v>
      </c>
      <c r="D330" t="s">
        <v>1487</v>
      </c>
      <c r="E330" t="s">
        <v>1561</v>
      </c>
      <c r="F330">
        <v>3</v>
      </c>
      <c r="G330" s="14">
        <v>573.1</v>
      </c>
      <c r="H330" s="17">
        <v>0.16</v>
      </c>
      <c r="I330" t="s">
        <v>1614</v>
      </c>
      <c r="J330" s="14">
        <v>1444.212</v>
      </c>
      <c r="K330" s="14">
        <f t="shared" si="40"/>
        <v>561634.86243188474</v>
      </c>
      <c r="L330" s="14">
        <f t="shared" si="41"/>
        <v>553</v>
      </c>
      <c r="M330" s="14" t="str">
        <f t="shared" si="42"/>
        <v>27-02-2024</v>
      </c>
      <c r="N330" s="14">
        <f t="shared" si="43"/>
        <v>0.15383424282375574</v>
      </c>
      <c r="O330" s="20">
        <f t="shared" si="44"/>
        <v>2.5008472554760948</v>
      </c>
      <c r="P330" s="14">
        <f t="shared" si="45"/>
        <v>483.16191101848898</v>
      </c>
      <c r="Q330" s="14">
        <f t="shared" si="46"/>
        <v>505.11799999999999</v>
      </c>
      <c r="R330" s="14" t="str">
        <f t="shared" si="47"/>
        <v>Feb</v>
      </c>
    </row>
    <row r="331" spans="1:18" x14ac:dyDescent="0.3">
      <c r="A331" t="s">
        <v>1940</v>
      </c>
      <c r="B331" s="1">
        <v>45756</v>
      </c>
      <c r="C331" t="s">
        <v>1014</v>
      </c>
      <c r="D331" t="s">
        <v>1342</v>
      </c>
      <c r="E331" t="s">
        <v>1537</v>
      </c>
      <c r="F331">
        <v>4</v>
      </c>
      <c r="G331" s="14">
        <v>24.72</v>
      </c>
      <c r="H331" s="17">
        <v>0.28000000000000003</v>
      </c>
      <c r="I331" t="s">
        <v>1609</v>
      </c>
      <c r="J331" s="14">
        <v>71.193599999999989</v>
      </c>
      <c r="K331" s="14">
        <f t="shared" si="40"/>
        <v>561634.86243188474</v>
      </c>
      <c r="L331" s="14">
        <f t="shared" si="41"/>
        <v>553</v>
      </c>
      <c r="M331" s="14" t="str">
        <f t="shared" si="42"/>
        <v>09-04-2025</v>
      </c>
      <c r="N331" s="14">
        <f t="shared" si="43"/>
        <v>0.15383054854144523</v>
      </c>
      <c r="O331" s="20">
        <f t="shared" si="44"/>
        <v>2.500548182531503</v>
      </c>
      <c r="P331" s="14">
        <f t="shared" si="45"/>
        <v>483.10802360747556</v>
      </c>
      <c r="Q331" s="14">
        <f t="shared" si="46"/>
        <v>25.048399999999997</v>
      </c>
      <c r="R331" s="14" t="str">
        <f t="shared" si="47"/>
        <v>Apr</v>
      </c>
    </row>
    <row r="332" spans="1:18" x14ac:dyDescent="0.3">
      <c r="A332" t="s">
        <v>1941</v>
      </c>
      <c r="B332" s="1">
        <v>45478</v>
      </c>
      <c r="C332" t="s">
        <v>803</v>
      </c>
      <c r="D332" t="s">
        <v>1350</v>
      </c>
      <c r="E332" t="s">
        <v>1571</v>
      </c>
      <c r="F332">
        <v>3</v>
      </c>
      <c r="G332" s="14">
        <v>268.89</v>
      </c>
      <c r="H332" s="17">
        <v>7.0000000000000007E-2</v>
      </c>
      <c r="I332" t="s">
        <v>1614</v>
      </c>
      <c r="J332" s="14">
        <v>750.20309999999995</v>
      </c>
      <c r="K332" s="14">
        <f t="shared" si="40"/>
        <v>561563.66883188474</v>
      </c>
      <c r="L332" s="14">
        <f t="shared" si="41"/>
        <v>552</v>
      </c>
      <c r="M332" s="14" t="str">
        <f t="shared" si="42"/>
        <v>05-07-2024</v>
      </c>
      <c r="N332" s="14">
        <f t="shared" si="43"/>
        <v>0.15375490738349645</v>
      </c>
      <c r="O332" s="20">
        <f t="shared" si="44"/>
        <v>2.4996492306025653</v>
      </c>
      <c r="P332" s="14">
        <f t="shared" si="45"/>
        <v>483.38283657126897</v>
      </c>
      <c r="Q332" s="14">
        <f t="shared" si="46"/>
        <v>255.540775</v>
      </c>
      <c r="R332" s="14" t="str">
        <f t="shared" si="47"/>
        <v>Jul</v>
      </c>
    </row>
    <row r="333" spans="1:18" x14ac:dyDescent="0.3">
      <c r="A333" t="s">
        <v>1942</v>
      </c>
      <c r="B333" s="1">
        <v>45890</v>
      </c>
      <c r="C333" t="s">
        <v>821</v>
      </c>
      <c r="D333" t="s">
        <v>1469</v>
      </c>
      <c r="E333" t="s">
        <v>1571</v>
      </c>
      <c r="F333">
        <v>1</v>
      </c>
      <c r="G333" s="14">
        <v>78.5</v>
      </c>
      <c r="H333" s="17">
        <v>0.17</v>
      </c>
      <c r="I333" t="s">
        <v>1614</v>
      </c>
      <c r="J333" s="14">
        <v>65.155000000000001</v>
      </c>
      <c r="K333" s="14">
        <f t="shared" si="40"/>
        <v>561563.66883188474</v>
      </c>
      <c r="L333" s="14">
        <f t="shared" si="41"/>
        <v>552</v>
      </c>
      <c r="M333" s="14" t="str">
        <f t="shared" si="42"/>
        <v>21-08-2025</v>
      </c>
      <c r="N333" s="14">
        <f t="shared" si="43"/>
        <v>0.15380515027934738</v>
      </c>
      <c r="O333" s="20">
        <f t="shared" si="44"/>
        <v>2.499349080171013</v>
      </c>
      <c r="P333" s="14">
        <f t="shared" si="45"/>
        <v>483.5115065392182</v>
      </c>
      <c r="Q333" s="14">
        <f t="shared" si="46"/>
        <v>36.206249999999997</v>
      </c>
      <c r="R333" s="14" t="str">
        <f t="shared" si="47"/>
        <v>Aug</v>
      </c>
    </row>
    <row r="334" spans="1:18" x14ac:dyDescent="0.3">
      <c r="A334" t="s">
        <v>1943</v>
      </c>
      <c r="B334" s="1">
        <v>45815</v>
      </c>
      <c r="C334" t="s">
        <v>455</v>
      </c>
      <c r="D334" t="s">
        <v>1405</v>
      </c>
      <c r="E334" t="s">
        <v>1554</v>
      </c>
      <c r="F334">
        <v>3</v>
      </c>
      <c r="G334" s="14">
        <v>399.42</v>
      </c>
      <c r="H334" s="17">
        <v>0.02</v>
      </c>
      <c r="I334" t="s">
        <v>1609</v>
      </c>
      <c r="J334" s="14">
        <v>1174.2947999999999</v>
      </c>
      <c r="K334" s="14">
        <f t="shared" si="40"/>
        <v>561563.66883188474</v>
      </c>
      <c r="L334" s="14">
        <f t="shared" si="41"/>
        <v>552</v>
      </c>
      <c r="M334" s="14" t="str">
        <f t="shared" si="42"/>
        <v>07-06-2025</v>
      </c>
      <c r="N334" s="14">
        <f t="shared" si="43"/>
        <v>0.15379542948119573</v>
      </c>
      <c r="O334" s="20">
        <f t="shared" si="44"/>
        <v>2.5002490496068899</v>
      </c>
      <c r="P334" s="14">
        <f t="shared" si="45"/>
        <v>483.75461068479996</v>
      </c>
      <c r="Q334" s="14">
        <f t="shared" si="46"/>
        <v>394.18369999999999</v>
      </c>
      <c r="R334" s="14" t="str">
        <f t="shared" si="47"/>
        <v>Jun</v>
      </c>
    </row>
    <row r="335" spans="1:18" x14ac:dyDescent="0.3">
      <c r="A335" t="s">
        <v>1944</v>
      </c>
      <c r="B335" s="1">
        <v>45891</v>
      </c>
      <c r="C335" t="s">
        <v>307</v>
      </c>
      <c r="D335" t="s">
        <v>1395</v>
      </c>
      <c r="E335" t="s">
        <v>1598</v>
      </c>
      <c r="F335">
        <v>3</v>
      </c>
      <c r="G335" s="14">
        <v>455.82</v>
      </c>
      <c r="H335" s="17">
        <v>0.01</v>
      </c>
      <c r="I335" t="s">
        <v>1611</v>
      </c>
      <c r="J335" s="14">
        <v>1353.7854</v>
      </c>
      <c r="K335" s="14">
        <f t="shared" si="40"/>
        <v>560389.3740318846</v>
      </c>
      <c r="L335" s="14">
        <f t="shared" si="41"/>
        <v>551</v>
      </c>
      <c r="M335" s="14" t="str">
        <f t="shared" si="42"/>
        <v>22-08-2025</v>
      </c>
      <c r="N335" s="14">
        <f t="shared" si="43"/>
        <v>0.15387578709649977</v>
      </c>
      <c r="O335" s="20">
        <f t="shared" si="44"/>
        <v>2.4999488988859331</v>
      </c>
      <c r="P335" s="14">
        <f t="shared" si="45"/>
        <v>483.80526210262855</v>
      </c>
      <c r="Q335" s="14">
        <f t="shared" si="46"/>
        <v>453.15384999999998</v>
      </c>
      <c r="R335" s="14" t="str">
        <f t="shared" si="47"/>
        <v>Aug</v>
      </c>
    </row>
    <row r="336" spans="1:18" x14ac:dyDescent="0.3">
      <c r="A336" t="s">
        <v>1945</v>
      </c>
      <c r="B336" s="1">
        <v>45609</v>
      </c>
      <c r="C336" t="s">
        <v>1095</v>
      </c>
      <c r="D336" t="s">
        <v>1433</v>
      </c>
      <c r="E336" t="s">
        <v>1558</v>
      </c>
      <c r="F336">
        <v>2</v>
      </c>
      <c r="G336" s="14">
        <v>613.23</v>
      </c>
      <c r="H336" s="17">
        <v>0.15</v>
      </c>
      <c r="I336" t="s">
        <v>1611</v>
      </c>
      <c r="J336" s="14">
        <v>1042.491</v>
      </c>
      <c r="K336" s="14">
        <f t="shared" si="40"/>
        <v>560389.3740318846</v>
      </c>
      <c r="L336" s="14">
        <f t="shared" si="41"/>
        <v>551</v>
      </c>
      <c r="M336" s="14" t="str">
        <f t="shared" si="42"/>
        <v>13-11-2024</v>
      </c>
      <c r="N336" s="14">
        <f t="shared" si="43"/>
        <v>0.15396225091086063</v>
      </c>
      <c r="O336" s="20">
        <f t="shared" si="44"/>
        <v>2.4996483874068978</v>
      </c>
      <c r="P336" s="14">
        <f t="shared" si="45"/>
        <v>483.82208016879611</v>
      </c>
      <c r="Q336" s="14">
        <f t="shared" si="46"/>
        <v>414.46775000000002</v>
      </c>
      <c r="R336" s="14" t="str">
        <f t="shared" si="47"/>
        <v>Nov</v>
      </c>
    </row>
    <row r="337" spans="1:18" x14ac:dyDescent="0.3">
      <c r="A337" t="s">
        <v>1946</v>
      </c>
      <c r="B337" s="1">
        <v>45309</v>
      </c>
      <c r="C337" t="s">
        <v>1279</v>
      </c>
      <c r="D337" t="s">
        <v>1334</v>
      </c>
      <c r="E337" t="s">
        <v>1584</v>
      </c>
      <c r="F337">
        <v>4</v>
      </c>
      <c r="G337" s="14">
        <v>971.9</v>
      </c>
      <c r="H337" s="17">
        <v>0.28000000000000003</v>
      </c>
      <c r="I337" t="s">
        <v>1611</v>
      </c>
      <c r="J337" s="14">
        <v>2799.0720000000001</v>
      </c>
      <c r="K337" s="14">
        <f t="shared" si="40"/>
        <v>560389.3740318846</v>
      </c>
      <c r="L337" s="14">
        <f t="shared" si="41"/>
        <v>551</v>
      </c>
      <c r="M337" s="14" t="str">
        <f t="shared" si="42"/>
        <v>18-01-2024</v>
      </c>
      <c r="N337" s="14">
        <f t="shared" si="43"/>
        <v>0.15396463350311007</v>
      </c>
      <c r="O337" s="20">
        <f t="shared" si="44"/>
        <v>2.4999488374293914</v>
      </c>
      <c r="P337" s="14">
        <f t="shared" si="45"/>
        <v>483.74426422181403</v>
      </c>
      <c r="Q337" s="14">
        <f t="shared" si="46"/>
        <v>943.81299999999999</v>
      </c>
      <c r="R337" s="14" t="str">
        <f t="shared" si="47"/>
        <v>Jan</v>
      </c>
    </row>
    <row r="338" spans="1:18" x14ac:dyDescent="0.3">
      <c r="A338" t="s">
        <v>1947</v>
      </c>
      <c r="B338" s="1">
        <v>45519</v>
      </c>
      <c r="C338" t="s">
        <v>137</v>
      </c>
      <c r="D338" t="s">
        <v>1389</v>
      </c>
      <c r="E338" t="s">
        <v>1564</v>
      </c>
      <c r="F338">
        <v>3</v>
      </c>
      <c r="G338" s="14">
        <v>884.92</v>
      </c>
      <c r="H338" s="17">
        <v>0.06</v>
      </c>
      <c r="I338" t="s">
        <v>1611</v>
      </c>
      <c r="J338" s="14">
        <v>2495.4744000000001</v>
      </c>
      <c r="K338" s="14">
        <f t="shared" si="40"/>
        <v>560389.3740318846</v>
      </c>
      <c r="L338" s="14">
        <f t="shared" si="41"/>
        <v>551</v>
      </c>
      <c r="M338" s="14" t="str">
        <f t="shared" si="42"/>
        <v>15-08-2024</v>
      </c>
      <c r="N338" s="14">
        <f t="shared" si="43"/>
        <v>0.15388879994926116</v>
      </c>
      <c r="O338" s="20">
        <f t="shared" si="44"/>
        <v>2.4990462795698427</v>
      </c>
      <c r="P338" s="14">
        <f t="shared" si="45"/>
        <v>483.45054837597877</v>
      </c>
      <c r="Q338" s="14">
        <f t="shared" si="46"/>
        <v>845.86360000000002</v>
      </c>
      <c r="R338" s="14" t="str">
        <f t="shared" si="47"/>
        <v>Aug</v>
      </c>
    </row>
    <row r="339" spans="1:18" x14ac:dyDescent="0.3">
      <c r="A339" t="s">
        <v>1948</v>
      </c>
      <c r="B339" s="1">
        <v>45921</v>
      </c>
      <c r="C339" t="s">
        <v>314</v>
      </c>
      <c r="D339" t="s">
        <v>1347</v>
      </c>
      <c r="E339" t="s">
        <v>1571</v>
      </c>
      <c r="F339">
        <v>1</v>
      </c>
      <c r="G339" s="14">
        <v>125</v>
      </c>
      <c r="H339" s="17">
        <v>0.23</v>
      </c>
      <c r="I339" t="s">
        <v>1609</v>
      </c>
      <c r="J339" s="14">
        <v>96.25</v>
      </c>
      <c r="K339" s="14">
        <f t="shared" si="40"/>
        <v>560389.3740318846</v>
      </c>
      <c r="L339" s="14">
        <f t="shared" si="41"/>
        <v>551</v>
      </c>
      <c r="M339" s="14" t="str">
        <f t="shared" si="42"/>
        <v>21-09-2025</v>
      </c>
      <c r="N339" s="14">
        <f t="shared" si="43"/>
        <v>0.15394532541581701</v>
      </c>
      <c r="O339" s="20">
        <f t="shared" si="44"/>
        <v>2.4987446819055261</v>
      </c>
      <c r="P339" s="14">
        <f t="shared" si="45"/>
        <v>483.20884491323102</v>
      </c>
      <c r="Q339" s="14">
        <f t="shared" si="46"/>
        <v>55.620000000000005</v>
      </c>
      <c r="R339" s="14" t="str">
        <f t="shared" si="47"/>
        <v>Sep</v>
      </c>
    </row>
    <row r="340" spans="1:18" x14ac:dyDescent="0.3">
      <c r="A340" t="s">
        <v>1949</v>
      </c>
      <c r="B340" s="1">
        <v>45465</v>
      </c>
      <c r="C340" t="s">
        <v>441</v>
      </c>
      <c r="D340" t="s">
        <v>1353</v>
      </c>
      <c r="E340" t="s">
        <v>1586</v>
      </c>
      <c r="F340">
        <v>2</v>
      </c>
      <c r="G340" s="14">
        <v>188.25</v>
      </c>
      <c r="H340" s="17">
        <v>0.08</v>
      </c>
      <c r="I340" t="s">
        <v>1611</v>
      </c>
      <c r="J340" s="14">
        <v>346.38</v>
      </c>
      <c r="K340" s="14">
        <f t="shared" si="40"/>
        <v>560293.1240318846</v>
      </c>
      <c r="L340" s="14">
        <f t="shared" si="41"/>
        <v>550</v>
      </c>
      <c r="M340" s="14" t="str">
        <f t="shared" si="42"/>
        <v>22-06-2024</v>
      </c>
      <c r="N340" s="14">
        <f t="shared" si="43"/>
        <v>0.15389950934679039</v>
      </c>
      <c r="O340" s="20">
        <f t="shared" si="44"/>
        <v>2.4996475401476377</v>
      </c>
      <c r="P340" s="14">
        <f t="shared" si="45"/>
        <v>483.42463337402211</v>
      </c>
      <c r="Q340" s="14">
        <f t="shared" si="46"/>
        <v>134.17750000000001</v>
      </c>
      <c r="R340" s="14" t="str">
        <f t="shared" si="47"/>
        <v>Jun</v>
      </c>
    </row>
    <row r="341" spans="1:18" x14ac:dyDescent="0.3">
      <c r="A341" t="s">
        <v>1950</v>
      </c>
      <c r="B341" s="1">
        <v>45303</v>
      </c>
      <c r="C341" t="s">
        <v>719</v>
      </c>
      <c r="D341" t="s">
        <v>1425</v>
      </c>
      <c r="E341" t="s">
        <v>1561</v>
      </c>
      <c r="F341">
        <v>4</v>
      </c>
      <c r="G341" s="14">
        <v>344.12</v>
      </c>
      <c r="H341" s="17">
        <v>0.25</v>
      </c>
      <c r="I341" t="s">
        <v>1611</v>
      </c>
      <c r="J341" s="14">
        <v>1032.3599999999999</v>
      </c>
      <c r="K341" s="14">
        <f t="shared" si="40"/>
        <v>560293.1240318846</v>
      </c>
      <c r="L341" s="14">
        <f t="shared" si="41"/>
        <v>550</v>
      </c>
      <c r="M341" s="14" t="str">
        <f t="shared" si="42"/>
        <v>12-01-2024</v>
      </c>
      <c r="N341" s="14">
        <f t="shared" si="43"/>
        <v>0.15394405395760824</v>
      </c>
      <c r="O341" s="20">
        <f t="shared" si="44"/>
        <v>2.4999487140717775</v>
      </c>
      <c r="P341" s="14">
        <f t="shared" si="45"/>
        <v>483.60255660089013</v>
      </c>
      <c r="Q341" s="14">
        <f t="shared" si="46"/>
        <v>345.1825</v>
      </c>
      <c r="R341" s="14" t="str">
        <f t="shared" si="47"/>
        <v>Jan</v>
      </c>
    </row>
    <row r="342" spans="1:18" x14ac:dyDescent="0.3">
      <c r="A342" t="s">
        <v>1951</v>
      </c>
      <c r="B342" s="1">
        <v>45218</v>
      </c>
      <c r="C342" t="s">
        <v>181</v>
      </c>
      <c r="D342" t="s">
        <v>1367</v>
      </c>
      <c r="E342" t="s">
        <v>1598</v>
      </c>
      <c r="F342">
        <v>3</v>
      </c>
      <c r="G342" s="14">
        <v>997.95</v>
      </c>
      <c r="H342" s="17">
        <v>0.09</v>
      </c>
      <c r="I342" t="s">
        <v>1614</v>
      </c>
      <c r="J342" s="14">
        <v>2724.4034999999999</v>
      </c>
      <c r="K342" s="14">
        <f t="shared" si="40"/>
        <v>560293.1240318846</v>
      </c>
      <c r="L342" s="14">
        <f t="shared" si="41"/>
        <v>550</v>
      </c>
      <c r="M342" s="14" t="str">
        <f t="shared" si="42"/>
        <v>19-10-2023</v>
      </c>
      <c r="N342" s="14">
        <f t="shared" si="43"/>
        <v>0.15388611912887337</v>
      </c>
      <c r="O342" s="20">
        <f t="shared" si="44"/>
        <v>2.4990439786761636</v>
      </c>
      <c r="P342" s="14">
        <f t="shared" si="45"/>
        <v>483.68668359522115</v>
      </c>
      <c r="Q342" s="14">
        <f t="shared" si="46"/>
        <v>931.36087499999996</v>
      </c>
      <c r="R342" s="14" t="str">
        <f t="shared" si="47"/>
        <v>Oct</v>
      </c>
    </row>
    <row r="343" spans="1:18" x14ac:dyDescent="0.3">
      <c r="A343" t="s">
        <v>1952</v>
      </c>
      <c r="B343" s="1">
        <v>45727</v>
      </c>
      <c r="C343" t="s">
        <v>505</v>
      </c>
      <c r="D343" t="s">
        <v>1355</v>
      </c>
      <c r="E343" t="s">
        <v>1586</v>
      </c>
      <c r="F343">
        <v>3</v>
      </c>
      <c r="G343" s="14">
        <v>121.64</v>
      </c>
      <c r="H343" s="17">
        <v>7.0000000000000007E-2</v>
      </c>
      <c r="I343" t="s">
        <v>1611</v>
      </c>
      <c r="J343" s="14">
        <v>339.37560000000002</v>
      </c>
      <c r="K343" s="14">
        <f t="shared" si="40"/>
        <v>560293.1240318846</v>
      </c>
      <c r="L343" s="14">
        <f t="shared" si="41"/>
        <v>550</v>
      </c>
      <c r="M343" s="14" t="str">
        <f t="shared" si="42"/>
        <v>11-03-2025</v>
      </c>
      <c r="N343" s="14">
        <f t="shared" si="43"/>
        <v>0.15392467442104529</v>
      </c>
      <c r="O343" s="20">
        <f t="shared" si="44"/>
        <v>2.4987416515661303</v>
      </c>
      <c r="P343" s="14">
        <f t="shared" si="45"/>
        <v>483.37632552859185</v>
      </c>
      <c r="Q343" s="14">
        <f t="shared" si="46"/>
        <v>116.0214</v>
      </c>
      <c r="R343" s="14" t="str">
        <f t="shared" si="47"/>
        <v>Mar</v>
      </c>
    </row>
    <row r="344" spans="1:18" x14ac:dyDescent="0.3">
      <c r="A344" t="s">
        <v>1953</v>
      </c>
      <c r="B344" s="1">
        <v>45557</v>
      </c>
      <c r="C344" t="s">
        <v>716</v>
      </c>
      <c r="D344" t="s">
        <v>1469</v>
      </c>
      <c r="E344" t="s">
        <v>1574</v>
      </c>
      <c r="F344">
        <v>2</v>
      </c>
      <c r="G344" s="14">
        <v>692.72</v>
      </c>
      <c r="H344" s="17">
        <v>0.13</v>
      </c>
      <c r="I344" t="s">
        <v>1611</v>
      </c>
      <c r="J344" s="14">
        <v>1205.3327999999999</v>
      </c>
      <c r="K344" s="14">
        <f t="shared" si="40"/>
        <v>560293.1240318846</v>
      </c>
      <c r="L344" s="14">
        <f t="shared" si="41"/>
        <v>550</v>
      </c>
      <c r="M344" s="14" t="str">
        <f t="shared" si="42"/>
        <v>22-09-2024</v>
      </c>
      <c r="N344" s="14">
        <f t="shared" si="43"/>
        <v>0.15397535357226574</v>
      </c>
      <c r="O344" s="20">
        <f t="shared" si="44"/>
        <v>2.4984389593267378</v>
      </c>
      <c r="P344" s="14">
        <f t="shared" si="45"/>
        <v>483.59476533869366</v>
      </c>
      <c r="Q344" s="14">
        <f t="shared" si="46"/>
        <v>475.04570000000001</v>
      </c>
      <c r="R344" s="14" t="str">
        <f t="shared" si="47"/>
        <v>Sep</v>
      </c>
    </row>
    <row r="345" spans="1:18" x14ac:dyDescent="0.3">
      <c r="A345" t="s">
        <v>1954</v>
      </c>
      <c r="B345" s="1">
        <v>45623</v>
      </c>
      <c r="C345" t="s">
        <v>114</v>
      </c>
      <c r="D345" t="s">
        <v>1381</v>
      </c>
      <c r="E345" t="s">
        <v>1598</v>
      </c>
      <c r="F345">
        <v>3</v>
      </c>
      <c r="G345" s="14">
        <v>794.59</v>
      </c>
      <c r="H345" s="17">
        <v>0.03</v>
      </c>
      <c r="I345" t="s">
        <v>1611</v>
      </c>
      <c r="J345" s="14">
        <v>2312.2568999999999</v>
      </c>
      <c r="K345" s="14">
        <f t="shared" si="40"/>
        <v>560293.1240318846</v>
      </c>
      <c r="L345" s="14">
        <f t="shared" si="41"/>
        <v>550</v>
      </c>
      <c r="M345" s="14" t="str">
        <f t="shared" si="42"/>
        <v>27-11-2024</v>
      </c>
      <c r="N345" s="14">
        <f t="shared" si="43"/>
        <v>0.15398984019073839</v>
      </c>
      <c r="O345" s="20">
        <f t="shared" si="44"/>
        <v>2.4987401309033705</v>
      </c>
      <c r="P345" s="14">
        <f t="shared" si="45"/>
        <v>483.46840568028807</v>
      </c>
      <c r="Q345" s="14">
        <f t="shared" si="46"/>
        <v>777.46922499999994</v>
      </c>
      <c r="R345" s="14" t="str">
        <f t="shared" si="47"/>
        <v>Nov</v>
      </c>
    </row>
    <row r="346" spans="1:18" x14ac:dyDescent="0.3">
      <c r="A346" t="s">
        <v>1955</v>
      </c>
      <c r="B346" s="1">
        <v>45224</v>
      </c>
      <c r="C346" t="s">
        <v>67</v>
      </c>
      <c r="D346" t="s">
        <v>1385</v>
      </c>
      <c r="E346" t="s">
        <v>1571</v>
      </c>
      <c r="F346">
        <v>1</v>
      </c>
      <c r="G346" s="14">
        <v>907.95</v>
      </c>
      <c r="H346" s="17">
        <v>0.1</v>
      </c>
      <c r="I346" t="s">
        <v>1611</v>
      </c>
      <c r="J346" s="14">
        <v>817.15500000000009</v>
      </c>
      <c r="K346" s="14">
        <f t="shared" si="40"/>
        <v>560293.1240318846</v>
      </c>
      <c r="L346" s="14">
        <f t="shared" si="41"/>
        <v>550</v>
      </c>
      <c r="M346" s="14" t="str">
        <f t="shared" si="42"/>
        <v>25-10-2023</v>
      </c>
      <c r="N346" s="14">
        <f t="shared" si="43"/>
        <v>0.15406480381842325</v>
      </c>
      <c r="O346" s="20">
        <f t="shared" si="44"/>
        <v>2.4984370717322122</v>
      </c>
      <c r="P346" s="14">
        <f t="shared" si="45"/>
        <v>483.28030314442361</v>
      </c>
      <c r="Q346" s="14">
        <f t="shared" si="46"/>
        <v>431.55125000000004</v>
      </c>
      <c r="R346" s="14" t="str">
        <f t="shared" si="47"/>
        <v>Oct</v>
      </c>
    </row>
    <row r="347" spans="1:18" x14ac:dyDescent="0.3">
      <c r="A347" t="s">
        <v>1956</v>
      </c>
      <c r="B347" s="1">
        <v>45940</v>
      </c>
      <c r="C347" t="s">
        <v>911</v>
      </c>
      <c r="D347" t="s">
        <v>1433</v>
      </c>
      <c r="E347" t="s">
        <v>1537</v>
      </c>
      <c r="F347">
        <v>2</v>
      </c>
      <c r="G347" s="14">
        <v>660.81</v>
      </c>
      <c r="H347" s="17">
        <v>0.18</v>
      </c>
      <c r="I347" t="s">
        <v>1609</v>
      </c>
      <c r="J347" s="14">
        <v>1083.7284</v>
      </c>
      <c r="K347" s="14">
        <f t="shared" si="40"/>
        <v>560293.1240318846</v>
      </c>
      <c r="L347" s="14">
        <f t="shared" si="41"/>
        <v>550</v>
      </c>
      <c r="M347" s="14" t="str">
        <f t="shared" si="42"/>
        <v>10-10-2025</v>
      </c>
      <c r="N347" s="14">
        <f t="shared" si="43"/>
        <v>0.15409751089877316</v>
      </c>
      <c r="O347" s="20">
        <f t="shared" si="44"/>
        <v>2.4993435672384021</v>
      </c>
      <c r="P347" s="14">
        <f t="shared" si="45"/>
        <v>483.02339467687642</v>
      </c>
      <c r="Q347" s="14">
        <f t="shared" si="46"/>
        <v>436.67959999999994</v>
      </c>
      <c r="R347" s="14" t="str">
        <f t="shared" si="47"/>
        <v>Oct</v>
      </c>
    </row>
    <row r="348" spans="1:18" x14ac:dyDescent="0.3">
      <c r="A348" t="s">
        <v>1957</v>
      </c>
      <c r="B348" s="1">
        <v>45915</v>
      </c>
      <c r="C348" t="s">
        <v>227</v>
      </c>
      <c r="D348" t="s">
        <v>1435</v>
      </c>
      <c r="E348" t="s">
        <v>1567</v>
      </c>
      <c r="F348">
        <v>3</v>
      </c>
      <c r="G348" s="14">
        <v>564.94000000000005</v>
      </c>
      <c r="H348" s="17">
        <v>0.22</v>
      </c>
      <c r="I348" t="s">
        <v>1614</v>
      </c>
      <c r="J348" s="14">
        <v>1321.9595999999999</v>
      </c>
      <c r="K348" s="14">
        <f t="shared" si="40"/>
        <v>559209.39563188457</v>
      </c>
      <c r="L348" s="14">
        <f t="shared" si="41"/>
        <v>549</v>
      </c>
      <c r="M348" s="14" t="str">
        <f t="shared" si="42"/>
        <v>15-09-2025</v>
      </c>
      <c r="N348" s="14">
        <f t="shared" si="43"/>
        <v>0.15408183142595158</v>
      </c>
      <c r="O348" s="20">
        <f t="shared" si="44"/>
        <v>2.4996458333202658</v>
      </c>
      <c r="P348" s="14">
        <f t="shared" si="45"/>
        <v>482.91577566639029</v>
      </c>
      <c r="Q348" s="14">
        <f t="shared" si="46"/>
        <v>472.5299</v>
      </c>
      <c r="R348" s="14" t="str">
        <f t="shared" si="47"/>
        <v>Sep</v>
      </c>
    </row>
    <row r="349" spans="1:18" x14ac:dyDescent="0.3">
      <c r="A349" t="s">
        <v>1958</v>
      </c>
      <c r="B349" s="1">
        <v>45541</v>
      </c>
      <c r="C349" t="s">
        <v>205</v>
      </c>
      <c r="D349" t="s">
        <v>1363</v>
      </c>
      <c r="E349" t="s">
        <v>1586</v>
      </c>
      <c r="F349">
        <v>2</v>
      </c>
      <c r="G349" s="14">
        <v>280.37</v>
      </c>
      <c r="H349" s="17">
        <v>0.22</v>
      </c>
      <c r="I349" t="s">
        <v>1614</v>
      </c>
      <c r="J349" s="14">
        <v>437.37720000000002</v>
      </c>
      <c r="K349" s="14">
        <f t="shared" si="40"/>
        <v>559209.39563188457</v>
      </c>
      <c r="L349" s="14">
        <f t="shared" si="41"/>
        <v>549</v>
      </c>
      <c r="M349" s="14" t="str">
        <f t="shared" si="42"/>
        <v>06-09-2024</v>
      </c>
      <c r="N349" s="14">
        <f t="shared" si="43"/>
        <v>0.1540419052184567</v>
      </c>
      <c r="O349" s="20">
        <f t="shared" si="44"/>
        <v>2.4993427720442636</v>
      </c>
      <c r="P349" s="14">
        <f t="shared" si="45"/>
        <v>482.86609412530396</v>
      </c>
      <c r="Q349" s="14">
        <f t="shared" si="46"/>
        <v>179.99180000000001</v>
      </c>
      <c r="R349" s="14" t="str">
        <f t="shared" si="47"/>
        <v>Sep</v>
      </c>
    </row>
    <row r="350" spans="1:18" x14ac:dyDescent="0.3">
      <c r="A350" t="s">
        <v>1959</v>
      </c>
      <c r="B350" s="1">
        <v>45489</v>
      </c>
      <c r="C350" t="s">
        <v>1163</v>
      </c>
      <c r="D350" t="s">
        <v>1433</v>
      </c>
      <c r="E350" t="s">
        <v>1551</v>
      </c>
      <c r="F350">
        <v>2</v>
      </c>
      <c r="G350" s="14">
        <v>85.23</v>
      </c>
      <c r="H350" s="17">
        <v>0.13</v>
      </c>
      <c r="I350" t="s">
        <v>1609</v>
      </c>
      <c r="J350" s="14">
        <v>148.30019999999999</v>
      </c>
      <c r="K350" s="14">
        <f t="shared" si="40"/>
        <v>559209.39563188457</v>
      </c>
      <c r="L350" s="14">
        <f t="shared" si="41"/>
        <v>549</v>
      </c>
      <c r="M350" s="14" t="str">
        <f t="shared" si="42"/>
        <v>16-07-2024</v>
      </c>
      <c r="N350" s="14">
        <f t="shared" si="43"/>
        <v>0.15400193061555881</v>
      </c>
      <c r="O350" s="20">
        <f t="shared" si="44"/>
        <v>2.4996454040273206</v>
      </c>
      <c r="P350" s="14">
        <f t="shared" si="45"/>
        <v>482.98881903083446</v>
      </c>
      <c r="Q350" s="14">
        <f t="shared" si="46"/>
        <v>58.915049999999994</v>
      </c>
      <c r="R350" s="14" t="str">
        <f t="shared" si="47"/>
        <v>Jul</v>
      </c>
    </row>
    <row r="351" spans="1:18" x14ac:dyDescent="0.3">
      <c r="A351" t="s">
        <v>1960</v>
      </c>
      <c r="B351" s="1">
        <v>45748</v>
      </c>
      <c r="C351" t="s">
        <v>984</v>
      </c>
      <c r="D351" t="s">
        <v>1387</v>
      </c>
      <c r="E351" t="s">
        <v>1582</v>
      </c>
      <c r="F351">
        <v>2</v>
      </c>
      <c r="G351" s="14">
        <v>563.29999999999995</v>
      </c>
      <c r="H351" s="17">
        <v>0.26</v>
      </c>
      <c r="I351" t="s">
        <v>1609</v>
      </c>
      <c r="J351" s="14">
        <v>833.68399999999997</v>
      </c>
      <c r="K351" s="14">
        <f t="shared" si="40"/>
        <v>559061.09543188463</v>
      </c>
      <c r="L351" s="14">
        <f t="shared" si="41"/>
        <v>548</v>
      </c>
      <c r="M351" s="14" t="str">
        <f t="shared" si="42"/>
        <v>01-04-2025</v>
      </c>
      <c r="N351" s="14">
        <f t="shared" si="43"/>
        <v>0.1540164860616568</v>
      </c>
      <c r="O351" s="20">
        <f t="shared" si="44"/>
        <v>2.4999484030594776</v>
      </c>
      <c r="P351" s="14">
        <f t="shared" si="45"/>
        <v>483.23003117093805</v>
      </c>
      <c r="Q351" s="14">
        <f t="shared" si="46"/>
        <v>349.81099999999998</v>
      </c>
      <c r="R351" s="14" t="str">
        <f t="shared" si="47"/>
        <v>Apr</v>
      </c>
    </row>
    <row r="352" spans="1:18" x14ac:dyDescent="0.3">
      <c r="A352" t="s">
        <v>1961</v>
      </c>
      <c r="B352" s="1">
        <v>45309</v>
      </c>
      <c r="C352" t="s">
        <v>134</v>
      </c>
      <c r="D352" t="s">
        <v>1493</v>
      </c>
      <c r="E352" t="s">
        <v>1595</v>
      </c>
      <c r="F352">
        <v>2</v>
      </c>
      <c r="G352" s="14">
        <v>827.81</v>
      </c>
      <c r="H352" s="17">
        <v>0.04</v>
      </c>
      <c r="I352" t="s">
        <v>1611</v>
      </c>
      <c r="J352" s="14">
        <v>1589.3951999999999</v>
      </c>
      <c r="K352" s="14">
        <f t="shared" si="40"/>
        <v>558227.41143188474</v>
      </c>
      <c r="L352" s="14">
        <f t="shared" si="41"/>
        <v>547</v>
      </c>
      <c r="M352" s="14" t="str">
        <f t="shared" si="42"/>
        <v>18-01-2024</v>
      </c>
      <c r="N352" s="14">
        <f t="shared" si="43"/>
        <v>0.15395217567698546</v>
      </c>
      <c r="O352" s="20">
        <f t="shared" si="44"/>
        <v>2.5002517698089064</v>
      </c>
      <c r="P352" s="14">
        <f t="shared" si="45"/>
        <v>483.18144502480391</v>
      </c>
      <c r="Q352" s="14">
        <f t="shared" si="46"/>
        <v>604.81129999999996</v>
      </c>
      <c r="R352" s="14" t="str">
        <f t="shared" si="47"/>
        <v>Jan</v>
      </c>
    </row>
    <row r="353" spans="1:18" x14ac:dyDescent="0.3">
      <c r="A353" t="s">
        <v>1962</v>
      </c>
      <c r="B353" s="1">
        <v>45621</v>
      </c>
      <c r="C353" t="s">
        <v>696</v>
      </c>
      <c r="D353" t="s">
        <v>1357</v>
      </c>
      <c r="E353" t="s">
        <v>1595</v>
      </c>
      <c r="F353">
        <v>3</v>
      </c>
      <c r="G353" s="14">
        <v>877.71</v>
      </c>
      <c r="H353" s="17">
        <v>0.12</v>
      </c>
      <c r="I353" t="s">
        <v>1611</v>
      </c>
      <c r="J353" s="14">
        <v>2317.1543999999999</v>
      </c>
      <c r="K353" s="14">
        <f t="shared" si="40"/>
        <v>558227.41143188474</v>
      </c>
      <c r="L353" s="14">
        <f t="shared" si="41"/>
        <v>547</v>
      </c>
      <c r="M353" s="14" t="str">
        <f t="shared" si="42"/>
        <v>25-11-2024</v>
      </c>
      <c r="N353" s="14">
        <f t="shared" si="43"/>
        <v>0.15402136339749364</v>
      </c>
      <c r="O353" s="20">
        <f t="shared" si="44"/>
        <v>2.5005555049454027</v>
      </c>
      <c r="P353" s="14">
        <f t="shared" si="45"/>
        <v>482.97219878620331</v>
      </c>
      <c r="Q353" s="14">
        <f t="shared" si="46"/>
        <v>799.49609999999996</v>
      </c>
      <c r="R353" s="14" t="str">
        <f t="shared" si="47"/>
        <v>Nov</v>
      </c>
    </row>
    <row r="354" spans="1:18" x14ac:dyDescent="0.3">
      <c r="A354" t="s">
        <v>1963</v>
      </c>
      <c r="B354" s="1">
        <v>45603</v>
      </c>
      <c r="C354" t="s">
        <v>821</v>
      </c>
      <c r="D354" t="s">
        <v>1447</v>
      </c>
      <c r="E354" t="s">
        <v>1571</v>
      </c>
      <c r="F354">
        <v>4</v>
      </c>
      <c r="G354" s="14">
        <v>488.56</v>
      </c>
      <c r="H354" s="17">
        <v>0.26</v>
      </c>
      <c r="I354" t="s">
        <v>1614</v>
      </c>
      <c r="J354" s="14">
        <v>1446.1376</v>
      </c>
      <c r="K354" s="14">
        <f t="shared" si="40"/>
        <v>558227.41143188474</v>
      </c>
      <c r="L354" s="14">
        <f t="shared" si="41"/>
        <v>547</v>
      </c>
      <c r="M354" s="14" t="str">
        <f t="shared" si="42"/>
        <v>07-11-2024</v>
      </c>
      <c r="N354" s="14">
        <f t="shared" si="43"/>
        <v>0.15404203251255894</v>
      </c>
      <c r="O354" s="20">
        <f t="shared" si="44"/>
        <v>2.5002520757260496</v>
      </c>
      <c r="P354" s="14">
        <f t="shared" si="45"/>
        <v>482.73238238206369</v>
      </c>
      <c r="Q354" s="14">
        <f t="shared" si="46"/>
        <v>484.73939999999999</v>
      </c>
      <c r="R354" s="14" t="str">
        <f t="shared" si="47"/>
        <v>Nov</v>
      </c>
    </row>
    <row r="355" spans="1:18" x14ac:dyDescent="0.3">
      <c r="A355" t="s">
        <v>1964</v>
      </c>
      <c r="B355" s="1">
        <v>45501</v>
      </c>
      <c r="C355" t="s">
        <v>369</v>
      </c>
      <c r="D355" t="s">
        <v>1383</v>
      </c>
      <c r="E355" t="s">
        <v>1579</v>
      </c>
      <c r="F355">
        <v>4</v>
      </c>
      <c r="G355" s="14">
        <v>175.91</v>
      </c>
      <c r="H355" s="17">
        <v>0.13</v>
      </c>
      <c r="I355" t="s">
        <v>1611</v>
      </c>
      <c r="J355" s="14">
        <v>612.16679999999997</v>
      </c>
      <c r="K355" s="14">
        <f t="shared" si="40"/>
        <v>558227.41143188474</v>
      </c>
      <c r="L355" s="14">
        <f t="shared" si="41"/>
        <v>547</v>
      </c>
      <c r="M355" s="14" t="str">
        <f t="shared" si="42"/>
        <v>28-07-2024</v>
      </c>
      <c r="N355" s="14">
        <f t="shared" si="43"/>
        <v>0.15397762037426871</v>
      </c>
      <c r="O355" s="20">
        <f t="shared" si="44"/>
        <v>2.4993403748602301</v>
      </c>
      <c r="P355" s="14">
        <f t="shared" si="45"/>
        <v>482.72883975737193</v>
      </c>
      <c r="Q355" s="14">
        <f t="shared" si="46"/>
        <v>198.05169999999998</v>
      </c>
      <c r="R355" s="14" t="str">
        <f t="shared" si="47"/>
        <v>Jul</v>
      </c>
    </row>
    <row r="356" spans="1:18" x14ac:dyDescent="0.3">
      <c r="A356" t="s">
        <v>1965</v>
      </c>
      <c r="B356" s="1">
        <v>45398</v>
      </c>
      <c r="C356" t="s">
        <v>794</v>
      </c>
      <c r="D356" t="s">
        <v>1507</v>
      </c>
      <c r="E356" t="s">
        <v>1567</v>
      </c>
      <c r="F356">
        <v>4</v>
      </c>
      <c r="G356" s="14">
        <v>289.66000000000003</v>
      </c>
      <c r="H356" s="17">
        <v>0.25</v>
      </c>
      <c r="I356" t="s">
        <v>1614</v>
      </c>
      <c r="J356" s="14">
        <v>868.98</v>
      </c>
      <c r="K356" s="14">
        <f t="shared" si="40"/>
        <v>558227.41143188474</v>
      </c>
      <c r="L356" s="14">
        <f t="shared" si="41"/>
        <v>547</v>
      </c>
      <c r="M356" s="14" t="str">
        <f t="shared" si="42"/>
        <v>16-04-2024</v>
      </c>
      <c r="N356" s="14">
        <f t="shared" si="43"/>
        <v>0.15399220530150368</v>
      </c>
      <c r="O356" s="20">
        <f t="shared" si="44"/>
        <v>2.4984275648692695</v>
      </c>
      <c r="P356" s="14">
        <f t="shared" si="45"/>
        <v>482.91546922194453</v>
      </c>
      <c r="Q356" s="14">
        <f t="shared" si="46"/>
        <v>290.72250000000003</v>
      </c>
      <c r="R356" s="14" t="str">
        <f t="shared" si="47"/>
        <v>Apr</v>
      </c>
    </row>
    <row r="357" spans="1:18" x14ac:dyDescent="0.3">
      <c r="A357" t="s">
        <v>1966</v>
      </c>
      <c r="B357" s="1">
        <v>45304</v>
      </c>
      <c r="C357" t="s">
        <v>773</v>
      </c>
      <c r="D357" t="s">
        <v>1363</v>
      </c>
      <c r="E357" t="s">
        <v>1586</v>
      </c>
      <c r="F357">
        <v>2</v>
      </c>
      <c r="G357" s="14">
        <v>899.27</v>
      </c>
      <c r="H357" s="17">
        <v>0.17</v>
      </c>
      <c r="I357" t="s">
        <v>1609</v>
      </c>
      <c r="J357" s="14">
        <v>1492.7882</v>
      </c>
      <c r="K357" s="14">
        <f t="shared" si="40"/>
        <v>558227.41143188474</v>
      </c>
      <c r="L357" s="14">
        <f t="shared" si="41"/>
        <v>547</v>
      </c>
      <c r="M357" s="14" t="str">
        <f t="shared" si="42"/>
        <v>13-01-2024</v>
      </c>
      <c r="N357" s="14">
        <f t="shared" si="43"/>
        <v>0.15393377085555207</v>
      </c>
      <c r="O357" s="20">
        <f t="shared" si="44"/>
        <v>2.4975136437279848</v>
      </c>
      <c r="P357" s="14">
        <f t="shared" si="45"/>
        <v>483.03309275768521</v>
      </c>
      <c r="Q357" s="14">
        <f t="shared" si="46"/>
        <v>598.55705</v>
      </c>
      <c r="R357" s="14" t="str">
        <f t="shared" si="47"/>
        <v>Jan</v>
      </c>
    </row>
    <row r="358" spans="1:18" x14ac:dyDescent="0.3">
      <c r="A358" t="s">
        <v>1967</v>
      </c>
      <c r="B358" s="1">
        <v>45299</v>
      </c>
      <c r="C358" t="s">
        <v>241</v>
      </c>
      <c r="D358" t="s">
        <v>1369</v>
      </c>
      <c r="E358" t="s">
        <v>1542</v>
      </c>
      <c r="F358">
        <v>1</v>
      </c>
      <c r="G358" s="14">
        <v>691.38</v>
      </c>
      <c r="H358" s="17">
        <v>0.11</v>
      </c>
      <c r="I358" t="s">
        <v>1614</v>
      </c>
      <c r="J358" s="14">
        <v>615.32820000000004</v>
      </c>
      <c r="K358" s="14">
        <f t="shared" si="40"/>
        <v>556734.62323188479</v>
      </c>
      <c r="L358" s="14">
        <f t="shared" si="41"/>
        <v>546</v>
      </c>
      <c r="M358" s="14" t="str">
        <f t="shared" si="42"/>
        <v>08-01-2024</v>
      </c>
      <c r="N358" s="14">
        <f t="shared" si="43"/>
        <v>0.153923986306743</v>
      </c>
      <c r="O358" s="20">
        <f t="shared" si="44"/>
        <v>2.4978166362028493</v>
      </c>
      <c r="P358" s="14">
        <f t="shared" si="45"/>
        <v>482.77959890430992</v>
      </c>
      <c r="Q358" s="14">
        <f t="shared" si="46"/>
        <v>326.95455000000004</v>
      </c>
      <c r="R358" s="14" t="str">
        <f t="shared" si="47"/>
        <v>Jan</v>
      </c>
    </row>
    <row r="359" spans="1:18" x14ac:dyDescent="0.3">
      <c r="A359" t="s">
        <v>1968</v>
      </c>
      <c r="B359" s="1">
        <v>45564</v>
      </c>
      <c r="C359" t="s">
        <v>550</v>
      </c>
      <c r="D359" t="s">
        <v>1387</v>
      </c>
      <c r="E359" t="s">
        <v>1537</v>
      </c>
      <c r="F359">
        <v>3</v>
      </c>
      <c r="G359" s="14">
        <v>158.72</v>
      </c>
      <c r="H359" s="17">
        <v>0.13</v>
      </c>
      <c r="I359" t="s">
        <v>1609</v>
      </c>
      <c r="J359" s="14">
        <v>414.25920000000002</v>
      </c>
      <c r="K359" s="14">
        <f t="shared" si="40"/>
        <v>556734.62323188479</v>
      </c>
      <c r="L359" s="14">
        <f t="shared" si="41"/>
        <v>546</v>
      </c>
      <c r="M359" s="14" t="str">
        <f t="shared" si="42"/>
        <v>29-09-2024</v>
      </c>
      <c r="N359" s="14">
        <f t="shared" si="43"/>
        <v>0.15395075290412677</v>
      </c>
      <c r="O359" s="20">
        <f t="shared" si="44"/>
        <v>2.4987293824771957</v>
      </c>
      <c r="P359" s="14">
        <f t="shared" si="45"/>
        <v>482.65248104867572</v>
      </c>
      <c r="Q359" s="14">
        <f t="shared" si="46"/>
        <v>144.0273</v>
      </c>
      <c r="R359" s="14" t="str">
        <f t="shared" si="47"/>
        <v>Sep</v>
      </c>
    </row>
    <row r="360" spans="1:18" x14ac:dyDescent="0.3">
      <c r="A360" t="s">
        <v>1969</v>
      </c>
      <c r="B360" s="1">
        <v>45413</v>
      </c>
      <c r="C360" t="s">
        <v>684</v>
      </c>
      <c r="D360" t="s">
        <v>1453</v>
      </c>
      <c r="E360" t="s">
        <v>1589</v>
      </c>
      <c r="F360">
        <v>4</v>
      </c>
      <c r="G360" s="14">
        <v>537.15</v>
      </c>
      <c r="H360" s="17">
        <v>0.06</v>
      </c>
      <c r="I360" t="s">
        <v>1614</v>
      </c>
      <c r="J360" s="14">
        <v>2019.684</v>
      </c>
      <c r="K360" s="14">
        <f t="shared" si="40"/>
        <v>556320.36403188482</v>
      </c>
      <c r="L360" s="14">
        <f t="shared" si="41"/>
        <v>545</v>
      </c>
      <c r="M360" s="14" t="str">
        <f t="shared" si="42"/>
        <v>01-05-2024</v>
      </c>
      <c r="N360" s="14">
        <f t="shared" si="43"/>
        <v>0.15396535702175124</v>
      </c>
      <c r="O360" s="20">
        <f t="shared" si="44"/>
        <v>2.4984237296616327</v>
      </c>
      <c r="P360" s="14">
        <f t="shared" si="45"/>
        <v>482.85000085419318</v>
      </c>
      <c r="Q360" s="14">
        <f t="shared" si="46"/>
        <v>640.22349999999994</v>
      </c>
      <c r="R360" s="14" t="str">
        <f t="shared" si="47"/>
        <v>May</v>
      </c>
    </row>
    <row r="361" spans="1:18" x14ac:dyDescent="0.3">
      <c r="A361" t="s">
        <v>1970</v>
      </c>
      <c r="B361" s="1">
        <v>45480</v>
      </c>
      <c r="C361" t="s">
        <v>1238</v>
      </c>
      <c r="D361" t="s">
        <v>1415</v>
      </c>
      <c r="E361" t="s">
        <v>1571</v>
      </c>
      <c r="F361">
        <v>3</v>
      </c>
      <c r="G361" s="14">
        <v>771.7</v>
      </c>
      <c r="H361" s="17">
        <v>0.05</v>
      </c>
      <c r="I361" t="s">
        <v>1614</v>
      </c>
      <c r="J361" s="14">
        <v>2199.3449999999998</v>
      </c>
      <c r="K361" s="14">
        <f t="shared" si="40"/>
        <v>556320.36403188482</v>
      </c>
      <c r="L361" s="14">
        <f t="shared" si="41"/>
        <v>545</v>
      </c>
      <c r="M361" s="14" t="str">
        <f t="shared" si="42"/>
        <v>07-07-2024</v>
      </c>
      <c r="N361" s="14">
        <f t="shared" si="43"/>
        <v>0.15402268792902504</v>
      </c>
      <c r="O361" s="20">
        <f t="shared" si="44"/>
        <v>2.4975075757444043</v>
      </c>
      <c r="P361" s="14">
        <f t="shared" si="45"/>
        <v>482.81687089742331</v>
      </c>
      <c r="Q361" s="14">
        <f t="shared" si="46"/>
        <v>743.52374999999995</v>
      </c>
      <c r="R361" s="14" t="str">
        <f t="shared" si="47"/>
        <v>Jul</v>
      </c>
    </row>
    <row r="362" spans="1:18" x14ac:dyDescent="0.3">
      <c r="A362" t="s">
        <v>1971</v>
      </c>
      <c r="B362" s="1">
        <v>45610</v>
      </c>
      <c r="C362" t="s">
        <v>381</v>
      </c>
      <c r="D362" t="s">
        <v>1509</v>
      </c>
      <c r="E362" t="s">
        <v>1542</v>
      </c>
      <c r="F362">
        <v>4</v>
      </c>
      <c r="G362" s="14">
        <v>677.25</v>
      </c>
      <c r="H362" s="17">
        <v>0.14000000000000001</v>
      </c>
      <c r="I362" t="s">
        <v>1611</v>
      </c>
      <c r="J362" s="14">
        <v>2329.7399999999998</v>
      </c>
      <c r="K362" s="14">
        <f t="shared" si="40"/>
        <v>556320.36403188482</v>
      </c>
      <c r="L362" s="14">
        <f t="shared" si="41"/>
        <v>545</v>
      </c>
      <c r="M362" s="14" t="str">
        <f t="shared" si="42"/>
        <v>14-11-2024</v>
      </c>
      <c r="N362" s="14">
        <f t="shared" si="43"/>
        <v>0.15408619384351163</v>
      </c>
      <c r="O362" s="20">
        <f t="shared" si="44"/>
        <v>2.4972008038126243</v>
      </c>
      <c r="P362" s="14">
        <f t="shared" si="45"/>
        <v>482.64050757074284</v>
      </c>
      <c r="Q362" s="14">
        <f t="shared" si="46"/>
        <v>752.78249999999991</v>
      </c>
      <c r="R362" s="14" t="str">
        <f t="shared" si="47"/>
        <v>Nov</v>
      </c>
    </row>
    <row r="363" spans="1:18" x14ac:dyDescent="0.3">
      <c r="A363" t="s">
        <v>1972</v>
      </c>
      <c r="B363" s="1">
        <v>45763</v>
      </c>
      <c r="C363" t="s">
        <v>363</v>
      </c>
      <c r="D363" t="s">
        <v>1529</v>
      </c>
      <c r="E363" t="s">
        <v>1577</v>
      </c>
      <c r="F363">
        <v>1</v>
      </c>
      <c r="G363" s="14">
        <v>645.48</v>
      </c>
      <c r="H363" s="17">
        <v>0.26</v>
      </c>
      <c r="I363" t="s">
        <v>1614</v>
      </c>
      <c r="J363" s="14">
        <v>477.65519999999998</v>
      </c>
      <c r="K363" s="14">
        <f t="shared" si="40"/>
        <v>556320.36403188482</v>
      </c>
      <c r="L363" s="14">
        <f t="shared" si="41"/>
        <v>545</v>
      </c>
      <c r="M363" s="14" t="str">
        <f t="shared" si="42"/>
        <v>16-04-2025</v>
      </c>
      <c r="N363" s="14">
        <f t="shared" si="43"/>
        <v>0.15409479872673917</v>
      </c>
      <c r="O363" s="20">
        <f t="shared" si="44"/>
        <v>2.4962827835339509</v>
      </c>
      <c r="P363" s="14">
        <f t="shared" si="45"/>
        <v>482.52162577939941</v>
      </c>
      <c r="Q363" s="14">
        <f t="shared" si="46"/>
        <v>281.09879999999998</v>
      </c>
      <c r="R363" s="14" t="str">
        <f t="shared" si="47"/>
        <v>Apr</v>
      </c>
    </row>
    <row r="364" spans="1:18" x14ac:dyDescent="0.3">
      <c r="A364" t="s">
        <v>1973</v>
      </c>
      <c r="B364" s="1">
        <v>45856</v>
      </c>
      <c r="C364" t="s">
        <v>1127</v>
      </c>
      <c r="D364" t="s">
        <v>1479</v>
      </c>
      <c r="E364" t="s">
        <v>1546</v>
      </c>
      <c r="F364">
        <v>2</v>
      </c>
      <c r="G364" s="14">
        <v>934</v>
      </c>
      <c r="H364" s="17">
        <v>0.3</v>
      </c>
      <c r="I364" t="s">
        <v>1614</v>
      </c>
      <c r="J364" s="14">
        <v>1307.5999999999999</v>
      </c>
      <c r="K364" s="14">
        <f t="shared" si="40"/>
        <v>556320.36403188482</v>
      </c>
      <c r="L364" s="14">
        <f t="shared" si="41"/>
        <v>545</v>
      </c>
      <c r="M364" s="14" t="str">
        <f t="shared" si="42"/>
        <v>18-07-2025</v>
      </c>
      <c r="N364" s="14">
        <f t="shared" si="43"/>
        <v>0.15403006449613205</v>
      </c>
      <c r="O364" s="20">
        <f t="shared" si="44"/>
        <v>2.4971973818123949</v>
      </c>
      <c r="P364" s="14">
        <f t="shared" si="45"/>
        <v>482.42201797119611</v>
      </c>
      <c r="Q364" s="14">
        <f t="shared" si="46"/>
        <v>560.97499999999991</v>
      </c>
      <c r="R364" s="14" t="str">
        <f t="shared" si="47"/>
        <v>Jul</v>
      </c>
    </row>
    <row r="365" spans="1:18" x14ac:dyDescent="0.3">
      <c r="A365" t="s">
        <v>1974</v>
      </c>
      <c r="B365" s="1">
        <v>45712</v>
      </c>
      <c r="C365" t="s">
        <v>1050</v>
      </c>
      <c r="D365" t="s">
        <v>1425</v>
      </c>
      <c r="E365" t="s">
        <v>1546</v>
      </c>
      <c r="F365">
        <v>1</v>
      </c>
      <c r="G365" s="14">
        <v>669.53</v>
      </c>
      <c r="H365" s="17">
        <v>0.2</v>
      </c>
      <c r="I365" t="s">
        <v>1609</v>
      </c>
      <c r="J365" s="14">
        <v>535.62400000000002</v>
      </c>
      <c r="K365" s="14">
        <f t="shared" si="40"/>
        <v>556320.36403188482</v>
      </c>
      <c r="L365" s="14">
        <f t="shared" si="41"/>
        <v>545</v>
      </c>
      <c r="M365" s="14" t="str">
        <f t="shared" si="42"/>
        <v>24-02-2025</v>
      </c>
      <c r="N365" s="14">
        <f t="shared" si="43"/>
        <v>0.15394078624811744</v>
      </c>
      <c r="O365" s="20">
        <f t="shared" si="44"/>
        <v>2.4975014780703844</v>
      </c>
      <c r="P365" s="14">
        <f t="shared" si="45"/>
        <v>482.14582348677487</v>
      </c>
      <c r="Q365" s="14">
        <f t="shared" si="46"/>
        <v>301.58850000000001</v>
      </c>
      <c r="R365" s="14" t="str">
        <f t="shared" si="47"/>
        <v>Feb</v>
      </c>
    </row>
    <row r="366" spans="1:18" x14ac:dyDescent="0.3">
      <c r="A366" t="s">
        <v>1975</v>
      </c>
      <c r="B366" s="1">
        <v>45723</v>
      </c>
      <c r="C366" t="s">
        <v>702</v>
      </c>
      <c r="D366" t="s">
        <v>1403</v>
      </c>
      <c r="E366" t="s">
        <v>1595</v>
      </c>
      <c r="F366">
        <v>1</v>
      </c>
      <c r="G366" s="14">
        <v>213.69</v>
      </c>
      <c r="H366" s="17">
        <v>0.28000000000000003</v>
      </c>
      <c r="I366" t="s">
        <v>1614</v>
      </c>
      <c r="J366" s="14">
        <v>153.85679999999999</v>
      </c>
      <c r="K366" s="14">
        <f t="shared" si="40"/>
        <v>555784.74003188463</v>
      </c>
      <c r="L366" s="14">
        <f t="shared" si="41"/>
        <v>544</v>
      </c>
      <c r="M366" s="14" t="str">
        <f t="shared" si="42"/>
        <v>07-03-2025</v>
      </c>
      <c r="N366" s="14">
        <f t="shared" si="43"/>
        <v>0.15391259823480541</v>
      </c>
      <c r="O366" s="20">
        <f t="shared" si="44"/>
        <v>2.4984179416432548</v>
      </c>
      <c r="P366" s="14">
        <f t="shared" si="45"/>
        <v>482.03114528817434</v>
      </c>
      <c r="Q366" s="14">
        <f t="shared" si="46"/>
        <v>92.206699999999998</v>
      </c>
      <c r="R366" s="14" t="str">
        <f t="shared" si="47"/>
        <v>Mar</v>
      </c>
    </row>
    <row r="367" spans="1:18" x14ac:dyDescent="0.3">
      <c r="A367" t="s">
        <v>1976</v>
      </c>
      <c r="B367" s="1">
        <v>45706</v>
      </c>
      <c r="C367" t="s">
        <v>281</v>
      </c>
      <c r="D367" t="s">
        <v>1375</v>
      </c>
      <c r="E367" t="s">
        <v>1598</v>
      </c>
      <c r="F367">
        <v>2</v>
      </c>
      <c r="G367" s="14">
        <v>99.1</v>
      </c>
      <c r="H367" s="17">
        <v>0.2</v>
      </c>
      <c r="I367" t="s">
        <v>1611</v>
      </c>
      <c r="J367" s="14">
        <v>158.56</v>
      </c>
      <c r="K367" s="14">
        <f t="shared" si="40"/>
        <v>555784.74003188463</v>
      </c>
      <c r="L367" s="14">
        <f t="shared" si="41"/>
        <v>544</v>
      </c>
      <c r="M367" s="14" t="str">
        <f t="shared" si="42"/>
        <v>18-02-2025</v>
      </c>
      <c r="N367" s="14">
        <f t="shared" si="43"/>
        <v>0.15383538610880101</v>
      </c>
      <c r="O367" s="20">
        <f t="shared" si="44"/>
        <v>2.4993355276454858</v>
      </c>
      <c r="P367" s="14">
        <f t="shared" si="45"/>
        <v>482.19546932080641</v>
      </c>
      <c r="Q367" s="14">
        <f t="shared" si="46"/>
        <v>64.965000000000003</v>
      </c>
      <c r="R367" s="14" t="str">
        <f t="shared" si="47"/>
        <v>Feb</v>
      </c>
    </row>
    <row r="368" spans="1:18" x14ac:dyDescent="0.3">
      <c r="A368" t="s">
        <v>1977</v>
      </c>
      <c r="B368" s="1">
        <v>45469</v>
      </c>
      <c r="C368" t="s">
        <v>1157</v>
      </c>
      <c r="D368" t="s">
        <v>1407</v>
      </c>
      <c r="E368" t="s">
        <v>1589</v>
      </c>
      <c r="F368">
        <v>1</v>
      </c>
      <c r="G368" s="14">
        <v>628.98</v>
      </c>
      <c r="H368" s="17">
        <v>0.03</v>
      </c>
      <c r="I368" t="s">
        <v>1614</v>
      </c>
      <c r="J368" s="14">
        <v>610.11059999999998</v>
      </c>
      <c r="K368" s="14">
        <f t="shared" si="40"/>
        <v>555784.74003188463</v>
      </c>
      <c r="L368" s="14">
        <f t="shared" si="41"/>
        <v>544</v>
      </c>
      <c r="M368" s="14" t="str">
        <f t="shared" si="42"/>
        <v>26-06-2024</v>
      </c>
      <c r="N368" s="14">
        <f t="shared" si="43"/>
        <v>0.15380709896793629</v>
      </c>
      <c r="O368" s="20">
        <f t="shared" si="44"/>
        <v>2.4996414930423274</v>
      </c>
      <c r="P368" s="14">
        <f t="shared" si="45"/>
        <v>482.4302091917138</v>
      </c>
      <c r="Q368" s="14">
        <f t="shared" si="46"/>
        <v>310.03014999999999</v>
      </c>
      <c r="R368" s="14" t="str">
        <f t="shared" si="47"/>
        <v>Jun</v>
      </c>
    </row>
    <row r="369" spans="1:18" x14ac:dyDescent="0.3">
      <c r="A369" t="s">
        <v>1978</v>
      </c>
      <c r="B369" s="1">
        <v>45711</v>
      </c>
      <c r="C369" t="s">
        <v>307</v>
      </c>
      <c r="D369" t="s">
        <v>1501</v>
      </c>
      <c r="E369" t="s">
        <v>1554</v>
      </c>
      <c r="F369">
        <v>3</v>
      </c>
      <c r="G369" s="14">
        <v>944.64</v>
      </c>
      <c r="H369" s="17">
        <v>0.26</v>
      </c>
      <c r="I369" t="s">
        <v>1609</v>
      </c>
      <c r="J369" s="14">
        <v>2097.1008000000002</v>
      </c>
      <c r="K369" s="14">
        <f t="shared" si="40"/>
        <v>555784.74003188463</v>
      </c>
      <c r="L369" s="14">
        <f t="shared" si="41"/>
        <v>544</v>
      </c>
      <c r="M369" s="14" t="str">
        <f t="shared" si="42"/>
        <v>23-02-2025</v>
      </c>
      <c r="N369" s="14">
        <f t="shared" si="43"/>
        <v>0.15388300767361865</v>
      </c>
      <c r="O369" s="20">
        <f t="shared" si="44"/>
        <v>2.5005609544114522</v>
      </c>
      <c r="P369" s="14">
        <f t="shared" si="45"/>
        <v>482.34035646896194</v>
      </c>
      <c r="Q369" s="14">
        <f t="shared" si="46"/>
        <v>761.25020000000006</v>
      </c>
      <c r="R369" s="14" t="str">
        <f t="shared" si="47"/>
        <v>Feb</v>
      </c>
    </row>
    <row r="370" spans="1:18" x14ac:dyDescent="0.3">
      <c r="A370" t="s">
        <v>1979</v>
      </c>
      <c r="B370" s="1">
        <v>45823</v>
      </c>
      <c r="C370" t="s">
        <v>1292</v>
      </c>
      <c r="D370" t="s">
        <v>1519</v>
      </c>
      <c r="E370" t="s">
        <v>1579</v>
      </c>
      <c r="F370">
        <v>2</v>
      </c>
      <c r="G370" s="14">
        <v>121.7</v>
      </c>
      <c r="H370" s="17">
        <v>0.06</v>
      </c>
      <c r="I370" t="s">
        <v>1614</v>
      </c>
      <c r="J370" s="14">
        <v>228.79599999999999</v>
      </c>
      <c r="K370" s="14">
        <f t="shared" si="40"/>
        <v>553687.6392318845</v>
      </c>
      <c r="L370" s="14">
        <f t="shared" si="41"/>
        <v>543</v>
      </c>
      <c r="M370" s="14" t="str">
        <f t="shared" si="42"/>
        <v>15-06-2025</v>
      </c>
      <c r="N370" s="14">
        <f t="shared" si="43"/>
        <v>0.15381790522433866</v>
      </c>
      <c r="O370" s="20">
        <f t="shared" si="44"/>
        <v>2.500254550089005</v>
      </c>
      <c r="P370" s="14">
        <f t="shared" si="45"/>
        <v>482.05673705575271</v>
      </c>
      <c r="Q370" s="14">
        <f t="shared" si="46"/>
        <v>88.138999999999996</v>
      </c>
      <c r="R370" s="14" t="str">
        <f t="shared" si="47"/>
        <v>Jun</v>
      </c>
    </row>
    <row r="371" spans="1:18" x14ac:dyDescent="0.3">
      <c r="A371" t="s">
        <v>1980</v>
      </c>
      <c r="B371" s="1">
        <v>45217</v>
      </c>
      <c r="C371" t="s">
        <v>1269</v>
      </c>
      <c r="D371" t="s">
        <v>1463</v>
      </c>
      <c r="E371" t="s">
        <v>1551</v>
      </c>
      <c r="F371">
        <v>4</v>
      </c>
      <c r="G371" s="14">
        <v>269.49</v>
      </c>
      <c r="H371" s="17">
        <v>7.0000000000000007E-2</v>
      </c>
      <c r="I371" t="s">
        <v>1611</v>
      </c>
      <c r="J371" s="14">
        <v>1002.5028</v>
      </c>
      <c r="K371" s="14">
        <f t="shared" si="40"/>
        <v>553687.6392318845</v>
      </c>
      <c r="L371" s="14">
        <f t="shared" si="41"/>
        <v>543</v>
      </c>
      <c r="M371" s="14" t="str">
        <f t="shared" si="42"/>
        <v>18-10-2023</v>
      </c>
      <c r="N371" s="14">
        <f t="shared" si="43"/>
        <v>0.15387549755412649</v>
      </c>
      <c r="O371" s="20">
        <f t="shared" si="44"/>
        <v>2.5005616431215949</v>
      </c>
      <c r="P371" s="14">
        <f t="shared" si="45"/>
        <v>482.27795052233074</v>
      </c>
      <c r="Q371" s="14">
        <f t="shared" si="46"/>
        <v>319.01569999999998</v>
      </c>
      <c r="R371" s="14" t="str">
        <f t="shared" si="47"/>
        <v>Oct</v>
      </c>
    </row>
    <row r="372" spans="1:18" x14ac:dyDescent="0.3">
      <c r="A372" t="s">
        <v>1981</v>
      </c>
      <c r="B372" s="1">
        <v>45733</v>
      </c>
      <c r="C372" t="s">
        <v>353</v>
      </c>
      <c r="D372" t="s">
        <v>1377</v>
      </c>
      <c r="E372" t="s">
        <v>1595</v>
      </c>
      <c r="F372">
        <v>1</v>
      </c>
      <c r="G372" s="14">
        <v>678.2</v>
      </c>
      <c r="H372" s="17">
        <v>0.14000000000000001</v>
      </c>
      <c r="I372" t="s">
        <v>1609</v>
      </c>
      <c r="J372" s="14">
        <v>583.25200000000007</v>
      </c>
      <c r="K372" s="14">
        <f t="shared" si="40"/>
        <v>553687.6392318845</v>
      </c>
      <c r="L372" s="14">
        <f t="shared" si="41"/>
        <v>543</v>
      </c>
      <c r="M372" s="14" t="str">
        <f t="shared" si="42"/>
        <v>17-03-2025</v>
      </c>
      <c r="N372" s="14">
        <f t="shared" si="43"/>
        <v>0.15392701813001969</v>
      </c>
      <c r="O372" s="20">
        <f t="shared" si="44"/>
        <v>2.4996406121898516</v>
      </c>
      <c r="P372" s="14">
        <f t="shared" si="45"/>
        <v>482.40865565164427</v>
      </c>
      <c r="Q372" s="14">
        <f t="shared" si="46"/>
        <v>315.64800000000002</v>
      </c>
      <c r="R372" s="14" t="str">
        <f t="shared" si="47"/>
        <v>Mar</v>
      </c>
    </row>
    <row r="373" spans="1:18" x14ac:dyDescent="0.3">
      <c r="A373" t="s">
        <v>1982</v>
      </c>
      <c r="B373" s="1">
        <v>45520</v>
      </c>
      <c r="C373" t="s">
        <v>743</v>
      </c>
      <c r="D373" t="s">
        <v>1513</v>
      </c>
      <c r="E373" t="s">
        <v>1582</v>
      </c>
      <c r="F373">
        <v>1</v>
      </c>
      <c r="G373" s="14">
        <v>752.45</v>
      </c>
      <c r="H373" s="17">
        <v>0.21</v>
      </c>
      <c r="I373" t="s">
        <v>1614</v>
      </c>
      <c r="J373" s="14">
        <v>594.43550000000005</v>
      </c>
      <c r="K373" s="14">
        <f t="shared" si="40"/>
        <v>553104.38723188464</v>
      </c>
      <c r="L373" s="14">
        <f t="shared" si="41"/>
        <v>542</v>
      </c>
      <c r="M373" s="14" t="str">
        <f t="shared" si="42"/>
        <v>16-08-2024</v>
      </c>
      <c r="N373" s="14">
        <f t="shared" si="43"/>
        <v>0.15393557806740751</v>
      </c>
      <c r="O373" s="20">
        <f t="shared" si="44"/>
        <v>2.5005623335249405</v>
      </c>
      <c r="P373" s="14">
        <f t="shared" si="45"/>
        <v>482.28831677988745</v>
      </c>
      <c r="Q373" s="14">
        <f t="shared" si="46"/>
        <v>337.02387500000003</v>
      </c>
      <c r="R373" s="14" t="str">
        <f t="shared" si="47"/>
        <v>Aug</v>
      </c>
    </row>
    <row r="374" spans="1:18" x14ac:dyDescent="0.3">
      <c r="A374" t="s">
        <v>1983</v>
      </c>
      <c r="B374" s="1">
        <v>45373</v>
      </c>
      <c r="C374" t="s">
        <v>147</v>
      </c>
      <c r="D374" t="s">
        <v>1521</v>
      </c>
      <c r="E374" t="s">
        <v>1582</v>
      </c>
      <c r="F374">
        <v>2</v>
      </c>
      <c r="G374" s="14">
        <v>209.66</v>
      </c>
      <c r="H374" s="17">
        <v>0.21</v>
      </c>
      <c r="I374" t="s">
        <v>1609</v>
      </c>
      <c r="J374" s="14">
        <v>331.26280000000003</v>
      </c>
      <c r="K374" s="14">
        <f t="shared" si="40"/>
        <v>553104.38723188464</v>
      </c>
      <c r="L374" s="14">
        <f t="shared" si="41"/>
        <v>542</v>
      </c>
      <c r="M374" s="14" t="str">
        <f t="shared" si="42"/>
        <v>22-03-2024</v>
      </c>
      <c r="N374" s="14">
        <f t="shared" si="43"/>
        <v>0.15390109810311933</v>
      </c>
      <c r="O374" s="20">
        <f t="shared" si="44"/>
        <v>2.5014851885886089</v>
      </c>
      <c r="P374" s="14">
        <f t="shared" si="45"/>
        <v>482.12216568319616</v>
      </c>
      <c r="Q374" s="14">
        <f t="shared" si="46"/>
        <v>135.78320000000002</v>
      </c>
      <c r="R374" s="14" t="str">
        <f t="shared" si="47"/>
        <v>Mar</v>
      </c>
    </row>
    <row r="375" spans="1:18" x14ac:dyDescent="0.3">
      <c r="A375" t="s">
        <v>1984</v>
      </c>
      <c r="B375" s="1">
        <v>45688</v>
      </c>
      <c r="C375" t="s">
        <v>538</v>
      </c>
      <c r="D375" t="s">
        <v>1527</v>
      </c>
      <c r="E375" t="s">
        <v>1598</v>
      </c>
      <c r="F375">
        <v>2</v>
      </c>
      <c r="G375" s="14">
        <v>739.95</v>
      </c>
      <c r="H375" s="17">
        <v>0.1</v>
      </c>
      <c r="I375" t="s">
        <v>1614</v>
      </c>
      <c r="J375" s="14">
        <v>1331.91</v>
      </c>
      <c r="K375" s="14">
        <f t="shared" si="40"/>
        <v>552773.12443188461</v>
      </c>
      <c r="L375" s="14">
        <f t="shared" si="41"/>
        <v>541</v>
      </c>
      <c r="M375" s="14" t="str">
        <f t="shared" si="42"/>
        <v>31-01-2025</v>
      </c>
      <c r="N375" s="14">
        <f t="shared" si="43"/>
        <v>0.153866575701952</v>
      </c>
      <c r="O375" s="20">
        <f t="shared" si="44"/>
        <v>2.5017937948585094</v>
      </c>
      <c r="P375" s="14">
        <f t="shared" si="45"/>
        <v>482.28983470823192</v>
      </c>
      <c r="Q375" s="14">
        <f t="shared" si="46"/>
        <v>518.49</v>
      </c>
      <c r="R375" s="14" t="str">
        <f t="shared" si="47"/>
        <v>Jan</v>
      </c>
    </row>
    <row r="376" spans="1:18" x14ac:dyDescent="0.3">
      <c r="A376" t="s">
        <v>1985</v>
      </c>
      <c r="B376" s="1">
        <v>45276</v>
      </c>
      <c r="C376" t="s">
        <v>1290</v>
      </c>
      <c r="D376" t="s">
        <v>1423</v>
      </c>
      <c r="E376" t="s">
        <v>1586</v>
      </c>
      <c r="F376">
        <v>1</v>
      </c>
      <c r="G376" s="14">
        <v>496.19</v>
      </c>
      <c r="H376" s="17">
        <v>0.08</v>
      </c>
      <c r="I376" t="s">
        <v>1614</v>
      </c>
      <c r="J376" s="14">
        <v>456.4948</v>
      </c>
      <c r="K376" s="14">
        <f t="shared" si="40"/>
        <v>552773.12443188461</v>
      </c>
      <c r="L376" s="14">
        <f t="shared" si="41"/>
        <v>541</v>
      </c>
      <c r="M376" s="14" t="str">
        <f t="shared" si="42"/>
        <v>16-12-2023</v>
      </c>
      <c r="N376" s="14">
        <f t="shared" si="43"/>
        <v>0.15389974477566012</v>
      </c>
      <c r="O376" s="20">
        <f t="shared" si="44"/>
        <v>2.5021027811853931</v>
      </c>
      <c r="P376" s="14">
        <f t="shared" si="45"/>
        <v>482.13117697098335</v>
      </c>
      <c r="Q376" s="14">
        <f t="shared" si="46"/>
        <v>238.44119999999998</v>
      </c>
      <c r="R376" s="14" t="str">
        <f t="shared" si="47"/>
        <v>Dec</v>
      </c>
    </row>
    <row r="377" spans="1:18" x14ac:dyDescent="0.3">
      <c r="A377" t="s">
        <v>1986</v>
      </c>
      <c r="B377" s="1">
        <v>45756</v>
      </c>
      <c r="C377" t="s">
        <v>172</v>
      </c>
      <c r="D377" t="s">
        <v>1350</v>
      </c>
      <c r="E377" t="s">
        <v>1579</v>
      </c>
      <c r="F377">
        <v>1</v>
      </c>
      <c r="G377" s="14">
        <v>306.36</v>
      </c>
      <c r="H377" s="17">
        <v>0.01</v>
      </c>
      <c r="I377" t="s">
        <v>1611</v>
      </c>
      <c r="J377" s="14">
        <v>303.29640000000001</v>
      </c>
      <c r="K377" s="14">
        <f t="shared" si="40"/>
        <v>552773.12443188461</v>
      </c>
      <c r="L377" s="14">
        <f t="shared" si="41"/>
        <v>541</v>
      </c>
      <c r="M377" s="14" t="str">
        <f t="shared" si="42"/>
        <v>09-04-2025</v>
      </c>
      <c r="N377" s="14">
        <f t="shared" si="43"/>
        <v>0.15394527758205298</v>
      </c>
      <c r="O377" s="20">
        <f t="shared" si="44"/>
        <v>2.5030282912169306</v>
      </c>
      <c r="P377" s="14">
        <f t="shared" si="45"/>
        <v>482.12251472635666</v>
      </c>
      <c r="Q377" s="14">
        <f t="shared" si="46"/>
        <v>152.66660000000002</v>
      </c>
      <c r="R377" s="14" t="str">
        <f t="shared" si="47"/>
        <v>Apr</v>
      </c>
    </row>
    <row r="378" spans="1:18" x14ac:dyDescent="0.3">
      <c r="A378" t="s">
        <v>1987</v>
      </c>
      <c r="B378" s="1">
        <v>45309</v>
      </c>
      <c r="C378" t="s">
        <v>417</v>
      </c>
      <c r="D378" t="s">
        <v>1479</v>
      </c>
      <c r="E378" t="s">
        <v>1554</v>
      </c>
      <c r="F378">
        <v>4</v>
      </c>
      <c r="G378" s="14">
        <v>693.16</v>
      </c>
      <c r="H378" s="17">
        <v>0.05</v>
      </c>
      <c r="I378" t="s">
        <v>1611</v>
      </c>
      <c r="J378" s="14">
        <v>2634.0079999999998</v>
      </c>
      <c r="K378" s="14">
        <f t="shared" si="40"/>
        <v>552773.12443188461</v>
      </c>
      <c r="L378" s="14">
        <f t="shared" si="41"/>
        <v>541</v>
      </c>
      <c r="M378" s="14" t="str">
        <f t="shared" si="42"/>
        <v>18-01-2024</v>
      </c>
      <c r="N378" s="14">
        <f t="shared" si="43"/>
        <v>0.15403402312926759</v>
      </c>
      <c r="O378" s="20">
        <f t="shared" si="44"/>
        <v>2.5039549424445613</v>
      </c>
      <c r="P378" s="14">
        <f t="shared" si="45"/>
        <v>482.23087632606467</v>
      </c>
      <c r="Q378" s="14">
        <f t="shared" si="46"/>
        <v>832.80449999999996</v>
      </c>
      <c r="R378" s="14" t="str">
        <f t="shared" si="47"/>
        <v>Jan</v>
      </c>
    </row>
    <row r="379" spans="1:18" x14ac:dyDescent="0.3">
      <c r="A379" t="s">
        <v>1988</v>
      </c>
      <c r="B379" s="1">
        <v>45744</v>
      </c>
      <c r="C379" t="s">
        <v>1276</v>
      </c>
      <c r="D379" t="s">
        <v>1499</v>
      </c>
      <c r="E379" t="s">
        <v>1574</v>
      </c>
      <c r="F379">
        <v>1</v>
      </c>
      <c r="G379" s="14">
        <v>995.52</v>
      </c>
      <c r="H379" s="17">
        <v>0.22</v>
      </c>
      <c r="I379" t="s">
        <v>1611</v>
      </c>
      <c r="J379" s="14">
        <v>776.50559999999996</v>
      </c>
      <c r="K379" s="14">
        <f t="shared" si="40"/>
        <v>552773.12443188461</v>
      </c>
      <c r="L379" s="14">
        <f t="shared" si="41"/>
        <v>541</v>
      </c>
      <c r="M379" s="14" t="str">
        <f t="shared" si="42"/>
        <v>28-03-2025</v>
      </c>
      <c r="N379" s="14">
        <f t="shared" si="43"/>
        <v>0.1540982020454485</v>
      </c>
      <c r="O379" s="20">
        <f t="shared" si="44"/>
        <v>2.5030320275416891</v>
      </c>
      <c r="P379" s="14">
        <f t="shared" si="45"/>
        <v>482.10075348604369</v>
      </c>
      <c r="Q379" s="14">
        <f t="shared" si="46"/>
        <v>443.31139999999999</v>
      </c>
      <c r="R379" s="14" t="str">
        <f t="shared" si="47"/>
        <v>Mar</v>
      </c>
    </row>
    <row r="380" spans="1:18" x14ac:dyDescent="0.3">
      <c r="A380" t="s">
        <v>1989</v>
      </c>
      <c r="B380" s="1">
        <v>45535</v>
      </c>
      <c r="C380" t="s">
        <v>431</v>
      </c>
      <c r="D380" t="s">
        <v>1345</v>
      </c>
      <c r="E380" t="s">
        <v>1595</v>
      </c>
      <c r="F380">
        <v>4</v>
      </c>
      <c r="G380" s="14">
        <v>241.32</v>
      </c>
      <c r="H380" s="17">
        <v>0.28999999999999998</v>
      </c>
      <c r="I380" t="s">
        <v>1614</v>
      </c>
      <c r="J380" s="14">
        <v>685.34879999999998</v>
      </c>
      <c r="K380" s="14">
        <f t="shared" si="40"/>
        <v>552773.12443188461</v>
      </c>
      <c r="L380" s="14">
        <f t="shared" si="41"/>
        <v>541</v>
      </c>
      <c r="M380" s="14" t="str">
        <f t="shared" si="42"/>
        <v>31-08-2024</v>
      </c>
      <c r="N380" s="14">
        <f t="shared" si="43"/>
        <v>0.15405752192325434</v>
      </c>
      <c r="O380" s="20">
        <f t="shared" si="44"/>
        <v>2.5039598250895545</v>
      </c>
      <c r="P380" s="14">
        <f t="shared" si="45"/>
        <v>481.78382802523259</v>
      </c>
      <c r="Q380" s="14">
        <f t="shared" si="46"/>
        <v>232.7397</v>
      </c>
      <c r="R380" s="14" t="str">
        <f t="shared" si="47"/>
        <v>Aug</v>
      </c>
    </row>
    <row r="381" spans="1:18" x14ac:dyDescent="0.3">
      <c r="A381" t="s">
        <v>1990</v>
      </c>
      <c r="B381" s="1">
        <v>45240</v>
      </c>
      <c r="C381" t="s">
        <v>767</v>
      </c>
      <c r="D381" t="s">
        <v>1489</v>
      </c>
      <c r="E381" t="s">
        <v>1542</v>
      </c>
      <c r="F381">
        <v>3</v>
      </c>
      <c r="G381" s="14">
        <v>636.03</v>
      </c>
      <c r="H381" s="17">
        <v>0.06</v>
      </c>
      <c r="I381" t="s">
        <v>1614</v>
      </c>
      <c r="J381" s="14">
        <v>1793.6045999999999</v>
      </c>
      <c r="K381" s="14">
        <f t="shared" si="40"/>
        <v>552773.12443188461</v>
      </c>
      <c r="L381" s="14">
        <f t="shared" si="41"/>
        <v>541</v>
      </c>
      <c r="M381" s="14" t="str">
        <f t="shared" si="42"/>
        <v>10-11-2023</v>
      </c>
      <c r="N381" s="14">
        <f t="shared" si="43"/>
        <v>0.15397355498188511</v>
      </c>
      <c r="O381" s="20">
        <f t="shared" si="44"/>
        <v>2.5030357730976394</v>
      </c>
      <c r="P381" s="14">
        <f t="shared" si="45"/>
        <v>481.93235416978183</v>
      </c>
      <c r="Q381" s="14">
        <f t="shared" si="46"/>
        <v>608.17364999999995</v>
      </c>
      <c r="R381" s="14" t="str">
        <f t="shared" si="47"/>
        <v>Nov</v>
      </c>
    </row>
    <row r="382" spans="1:18" x14ac:dyDescent="0.3">
      <c r="A382" t="s">
        <v>1991</v>
      </c>
      <c r="B382" s="1">
        <v>45275</v>
      </c>
      <c r="C382" t="s">
        <v>344</v>
      </c>
      <c r="D382" t="s">
        <v>1338</v>
      </c>
      <c r="E382" t="s">
        <v>1598</v>
      </c>
      <c r="F382">
        <v>4</v>
      </c>
      <c r="G382" s="14">
        <v>603.30999999999995</v>
      </c>
      <c r="H382" s="17">
        <v>0.15</v>
      </c>
      <c r="I382" t="s">
        <v>1609</v>
      </c>
      <c r="J382" s="14">
        <v>2051.2539999999999</v>
      </c>
      <c r="K382" s="14">
        <f t="shared" si="40"/>
        <v>552773.12443188461</v>
      </c>
      <c r="L382" s="14">
        <f t="shared" si="41"/>
        <v>541</v>
      </c>
      <c r="M382" s="14" t="str">
        <f t="shared" si="42"/>
        <v>15-12-2023</v>
      </c>
      <c r="N382" s="14">
        <f t="shared" si="43"/>
        <v>0.15403163505294934</v>
      </c>
      <c r="O382" s="20">
        <f t="shared" si="44"/>
        <v>2.5027286258622241</v>
      </c>
      <c r="P382" s="14">
        <f t="shared" si="45"/>
        <v>481.83711458645047</v>
      </c>
      <c r="Q382" s="14">
        <f t="shared" si="46"/>
        <v>664.67849999999999</v>
      </c>
      <c r="R382" s="14" t="str">
        <f t="shared" si="47"/>
        <v>Dec</v>
      </c>
    </row>
    <row r="383" spans="1:18" x14ac:dyDescent="0.3">
      <c r="A383" t="s">
        <v>1992</v>
      </c>
      <c r="B383" s="1">
        <v>45427</v>
      </c>
      <c r="C383" t="s">
        <v>275</v>
      </c>
      <c r="D383" t="s">
        <v>1511</v>
      </c>
      <c r="E383" t="s">
        <v>1574</v>
      </c>
      <c r="F383">
        <v>3</v>
      </c>
      <c r="G383" s="14">
        <v>437.96</v>
      </c>
      <c r="H383" s="17">
        <v>0.27</v>
      </c>
      <c r="I383" t="s">
        <v>1614</v>
      </c>
      <c r="J383" s="14">
        <v>959.13239999999985</v>
      </c>
      <c r="K383" s="14">
        <f t="shared" si="40"/>
        <v>550721.87043188477</v>
      </c>
      <c r="L383" s="14">
        <f t="shared" si="41"/>
        <v>540</v>
      </c>
      <c r="M383" s="14" t="str">
        <f t="shared" si="42"/>
        <v>15-05-2024</v>
      </c>
      <c r="N383" s="14">
        <f t="shared" si="43"/>
        <v>0.15403412833374894</v>
      </c>
      <c r="O383" s="20">
        <f t="shared" si="44"/>
        <v>2.5018026695393187</v>
      </c>
      <c r="P383" s="14">
        <f t="shared" si="45"/>
        <v>481.76199220833445</v>
      </c>
      <c r="Q383" s="14">
        <f t="shared" si="46"/>
        <v>350.09059999999994</v>
      </c>
      <c r="R383" s="14" t="str">
        <f t="shared" si="47"/>
        <v>May</v>
      </c>
    </row>
    <row r="384" spans="1:18" x14ac:dyDescent="0.3">
      <c r="A384" t="s">
        <v>1993</v>
      </c>
      <c r="B384" s="1">
        <v>45322</v>
      </c>
      <c r="C384" t="s">
        <v>678</v>
      </c>
      <c r="D384" t="s">
        <v>1401</v>
      </c>
      <c r="E384" t="s">
        <v>1554</v>
      </c>
      <c r="F384">
        <v>2</v>
      </c>
      <c r="G384" s="14">
        <v>56.91</v>
      </c>
      <c r="H384" s="17">
        <v>0.08</v>
      </c>
      <c r="I384" t="s">
        <v>1614</v>
      </c>
      <c r="J384" s="14">
        <v>104.7144</v>
      </c>
      <c r="K384" s="14">
        <f t="shared" si="40"/>
        <v>550721.87043188477</v>
      </c>
      <c r="L384" s="14">
        <f t="shared" si="41"/>
        <v>540</v>
      </c>
      <c r="M384" s="14" t="str">
        <f t="shared" si="42"/>
        <v>31-01-2024</v>
      </c>
      <c r="N384" s="14">
        <f t="shared" si="43"/>
        <v>0.15396236727454951</v>
      </c>
      <c r="O384" s="20">
        <f t="shared" si="44"/>
        <v>2.5014943791120534</v>
      </c>
      <c r="P384" s="14">
        <f t="shared" si="45"/>
        <v>481.78909740153267</v>
      </c>
      <c r="Q384" s="14">
        <f t="shared" si="46"/>
        <v>40.926099999999998</v>
      </c>
      <c r="R384" s="14" t="str">
        <f t="shared" si="47"/>
        <v>Jan</v>
      </c>
    </row>
    <row r="385" spans="1:18" x14ac:dyDescent="0.3">
      <c r="A385" t="s">
        <v>1994</v>
      </c>
      <c r="B385" s="1">
        <v>45266</v>
      </c>
      <c r="C385" t="s">
        <v>1050</v>
      </c>
      <c r="D385" t="s">
        <v>1485</v>
      </c>
      <c r="E385" t="s">
        <v>1561</v>
      </c>
      <c r="F385">
        <v>1</v>
      </c>
      <c r="G385" s="14">
        <v>141.79</v>
      </c>
      <c r="H385" s="17">
        <v>0.1</v>
      </c>
      <c r="I385" t="s">
        <v>1609</v>
      </c>
      <c r="J385" s="14">
        <v>127.611</v>
      </c>
      <c r="K385" s="14">
        <f t="shared" si="40"/>
        <v>550721.87043188477</v>
      </c>
      <c r="L385" s="14">
        <f t="shared" si="41"/>
        <v>540</v>
      </c>
      <c r="M385" s="14" t="str">
        <f t="shared" si="42"/>
        <v>06-12-2023</v>
      </c>
      <c r="N385" s="14">
        <f t="shared" si="43"/>
        <v>0.15400816440598886</v>
      </c>
      <c r="O385" s="20">
        <f t="shared" si="44"/>
        <v>2.5018049019474171</v>
      </c>
      <c r="P385" s="14">
        <f t="shared" si="45"/>
        <v>482.05218043397946</v>
      </c>
      <c r="Q385" s="14">
        <f t="shared" si="46"/>
        <v>67.625249999999994</v>
      </c>
      <c r="R385" s="14" t="str">
        <f t="shared" si="47"/>
        <v>Dec</v>
      </c>
    </row>
    <row r="386" spans="1:18" x14ac:dyDescent="0.3">
      <c r="A386" t="s">
        <v>1995</v>
      </c>
      <c r="B386" s="1">
        <v>45302</v>
      </c>
      <c r="C386" t="s">
        <v>1304</v>
      </c>
      <c r="D386" t="s">
        <v>1350</v>
      </c>
      <c r="E386" t="s">
        <v>1586</v>
      </c>
      <c r="F386">
        <v>4</v>
      </c>
      <c r="G386" s="14">
        <v>355.14</v>
      </c>
      <c r="H386" s="17">
        <v>0.16</v>
      </c>
      <c r="I386" t="s">
        <v>1614</v>
      </c>
      <c r="J386" s="14">
        <v>1193.2704000000001</v>
      </c>
      <c r="K386" s="14">
        <f t="shared" ref="K386:K449" si="48">SUMIF(I386:I2385,"Credit Card",J386:J2385)</f>
        <v>550594.25943188474</v>
      </c>
      <c r="L386" s="14">
        <f t="shared" ref="L386:L449" si="49">COUNTIF(I386:I2385,"Credit Card")</f>
        <v>539</v>
      </c>
      <c r="M386" s="14" t="str">
        <f t="shared" ref="M386:M449" si="50">TEXT(B386:B2385,"dd-mm-yyyy")</f>
        <v>11-01-2024</v>
      </c>
      <c r="N386" s="14">
        <f t="shared" ref="N386:N449" si="51">AVERAGE(H386:H2385)</f>
        <v>0.15404162671355143</v>
      </c>
      <c r="O386" s="20">
        <f t="shared" ref="O386:O449" si="52">AVERAGE(F386:F2385)</f>
        <v>2.5027353882559344</v>
      </c>
      <c r="P386" s="14">
        <f t="shared" ref="P386:P449" si="53">AVERAGE(G386:G2385)</f>
        <v>482.26299962879608</v>
      </c>
      <c r="Q386" s="14">
        <f t="shared" ref="Q386:Q449" si="54">AVERAGE(F386,G386,H386,J386)</f>
        <v>388.14260000000002</v>
      </c>
      <c r="R386" s="14" t="str">
        <f t="shared" ref="R386:R449" si="55">TEXT(M386,"mmm")</f>
        <v>Jan</v>
      </c>
    </row>
    <row r="387" spans="1:18" x14ac:dyDescent="0.3">
      <c r="A387" t="s">
        <v>1996</v>
      </c>
      <c r="B387" s="1">
        <v>45907</v>
      </c>
      <c r="C387" t="s">
        <v>687</v>
      </c>
      <c r="D387" t="s">
        <v>1409</v>
      </c>
      <c r="E387" t="s">
        <v>1561</v>
      </c>
      <c r="F387">
        <v>4</v>
      </c>
      <c r="G387" s="14">
        <v>960.38</v>
      </c>
      <c r="H387" s="17">
        <v>0.15</v>
      </c>
      <c r="I387" t="s">
        <v>1614</v>
      </c>
      <c r="J387" s="14">
        <v>3265.2919999999999</v>
      </c>
      <c r="K387" s="14">
        <f t="shared" si="48"/>
        <v>550594.25943188474</v>
      </c>
      <c r="L387" s="14">
        <f t="shared" si="49"/>
        <v>539</v>
      </c>
      <c r="M387" s="14" t="str">
        <f t="shared" si="50"/>
        <v>07-09-2025</v>
      </c>
      <c r="N387" s="14">
        <f t="shared" si="51"/>
        <v>0.15403793274375202</v>
      </c>
      <c r="O387" s="20">
        <f t="shared" si="52"/>
        <v>2.5018071398915551</v>
      </c>
      <c r="P387" s="14">
        <f t="shared" si="53"/>
        <v>482.34181115987406</v>
      </c>
      <c r="Q387" s="14">
        <f t="shared" si="54"/>
        <v>1057.4555</v>
      </c>
      <c r="R387" s="14" t="str">
        <f t="shared" si="55"/>
        <v>Sep</v>
      </c>
    </row>
    <row r="388" spans="1:18" x14ac:dyDescent="0.3">
      <c r="A388" t="s">
        <v>1997</v>
      </c>
      <c r="B388" s="1">
        <v>45433</v>
      </c>
      <c r="C388" t="s">
        <v>1241</v>
      </c>
      <c r="D388" t="s">
        <v>1471</v>
      </c>
      <c r="E388" t="s">
        <v>1589</v>
      </c>
      <c r="F388">
        <v>3</v>
      </c>
      <c r="G388" s="14">
        <v>847.21</v>
      </c>
      <c r="H388" s="17">
        <v>0.06</v>
      </c>
      <c r="I388" t="s">
        <v>1611</v>
      </c>
      <c r="J388" s="14">
        <v>2389.1322</v>
      </c>
      <c r="K388" s="14">
        <f t="shared" si="48"/>
        <v>550594.25943188474</v>
      </c>
      <c r="L388" s="14">
        <f t="shared" si="49"/>
        <v>539</v>
      </c>
      <c r="M388" s="14" t="str">
        <f t="shared" si="50"/>
        <v>21-05-2024</v>
      </c>
      <c r="N388" s="14">
        <f t="shared" si="51"/>
        <v>0.15404043766480893</v>
      </c>
      <c r="O388" s="20">
        <f t="shared" si="52"/>
        <v>2.5008777398542672</v>
      </c>
      <c r="P388" s="14">
        <f t="shared" si="53"/>
        <v>482.04526141493602</v>
      </c>
      <c r="Q388" s="14">
        <f t="shared" si="54"/>
        <v>809.85055</v>
      </c>
      <c r="R388" s="14" t="str">
        <f t="shared" si="55"/>
        <v>May</v>
      </c>
    </row>
    <row r="389" spans="1:18" x14ac:dyDescent="0.3">
      <c r="A389" t="s">
        <v>1998</v>
      </c>
      <c r="B389" s="1">
        <v>45892</v>
      </c>
      <c r="C389" t="s">
        <v>244</v>
      </c>
      <c r="D389" t="s">
        <v>1493</v>
      </c>
      <c r="E389" t="s">
        <v>1574</v>
      </c>
      <c r="F389">
        <v>4</v>
      </c>
      <c r="G389" s="14">
        <v>773.81</v>
      </c>
      <c r="H389" s="17">
        <v>0.08</v>
      </c>
      <c r="I389" t="s">
        <v>1614</v>
      </c>
      <c r="J389" s="14">
        <v>2847.6208000000001</v>
      </c>
      <c r="K389" s="14">
        <f t="shared" si="48"/>
        <v>550594.25943188474</v>
      </c>
      <c r="L389" s="14">
        <f t="shared" si="49"/>
        <v>539</v>
      </c>
      <c r="M389" s="14" t="str">
        <f t="shared" si="50"/>
        <v>23-08-2025</v>
      </c>
      <c r="N389" s="14">
        <f t="shared" si="51"/>
        <v>0.15409881161742522</v>
      </c>
      <c r="O389" s="20">
        <f t="shared" si="52"/>
        <v>2.5005679184637355</v>
      </c>
      <c r="P389" s="14">
        <f t="shared" si="53"/>
        <v>481.81859180687582</v>
      </c>
      <c r="Q389" s="14">
        <f t="shared" si="54"/>
        <v>906.3777</v>
      </c>
      <c r="R389" s="14" t="str">
        <f t="shared" si="55"/>
        <v>Aug</v>
      </c>
    </row>
    <row r="390" spans="1:18" x14ac:dyDescent="0.3">
      <c r="A390" t="s">
        <v>1999</v>
      </c>
      <c r="B390" s="1">
        <v>45780</v>
      </c>
      <c r="C390" t="s">
        <v>8</v>
      </c>
      <c r="D390" t="s">
        <v>1459</v>
      </c>
      <c r="E390" t="s">
        <v>1589</v>
      </c>
      <c r="F390">
        <v>1</v>
      </c>
      <c r="G390" s="14">
        <v>664.71</v>
      </c>
      <c r="H390" s="17">
        <v>0.1</v>
      </c>
      <c r="I390" t="s">
        <v>1611</v>
      </c>
      <c r="J390" s="14">
        <v>598.23900000000003</v>
      </c>
      <c r="K390" s="14">
        <f t="shared" si="48"/>
        <v>550594.25943188474</v>
      </c>
      <c r="L390" s="14">
        <f t="shared" si="49"/>
        <v>539</v>
      </c>
      <c r="M390" s="14" t="str">
        <f t="shared" si="50"/>
        <v>03-05-2025</v>
      </c>
      <c r="N390" s="14">
        <f t="shared" si="51"/>
        <v>0.15414483572401988</v>
      </c>
      <c r="O390" s="20">
        <f t="shared" si="52"/>
        <v>2.4996365941894898</v>
      </c>
      <c r="P390" s="14">
        <f t="shared" si="53"/>
        <v>481.63723068377453</v>
      </c>
      <c r="Q390" s="14">
        <f t="shared" si="54"/>
        <v>316.01224999999999</v>
      </c>
      <c r="R390" s="14" t="str">
        <f t="shared" si="55"/>
        <v>May</v>
      </c>
    </row>
    <row r="391" spans="1:18" x14ac:dyDescent="0.3">
      <c r="A391" t="s">
        <v>2000</v>
      </c>
      <c r="B391" s="1">
        <v>45233</v>
      </c>
      <c r="C391" t="s">
        <v>1089</v>
      </c>
      <c r="D391" t="s">
        <v>1407</v>
      </c>
      <c r="E391" t="s">
        <v>1564</v>
      </c>
      <c r="F391">
        <v>4</v>
      </c>
      <c r="G391" s="14">
        <v>482.06</v>
      </c>
      <c r="H391" s="17">
        <v>7.0000000000000007E-2</v>
      </c>
      <c r="I391" t="s">
        <v>1611</v>
      </c>
      <c r="J391" s="14">
        <v>1793.2632000000001</v>
      </c>
      <c r="K391" s="14">
        <f t="shared" si="48"/>
        <v>550594.25943188474</v>
      </c>
      <c r="L391" s="14">
        <f t="shared" si="49"/>
        <v>539</v>
      </c>
      <c r="M391" s="14" t="str">
        <f t="shared" si="50"/>
        <v>03-11-2023</v>
      </c>
      <c r="N391" s="14">
        <f t="shared" si="51"/>
        <v>0.15417848695815539</v>
      </c>
      <c r="O391" s="20">
        <f t="shared" si="52"/>
        <v>2.5005686243909748</v>
      </c>
      <c r="P391" s="14">
        <f t="shared" si="53"/>
        <v>481.5234502180715</v>
      </c>
      <c r="Q391" s="14">
        <f t="shared" si="54"/>
        <v>569.84829999999999</v>
      </c>
      <c r="R391" s="14" t="str">
        <f t="shared" si="55"/>
        <v>Nov</v>
      </c>
    </row>
    <row r="392" spans="1:18" x14ac:dyDescent="0.3">
      <c r="A392" t="s">
        <v>2001</v>
      </c>
      <c r="B392" s="1">
        <v>45742</v>
      </c>
      <c r="C392" t="s">
        <v>321</v>
      </c>
      <c r="D392" t="s">
        <v>1447</v>
      </c>
      <c r="E392" t="s">
        <v>1551</v>
      </c>
      <c r="F392">
        <v>4</v>
      </c>
      <c r="G392" s="14">
        <v>995.55</v>
      </c>
      <c r="H392" s="17">
        <v>0.19</v>
      </c>
      <c r="I392" t="s">
        <v>1611</v>
      </c>
      <c r="J392" s="14">
        <v>3225.5819999999999</v>
      </c>
      <c r="K392" s="14">
        <f t="shared" si="48"/>
        <v>550594.25943188474</v>
      </c>
      <c r="L392" s="14">
        <f t="shared" si="49"/>
        <v>539</v>
      </c>
      <c r="M392" s="14" t="str">
        <f t="shared" si="50"/>
        <v>26-03-2025</v>
      </c>
      <c r="N392" s="14">
        <f t="shared" si="51"/>
        <v>0.15423083676347765</v>
      </c>
      <c r="O392" s="20">
        <f t="shared" si="52"/>
        <v>2.4996361421922129</v>
      </c>
      <c r="P392" s="14">
        <f t="shared" si="53"/>
        <v>481.52311654283392</v>
      </c>
      <c r="Q392" s="14">
        <f t="shared" si="54"/>
        <v>1056.3305</v>
      </c>
      <c r="R392" s="14" t="str">
        <f t="shared" si="55"/>
        <v>Mar</v>
      </c>
    </row>
    <row r="393" spans="1:18" x14ac:dyDescent="0.3">
      <c r="A393" t="s">
        <v>2002</v>
      </c>
      <c r="B393" s="1">
        <v>45478</v>
      </c>
      <c r="C393" t="s">
        <v>478</v>
      </c>
      <c r="D393" t="s">
        <v>1519</v>
      </c>
      <c r="E393" t="s">
        <v>1582</v>
      </c>
      <c r="F393">
        <v>2</v>
      </c>
      <c r="G393" s="14">
        <v>153.84</v>
      </c>
      <c r="H393" s="17">
        <v>0.27</v>
      </c>
      <c r="I393" t="s">
        <v>1611</v>
      </c>
      <c r="J393" s="14">
        <v>224.60640000000001</v>
      </c>
      <c r="K393" s="14">
        <f t="shared" si="48"/>
        <v>550594.25943188474</v>
      </c>
      <c r="L393" s="14">
        <f t="shared" si="49"/>
        <v>539</v>
      </c>
      <c r="M393" s="14" t="str">
        <f t="shared" si="50"/>
        <v>05-07-2024</v>
      </c>
      <c r="N393" s="14">
        <f t="shared" si="51"/>
        <v>0.15420857841672186</v>
      </c>
      <c r="O393" s="20">
        <f t="shared" si="52"/>
        <v>2.4987024994680014</v>
      </c>
      <c r="P393" s="14">
        <f t="shared" si="53"/>
        <v>481.2032491604711</v>
      </c>
      <c r="Q393" s="14">
        <f t="shared" si="54"/>
        <v>95.179100000000005</v>
      </c>
      <c r="R393" s="14" t="str">
        <f t="shared" si="55"/>
        <v>Jul</v>
      </c>
    </row>
    <row r="394" spans="1:18" x14ac:dyDescent="0.3">
      <c r="A394" t="s">
        <v>2003</v>
      </c>
      <c r="B394" s="1">
        <v>45789</v>
      </c>
      <c r="C394" t="s">
        <v>514</v>
      </c>
      <c r="D394" t="s">
        <v>1489</v>
      </c>
      <c r="E394" t="s">
        <v>1561</v>
      </c>
      <c r="F394">
        <v>3</v>
      </c>
      <c r="G394" s="14">
        <v>362.11</v>
      </c>
      <c r="H394" s="17">
        <v>0.23</v>
      </c>
      <c r="I394" t="s">
        <v>1614</v>
      </c>
      <c r="J394" s="14">
        <v>836.47409999999991</v>
      </c>
      <c r="K394" s="14">
        <f t="shared" si="48"/>
        <v>550594.25943188474</v>
      </c>
      <c r="L394" s="14">
        <f t="shared" si="49"/>
        <v>539</v>
      </c>
      <c r="M394" s="14" t="str">
        <f t="shared" si="50"/>
        <v>12-05-2025</v>
      </c>
      <c r="N394" s="14">
        <f t="shared" si="51"/>
        <v>0.15413647915048068</v>
      </c>
      <c r="O394" s="20">
        <f t="shared" si="52"/>
        <v>2.499013024062938</v>
      </c>
      <c r="P394" s="14">
        <f t="shared" si="53"/>
        <v>481.40708680004798</v>
      </c>
      <c r="Q394" s="14">
        <f t="shared" si="54"/>
        <v>300.45352500000001</v>
      </c>
      <c r="R394" s="14" t="str">
        <f t="shared" si="55"/>
        <v>May</v>
      </c>
    </row>
    <row r="395" spans="1:18" x14ac:dyDescent="0.3">
      <c r="A395" t="s">
        <v>2004</v>
      </c>
      <c r="B395" s="1">
        <v>45561</v>
      </c>
      <c r="C395" t="s">
        <v>1293</v>
      </c>
      <c r="D395" t="s">
        <v>1419</v>
      </c>
      <c r="E395" t="s">
        <v>1567</v>
      </c>
      <c r="F395">
        <v>3</v>
      </c>
      <c r="G395" s="14">
        <v>112.26</v>
      </c>
      <c r="H395" s="17">
        <v>0.11</v>
      </c>
      <c r="I395" t="s">
        <v>1609</v>
      </c>
      <c r="J395" s="14">
        <v>299.73419999999999</v>
      </c>
      <c r="K395" s="14">
        <f t="shared" si="48"/>
        <v>550594.25943188474</v>
      </c>
      <c r="L395" s="14">
        <f t="shared" si="49"/>
        <v>539</v>
      </c>
      <c r="M395" s="14" t="str">
        <f t="shared" si="50"/>
        <v>26-09-2024</v>
      </c>
      <c r="N395" s="14">
        <f t="shared" si="51"/>
        <v>0.15408921215929722</v>
      </c>
      <c r="O395" s="20">
        <f t="shared" si="52"/>
        <v>2.4987008826449086</v>
      </c>
      <c r="P395" s="14">
        <f t="shared" si="53"/>
        <v>481.48141520303869</v>
      </c>
      <c r="Q395" s="14">
        <f t="shared" si="54"/>
        <v>103.77605</v>
      </c>
      <c r="R395" s="14" t="str">
        <f t="shared" si="55"/>
        <v>Sep</v>
      </c>
    </row>
    <row r="396" spans="1:18" x14ac:dyDescent="0.3">
      <c r="A396" t="s">
        <v>2005</v>
      </c>
      <c r="B396" s="1">
        <v>45378</v>
      </c>
      <c r="C396" t="s">
        <v>663</v>
      </c>
      <c r="D396" t="s">
        <v>1521</v>
      </c>
      <c r="E396" t="s">
        <v>1598</v>
      </c>
      <c r="F396">
        <v>2</v>
      </c>
      <c r="G396" s="14">
        <v>962.81</v>
      </c>
      <c r="H396" s="17">
        <v>0.06</v>
      </c>
      <c r="I396" t="s">
        <v>1614</v>
      </c>
      <c r="J396" s="14">
        <v>1810.0827999999999</v>
      </c>
      <c r="K396" s="14">
        <f t="shared" si="48"/>
        <v>550294.52523188479</v>
      </c>
      <c r="L396" s="14">
        <f t="shared" si="49"/>
        <v>538</v>
      </c>
      <c r="M396" s="14" t="str">
        <f t="shared" si="50"/>
        <v>27-03-2024</v>
      </c>
      <c r="N396" s="14">
        <f t="shared" si="51"/>
        <v>0.15411669919929677</v>
      </c>
      <c r="O396" s="20">
        <f t="shared" si="52"/>
        <v>2.4983883520231158</v>
      </c>
      <c r="P396" s="14">
        <f t="shared" si="53"/>
        <v>481.71160311775378</v>
      </c>
      <c r="Q396" s="14">
        <f t="shared" si="54"/>
        <v>693.73820000000001</v>
      </c>
      <c r="R396" s="14" t="str">
        <f t="shared" si="55"/>
        <v>Mar</v>
      </c>
    </row>
    <row r="397" spans="1:18" x14ac:dyDescent="0.3">
      <c r="A397" t="s">
        <v>2006</v>
      </c>
      <c r="B397" s="1">
        <v>45308</v>
      </c>
      <c r="C397" t="s">
        <v>693</v>
      </c>
      <c r="D397" t="s">
        <v>1375</v>
      </c>
      <c r="E397" t="s">
        <v>1537</v>
      </c>
      <c r="F397">
        <v>4</v>
      </c>
      <c r="G397" s="14">
        <v>276.23</v>
      </c>
      <c r="H397" s="17">
        <v>0.12</v>
      </c>
      <c r="I397" t="s">
        <v>1609</v>
      </c>
      <c r="J397" s="14">
        <v>972.32960000000003</v>
      </c>
      <c r="K397" s="14">
        <f t="shared" si="48"/>
        <v>550294.52523188479</v>
      </c>
      <c r="L397" s="14">
        <f t="shared" si="49"/>
        <v>538</v>
      </c>
      <c r="M397" s="14" t="str">
        <f t="shared" si="50"/>
        <v>17-01-2024</v>
      </c>
      <c r="N397" s="14">
        <f t="shared" si="51"/>
        <v>0.15417541204970181</v>
      </c>
      <c r="O397" s="20">
        <f t="shared" si="52"/>
        <v>2.4986992617873227</v>
      </c>
      <c r="P397" s="14">
        <f t="shared" si="53"/>
        <v>481.41147935176355</v>
      </c>
      <c r="Q397" s="14">
        <f t="shared" si="54"/>
        <v>313.16989999999998</v>
      </c>
      <c r="R397" s="14" t="str">
        <f t="shared" si="55"/>
        <v>Jan</v>
      </c>
    </row>
    <row r="398" spans="1:18" x14ac:dyDescent="0.3">
      <c r="A398" t="s">
        <v>2007</v>
      </c>
      <c r="B398" s="1">
        <v>45407</v>
      </c>
      <c r="C398" t="s">
        <v>71</v>
      </c>
      <c r="D398" t="s">
        <v>1369</v>
      </c>
      <c r="E398" t="s">
        <v>1584</v>
      </c>
      <c r="F398">
        <v>3</v>
      </c>
      <c r="G398" s="14">
        <v>991.37</v>
      </c>
      <c r="H398" s="17">
        <v>0.1</v>
      </c>
      <c r="I398" t="s">
        <v>1611</v>
      </c>
      <c r="J398" s="14">
        <v>2676.6990000000001</v>
      </c>
      <c r="K398" s="14">
        <f t="shared" si="48"/>
        <v>549322.19563188474</v>
      </c>
      <c r="L398" s="14">
        <f t="shared" si="49"/>
        <v>537</v>
      </c>
      <c r="M398" s="14" t="str">
        <f t="shared" si="50"/>
        <v>25-04-2024</v>
      </c>
      <c r="N398" s="14">
        <f t="shared" si="51"/>
        <v>0.15419674501602496</v>
      </c>
      <c r="O398" s="20">
        <f t="shared" si="52"/>
        <v>2.4977621202528577</v>
      </c>
      <c r="P398" s="14">
        <f t="shared" si="53"/>
        <v>481.53955767845002</v>
      </c>
      <c r="Q398" s="14">
        <f t="shared" si="54"/>
        <v>917.79224999999997</v>
      </c>
      <c r="R398" s="14" t="str">
        <f t="shared" si="55"/>
        <v>Apr</v>
      </c>
    </row>
    <row r="399" spans="1:18" x14ac:dyDescent="0.3">
      <c r="A399" t="s">
        <v>2008</v>
      </c>
      <c r="B399" s="1">
        <v>45929</v>
      </c>
      <c r="C399" t="s">
        <v>559</v>
      </c>
      <c r="D399" t="s">
        <v>1375</v>
      </c>
      <c r="E399" t="s">
        <v>1582</v>
      </c>
      <c r="F399">
        <v>3</v>
      </c>
      <c r="G399" s="14">
        <v>977.47</v>
      </c>
      <c r="H399" s="17">
        <v>0.05</v>
      </c>
      <c r="I399" t="s">
        <v>1609</v>
      </c>
      <c r="J399" s="14">
        <v>2785.7894999999999</v>
      </c>
      <c r="K399" s="14">
        <f t="shared" si="48"/>
        <v>549322.19563188474</v>
      </c>
      <c r="L399" s="14">
        <f t="shared" si="49"/>
        <v>537</v>
      </c>
      <c r="M399" s="14" t="str">
        <f t="shared" si="50"/>
        <v>29-09-2025</v>
      </c>
      <c r="N399" s="14">
        <f t="shared" si="51"/>
        <v>0.15423059682427984</v>
      </c>
      <c r="O399" s="20">
        <f t="shared" si="52"/>
        <v>2.4974484176421474</v>
      </c>
      <c r="P399" s="14">
        <f t="shared" si="53"/>
        <v>481.22111268012299</v>
      </c>
      <c r="Q399" s="14">
        <f t="shared" si="54"/>
        <v>941.57737499999996</v>
      </c>
      <c r="R399" s="14" t="str">
        <f t="shared" si="55"/>
        <v>Sep</v>
      </c>
    </row>
    <row r="400" spans="1:18" x14ac:dyDescent="0.3">
      <c r="A400" t="s">
        <v>2009</v>
      </c>
      <c r="B400" s="1">
        <v>45844</v>
      </c>
      <c r="C400" t="s">
        <v>672</v>
      </c>
      <c r="D400" t="s">
        <v>1521</v>
      </c>
      <c r="E400" t="s">
        <v>1579</v>
      </c>
      <c r="F400">
        <v>2</v>
      </c>
      <c r="G400" s="14">
        <v>308.7</v>
      </c>
      <c r="H400" s="17">
        <v>0.2</v>
      </c>
      <c r="I400" t="s">
        <v>1611</v>
      </c>
      <c r="J400" s="14">
        <v>493.92</v>
      </c>
      <c r="K400" s="14">
        <f t="shared" si="48"/>
        <v>546536.40613188467</v>
      </c>
      <c r="L400" s="14">
        <f t="shared" si="49"/>
        <v>536</v>
      </c>
      <c r="M400" s="14" t="str">
        <f t="shared" si="50"/>
        <v>06-07-2025</v>
      </c>
      <c r="N400" s="14">
        <f t="shared" si="51"/>
        <v>0.15429574094729501</v>
      </c>
      <c r="O400" s="20">
        <f t="shared" si="52"/>
        <v>2.4971343229031739</v>
      </c>
      <c r="P400" s="14">
        <f t="shared" si="53"/>
        <v>480.91095712554807</v>
      </c>
      <c r="Q400" s="14">
        <f t="shared" si="54"/>
        <v>201.20499999999998</v>
      </c>
      <c r="R400" s="14" t="str">
        <f t="shared" si="55"/>
        <v>Jul</v>
      </c>
    </row>
    <row r="401" spans="1:18" x14ac:dyDescent="0.3">
      <c r="A401" t="s">
        <v>2010</v>
      </c>
      <c r="B401" s="1">
        <v>45579</v>
      </c>
      <c r="C401" t="s">
        <v>147</v>
      </c>
      <c r="D401" t="s">
        <v>1342</v>
      </c>
      <c r="E401" t="s">
        <v>1589</v>
      </c>
      <c r="F401">
        <v>2</v>
      </c>
      <c r="G401" s="14">
        <v>733.87</v>
      </c>
      <c r="H401" s="17">
        <v>0.1</v>
      </c>
      <c r="I401" t="s">
        <v>1611</v>
      </c>
      <c r="J401" s="14">
        <v>1320.9659999999999</v>
      </c>
      <c r="K401" s="14">
        <f t="shared" si="48"/>
        <v>546536.40613188467</v>
      </c>
      <c r="L401" s="14">
        <f t="shared" si="49"/>
        <v>536</v>
      </c>
      <c r="M401" s="14" t="str">
        <f t="shared" si="50"/>
        <v>14-10-2024</v>
      </c>
      <c r="N401" s="14">
        <f t="shared" si="51"/>
        <v>0.15426715792099563</v>
      </c>
      <c r="O401" s="20">
        <f t="shared" si="52"/>
        <v>2.4974452261695301</v>
      </c>
      <c r="P401" s="14">
        <f t="shared" si="53"/>
        <v>481.01865628572671</v>
      </c>
      <c r="Q401" s="14">
        <f t="shared" si="54"/>
        <v>514.23399999999992</v>
      </c>
      <c r="R401" s="14" t="str">
        <f t="shared" si="55"/>
        <v>Oct</v>
      </c>
    </row>
    <row r="402" spans="1:18" x14ac:dyDescent="0.3">
      <c r="A402" t="s">
        <v>2011</v>
      </c>
      <c r="B402" s="1">
        <v>45227</v>
      </c>
      <c r="C402" t="s">
        <v>341</v>
      </c>
      <c r="D402" t="s">
        <v>1371</v>
      </c>
      <c r="E402" t="s">
        <v>1589</v>
      </c>
      <c r="F402">
        <v>2</v>
      </c>
      <c r="G402" s="14">
        <v>22.47</v>
      </c>
      <c r="H402" s="17">
        <v>0.22</v>
      </c>
      <c r="I402" t="s">
        <v>1611</v>
      </c>
      <c r="J402" s="14">
        <v>35.053199999999997</v>
      </c>
      <c r="K402" s="14">
        <f t="shared" si="48"/>
        <v>546536.40613188467</v>
      </c>
      <c r="L402" s="14">
        <f t="shared" si="49"/>
        <v>536</v>
      </c>
      <c r="M402" s="14" t="str">
        <f t="shared" si="50"/>
        <v>28-10-2023</v>
      </c>
      <c r="N402" s="14">
        <f t="shared" si="51"/>
        <v>0.15430111734397498</v>
      </c>
      <c r="O402" s="20">
        <f t="shared" si="52"/>
        <v>2.497756518551363</v>
      </c>
      <c r="P402" s="14">
        <f t="shared" si="53"/>
        <v>480.86042640855874</v>
      </c>
      <c r="Q402" s="14">
        <f t="shared" si="54"/>
        <v>14.935799999999999</v>
      </c>
      <c r="R402" s="14" t="str">
        <f t="shared" si="55"/>
        <v>Oct</v>
      </c>
    </row>
    <row r="403" spans="1:18" x14ac:dyDescent="0.3">
      <c r="A403" t="s">
        <v>2012</v>
      </c>
      <c r="B403" s="1">
        <v>45380</v>
      </c>
      <c r="C403" t="s">
        <v>1092</v>
      </c>
      <c r="D403" t="s">
        <v>1447</v>
      </c>
      <c r="E403" t="s">
        <v>1582</v>
      </c>
      <c r="F403">
        <v>4</v>
      </c>
      <c r="G403" s="14">
        <v>651.36</v>
      </c>
      <c r="H403" s="17">
        <v>0.13</v>
      </c>
      <c r="I403" t="s">
        <v>1609</v>
      </c>
      <c r="J403" s="14">
        <v>2266.7328000000002</v>
      </c>
      <c r="K403" s="14">
        <f t="shared" si="48"/>
        <v>546536.40613188467</v>
      </c>
      <c r="L403" s="14">
        <f t="shared" si="49"/>
        <v>536</v>
      </c>
      <c r="M403" s="14" t="str">
        <f t="shared" si="50"/>
        <v>29-03-2024</v>
      </c>
      <c r="N403" s="14">
        <f t="shared" si="51"/>
        <v>0.15425997840680777</v>
      </c>
      <c r="O403" s="20">
        <f t="shared" si="52"/>
        <v>2.498068200779636</v>
      </c>
      <c r="P403" s="14">
        <f t="shared" si="53"/>
        <v>481.14745861044264</v>
      </c>
      <c r="Q403" s="14">
        <f t="shared" si="54"/>
        <v>730.55570000000012</v>
      </c>
      <c r="R403" s="14" t="str">
        <f t="shared" si="55"/>
        <v>Mar</v>
      </c>
    </row>
    <row r="404" spans="1:18" x14ac:dyDescent="0.3">
      <c r="A404" t="s">
        <v>2013</v>
      </c>
      <c r="B404" s="1">
        <v>45817</v>
      </c>
      <c r="C404" t="s">
        <v>937</v>
      </c>
      <c r="D404" t="s">
        <v>1361</v>
      </c>
      <c r="E404" t="s">
        <v>1574</v>
      </c>
      <c r="F404">
        <v>1</v>
      </c>
      <c r="G404" s="14">
        <v>753.39</v>
      </c>
      <c r="H404" s="17">
        <v>0.04</v>
      </c>
      <c r="I404" t="s">
        <v>1614</v>
      </c>
      <c r="J404" s="14">
        <v>723.25439999999992</v>
      </c>
      <c r="K404" s="14">
        <f t="shared" si="48"/>
        <v>544269.67333188455</v>
      </c>
      <c r="L404" s="14">
        <f t="shared" si="49"/>
        <v>535</v>
      </c>
      <c r="M404" s="14" t="str">
        <f t="shared" si="50"/>
        <v>09-06-2025</v>
      </c>
      <c r="N404" s="14">
        <f t="shared" si="51"/>
        <v>0.15427517889453135</v>
      </c>
      <c r="O404" s="20">
        <f t="shared" si="52"/>
        <v>2.4971271407550617</v>
      </c>
      <c r="P404" s="14">
        <f t="shared" si="53"/>
        <v>481.0408091484191</v>
      </c>
      <c r="Q404" s="14">
        <f t="shared" si="54"/>
        <v>369.42109999999997</v>
      </c>
      <c r="R404" s="14" t="str">
        <f t="shared" si="55"/>
        <v>Jun</v>
      </c>
    </row>
    <row r="405" spans="1:18" x14ac:dyDescent="0.3">
      <c r="A405" t="s">
        <v>2014</v>
      </c>
      <c r="B405" s="1">
        <v>45576</v>
      </c>
      <c r="C405" t="s">
        <v>657</v>
      </c>
      <c r="D405" t="s">
        <v>1475</v>
      </c>
      <c r="E405" t="s">
        <v>1579</v>
      </c>
      <c r="F405">
        <v>4</v>
      </c>
      <c r="G405" s="14">
        <v>849.17</v>
      </c>
      <c r="H405" s="17">
        <v>0.12</v>
      </c>
      <c r="I405" t="s">
        <v>1614</v>
      </c>
      <c r="J405" s="14">
        <v>2989.0783999999999</v>
      </c>
      <c r="K405" s="14">
        <f t="shared" si="48"/>
        <v>544269.67333188455</v>
      </c>
      <c r="L405" s="14">
        <f t="shared" si="49"/>
        <v>535</v>
      </c>
      <c r="M405" s="14" t="str">
        <f t="shared" si="50"/>
        <v>11-10-2024</v>
      </c>
      <c r="N405" s="14">
        <f t="shared" si="51"/>
        <v>0.15434682477471598</v>
      </c>
      <c r="O405" s="20">
        <f t="shared" si="52"/>
        <v>2.4980657784608642</v>
      </c>
      <c r="P405" s="14">
        <f t="shared" si="53"/>
        <v>480.87005730462499</v>
      </c>
      <c r="Q405" s="14">
        <f t="shared" si="54"/>
        <v>960.59209999999996</v>
      </c>
      <c r="R405" s="14" t="str">
        <f t="shared" si="55"/>
        <v>Oct</v>
      </c>
    </row>
    <row r="406" spans="1:18" x14ac:dyDescent="0.3">
      <c r="A406" t="s">
        <v>2015</v>
      </c>
      <c r="B406" s="1">
        <v>45495</v>
      </c>
      <c r="C406" t="s">
        <v>1184</v>
      </c>
      <c r="D406" t="s">
        <v>1373</v>
      </c>
      <c r="E406" t="s">
        <v>1537</v>
      </c>
      <c r="F406">
        <v>4</v>
      </c>
      <c r="G406" s="14">
        <v>585.45000000000005</v>
      </c>
      <c r="H406" s="17">
        <v>0.25</v>
      </c>
      <c r="I406" t="s">
        <v>1614</v>
      </c>
      <c r="J406" s="14">
        <v>1756.35</v>
      </c>
      <c r="K406" s="14">
        <f t="shared" si="48"/>
        <v>544269.67333188455</v>
      </c>
      <c r="L406" s="14">
        <f t="shared" si="49"/>
        <v>535</v>
      </c>
      <c r="M406" s="14" t="str">
        <f t="shared" si="50"/>
        <v>22-07-2024</v>
      </c>
      <c r="N406" s="14">
        <f t="shared" si="51"/>
        <v>0.15436837234358344</v>
      </c>
      <c r="O406" s="20">
        <f t="shared" si="52"/>
        <v>2.4971235361637882</v>
      </c>
      <c r="P406" s="14">
        <f t="shared" si="53"/>
        <v>480.63900338825408</v>
      </c>
      <c r="Q406" s="14">
        <f t="shared" si="54"/>
        <v>586.51250000000005</v>
      </c>
      <c r="R406" s="14" t="str">
        <f t="shared" si="55"/>
        <v>Jul</v>
      </c>
    </row>
    <row r="407" spans="1:18" x14ac:dyDescent="0.3">
      <c r="A407" t="s">
        <v>2016</v>
      </c>
      <c r="B407" s="1">
        <v>45628</v>
      </c>
      <c r="C407" t="s">
        <v>1297</v>
      </c>
      <c r="D407" t="s">
        <v>1483</v>
      </c>
      <c r="E407" t="s">
        <v>1589</v>
      </c>
      <c r="F407">
        <v>1</v>
      </c>
      <c r="G407" s="14">
        <v>745.15</v>
      </c>
      <c r="H407" s="17">
        <v>0.25</v>
      </c>
      <c r="I407" t="s">
        <v>1614</v>
      </c>
      <c r="J407" s="14">
        <v>558.86249999999995</v>
      </c>
      <c r="K407" s="14">
        <f t="shared" si="48"/>
        <v>544269.67333188455</v>
      </c>
      <c r="L407" s="14">
        <f t="shared" si="49"/>
        <v>535</v>
      </c>
      <c r="M407" s="14" t="str">
        <f t="shared" si="50"/>
        <v>02-12-2024</v>
      </c>
      <c r="N407" s="14">
        <f t="shared" si="51"/>
        <v>0.15430833993450849</v>
      </c>
      <c r="O407" s="20">
        <f t="shared" si="52"/>
        <v>2.4961801108883104</v>
      </c>
      <c r="P407" s="14">
        <f t="shared" si="53"/>
        <v>480.57320866345066</v>
      </c>
      <c r="Q407" s="14">
        <f t="shared" si="54"/>
        <v>326.31562499999995</v>
      </c>
      <c r="R407" s="14" t="str">
        <f t="shared" si="55"/>
        <v>Dec</v>
      </c>
    </row>
    <row r="408" spans="1:18" x14ac:dyDescent="0.3">
      <c r="A408" t="s">
        <v>2017</v>
      </c>
      <c r="B408" s="1">
        <v>45244</v>
      </c>
      <c r="C408" t="s">
        <v>191</v>
      </c>
      <c r="D408" t="s">
        <v>1531</v>
      </c>
      <c r="E408" t="s">
        <v>1546</v>
      </c>
      <c r="F408">
        <v>1</v>
      </c>
      <c r="G408" s="14">
        <v>848.69</v>
      </c>
      <c r="H408" s="17">
        <v>0.04</v>
      </c>
      <c r="I408" t="s">
        <v>1614</v>
      </c>
      <c r="J408" s="14">
        <v>814.74239999999998</v>
      </c>
      <c r="K408" s="14">
        <f t="shared" si="48"/>
        <v>544269.67333188455</v>
      </c>
      <c r="L408" s="14">
        <f t="shared" si="49"/>
        <v>535</v>
      </c>
      <c r="M408" s="14" t="str">
        <f t="shared" si="50"/>
        <v>14-11-2023</v>
      </c>
      <c r="N408" s="14">
        <f t="shared" si="51"/>
        <v>0.15424823210783417</v>
      </c>
      <c r="O408" s="20">
        <f t="shared" si="52"/>
        <v>2.4971199225157528</v>
      </c>
      <c r="P408" s="14">
        <f t="shared" si="53"/>
        <v>480.40701721160616</v>
      </c>
      <c r="Q408" s="14">
        <f t="shared" si="54"/>
        <v>416.11810000000003</v>
      </c>
      <c r="R408" s="14" t="str">
        <f t="shared" si="55"/>
        <v>Nov</v>
      </c>
    </row>
    <row r="409" spans="1:18" x14ac:dyDescent="0.3">
      <c r="A409" t="s">
        <v>2018</v>
      </c>
      <c r="B409" s="1">
        <v>45336</v>
      </c>
      <c r="C409" t="s">
        <v>1234</v>
      </c>
      <c r="D409" t="s">
        <v>1473</v>
      </c>
      <c r="E409" t="s">
        <v>1584</v>
      </c>
      <c r="F409">
        <v>2</v>
      </c>
      <c r="G409" s="14">
        <v>247.67</v>
      </c>
      <c r="H409" s="17">
        <v>0.1</v>
      </c>
      <c r="I409" t="s">
        <v>1611</v>
      </c>
      <c r="J409" s="14">
        <v>445.80599999999998</v>
      </c>
      <c r="K409" s="14">
        <f t="shared" si="48"/>
        <v>544269.67333188455</v>
      </c>
      <c r="L409" s="14">
        <f t="shared" si="49"/>
        <v>535</v>
      </c>
      <c r="M409" s="14" t="str">
        <f t="shared" si="50"/>
        <v>14-02-2024</v>
      </c>
      <c r="N409" s="14">
        <f t="shared" si="51"/>
        <v>0.15432004117892648</v>
      </c>
      <c r="O409" s="20">
        <f t="shared" si="52"/>
        <v>2.4980609155531606</v>
      </c>
      <c r="P409" s="14">
        <f t="shared" si="53"/>
        <v>480.17553827836389</v>
      </c>
      <c r="Q409" s="14">
        <f t="shared" si="54"/>
        <v>173.89400000000001</v>
      </c>
      <c r="R409" s="14" t="str">
        <f t="shared" si="55"/>
        <v>Feb</v>
      </c>
    </row>
    <row r="410" spans="1:18" x14ac:dyDescent="0.3">
      <c r="A410" t="s">
        <v>2019</v>
      </c>
      <c r="B410" s="1">
        <v>45465</v>
      </c>
      <c r="C410" t="s">
        <v>153</v>
      </c>
      <c r="D410" t="s">
        <v>1481</v>
      </c>
      <c r="E410" t="s">
        <v>1551</v>
      </c>
      <c r="F410">
        <v>3</v>
      </c>
      <c r="G410" s="14">
        <v>220.51</v>
      </c>
      <c r="H410" s="17">
        <v>0.02</v>
      </c>
      <c r="I410" t="s">
        <v>1611</v>
      </c>
      <c r="J410" s="14">
        <v>648.29939999999999</v>
      </c>
      <c r="K410" s="14">
        <f t="shared" si="48"/>
        <v>544269.67333188455</v>
      </c>
      <c r="L410" s="14">
        <f t="shared" si="49"/>
        <v>535</v>
      </c>
      <c r="M410" s="14" t="str">
        <f t="shared" si="50"/>
        <v>22-06-2024</v>
      </c>
      <c r="N410" s="14">
        <f t="shared" si="51"/>
        <v>0.15435420472683775</v>
      </c>
      <c r="O410" s="20">
        <f t="shared" si="52"/>
        <v>2.498374161411999</v>
      </c>
      <c r="P410" s="14">
        <f t="shared" si="53"/>
        <v>480.3217681766522</v>
      </c>
      <c r="Q410" s="14">
        <f t="shared" si="54"/>
        <v>217.95734999999999</v>
      </c>
      <c r="R410" s="14" t="str">
        <f t="shared" si="55"/>
        <v>Jun</v>
      </c>
    </row>
    <row r="411" spans="1:18" x14ac:dyDescent="0.3">
      <c r="A411" t="s">
        <v>2020</v>
      </c>
      <c r="B411" s="1">
        <v>45837</v>
      </c>
      <c r="C411" t="s">
        <v>1029</v>
      </c>
      <c r="D411" t="s">
        <v>1363</v>
      </c>
      <c r="E411" t="s">
        <v>1589</v>
      </c>
      <c r="F411">
        <v>4</v>
      </c>
      <c r="G411" s="14">
        <v>370.63</v>
      </c>
      <c r="H411" s="17">
        <v>0.08</v>
      </c>
      <c r="I411" t="s">
        <v>1609</v>
      </c>
      <c r="J411" s="14">
        <v>1363.9184</v>
      </c>
      <c r="K411" s="14">
        <f t="shared" si="48"/>
        <v>544269.67333188455</v>
      </c>
      <c r="L411" s="14">
        <f t="shared" si="49"/>
        <v>535</v>
      </c>
      <c r="M411" s="14" t="str">
        <f t="shared" si="50"/>
        <v>29-06-2025</v>
      </c>
      <c r="N411" s="14">
        <f t="shared" si="51"/>
        <v>0.15443875740445062</v>
      </c>
      <c r="O411" s="20">
        <f t="shared" si="52"/>
        <v>2.4980584749182366</v>
      </c>
      <c r="P411" s="14">
        <f t="shared" si="53"/>
        <v>480.48527463868913</v>
      </c>
      <c r="Q411" s="14">
        <f t="shared" si="54"/>
        <v>434.65710000000001</v>
      </c>
      <c r="R411" s="14" t="str">
        <f t="shared" si="55"/>
        <v>Jun</v>
      </c>
    </row>
    <row r="412" spans="1:18" x14ac:dyDescent="0.3">
      <c r="A412" t="s">
        <v>2021</v>
      </c>
      <c r="B412" s="1">
        <v>45706</v>
      </c>
      <c r="C412" t="s">
        <v>1212</v>
      </c>
      <c r="D412" t="s">
        <v>1391</v>
      </c>
      <c r="E412" t="s">
        <v>1598</v>
      </c>
      <c r="F412">
        <v>4</v>
      </c>
      <c r="G412" s="14">
        <v>349.84</v>
      </c>
      <c r="H412" s="17">
        <v>0.11</v>
      </c>
      <c r="I412" t="s">
        <v>1609</v>
      </c>
      <c r="J412" s="14">
        <v>1245.4304</v>
      </c>
      <c r="K412" s="14">
        <f t="shared" si="48"/>
        <v>542905.75493188458</v>
      </c>
      <c r="L412" s="14">
        <f t="shared" si="49"/>
        <v>534</v>
      </c>
      <c r="M412" s="14" t="str">
        <f t="shared" si="50"/>
        <v>18-02-2025</v>
      </c>
      <c r="N412" s="14">
        <f t="shared" si="51"/>
        <v>0.15448563319626701</v>
      </c>
      <c r="O412" s="20">
        <f t="shared" si="52"/>
        <v>2.4971126679125177</v>
      </c>
      <c r="P412" s="14">
        <f t="shared" si="53"/>
        <v>480.55445302322227</v>
      </c>
      <c r="Q412" s="14">
        <f t="shared" si="54"/>
        <v>399.8451</v>
      </c>
      <c r="R412" s="14" t="str">
        <f t="shared" si="55"/>
        <v>Feb</v>
      </c>
    </row>
    <row r="413" spans="1:18" x14ac:dyDescent="0.3">
      <c r="A413" t="s">
        <v>2022</v>
      </c>
      <c r="B413" s="1">
        <v>45823</v>
      </c>
      <c r="C413" t="s">
        <v>168</v>
      </c>
      <c r="D413" t="s">
        <v>1411</v>
      </c>
      <c r="E413" t="s">
        <v>1579</v>
      </c>
      <c r="F413">
        <v>1</v>
      </c>
      <c r="G413" s="14">
        <v>770.87</v>
      </c>
      <c r="H413" s="17">
        <v>0.1</v>
      </c>
      <c r="I413" t="s">
        <v>1614</v>
      </c>
      <c r="J413" s="14">
        <v>693.78300000000002</v>
      </c>
      <c r="K413" s="14">
        <f t="shared" si="48"/>
        <v>541660.32453188451</v>
      </c>
      <c r="L413" s="14">
        <f t="shared" si="49"/>
        <v>533</v>
      </c>
      <c r="M413" s="14" t="str">
        <f t="shared" si="50"/>
        <v>15-06-2025</v>
      </c>
      <c r="N413" s="14">
        <f t="shared" si="51"/>
        <v>0.15451366447112289</v>
      </c>
      <c r="O413" s="20">
        <f t="shared" si="52"/>
        <v>2.4961656689635023</v>
      </c>
      <c r="P413" s="14">
        <f t="shared" si="53"/>
        <v>480.6368187781203</v>
      </c>
      <c r="Q413" s="14">
        <f t="shared" si="54"/>
        <v>366.43825000000004</v>
      </c>
      <c r="R413" s="14" t="str">
        <f t="shared" si="55"/>
        <v>Jun</v>
      </c>
    </row>
    <row r="414" spans="1:18" x14ac:dyDescent="0.3">
      <c r="A414" t="s">
        <v>2023</v>
      </c>
      <c r="B414" s="1">
        <v>45518</v>
      </c>
      <c r="C414" t="s">
        <v>1300</v>
      </c>
      <c r="D414" t="s">
        <v>1531</v>
      </c>
      <c r="E414" t="s">
        <v>1592</v>
      </c>
      <c r="F414">
        <v>3</v>
      </c>
      <c r="G414" s="14">
        <v>507.33</v>
      </c>
      <c r="H414" s="17">
        <v>0.06</v>
      </c>
      <c r="I414" t="s">
        <v>1611</v>
      </c>
      <c r="J414" s="14">
        <v>1430.6705999999999</v>
      </c>
      <c r="K414" s="14">
        <f t="shared" si="48"/>
        <v>541660.32453188451</v>
      </c>
      <c r="L414" s="14">
        <f t="shared" si="49"/>
        <v>533</v>
      </c>
      <c r="M414" s="14" t="str">
        <f t="shared" si="50"/>
        <v>14-08-2024</v>
      </c>
      <c r="N414" s="14">
        <f t="shared" si="51"/>
        <v>0.15454803626461033</v>
      </c>
      <c r="O414" s="20">
        <f t="shared" si="52"/>
        <v>2.4971090268884475</v>
      </c>
      <c r="P414" s="14">
        <f t="shared" si="53"/>
        <v>480.45382181644192</v>
      </c>
      <c r="Q414" s="14">
        <f t="shared" si="54"/>
        <v>485.26514999999995</v>
      </c>
      <c r="R414" s="14" t="str">
        <f t="shared" si="55"/>
        <v>Aug</v>
      </c>
    </row>
    <row r="415" spans="1:18" x14ac:dyDescent="0.3">
      <c r="A415" t="s">
        <v>2024</v>
      </c>
      <c r="B415" s="1">
        <v>45863</v>
      </c>
      <c r="C415" t="s">
        <v>610</v>
      </c>
      <c r="D415" t="s">
        <v>1465</v>
      </c>
      <c r="E415" t="s">
        <v>1571</v>
      </c>
      <c r="F415">
        <v>1</v>
      </c>
      <c r="G415" s="14">
        <v>87.78</v>
      </c>
      <c r="H415" s="17">
        <v>0.06</v>
      </c>
      <c r="I415" t="s">
        <v>1609</v>
      </c>
      <c r="J415" s="14">
        <v>82.513199999999998</v>
      </c>
      <c r="K415" s="14">
        <f t="shared" si="48"/>
        <v>541660.32453188451</v>
      </c>
      <c r="L415" s="14">
        <f t="shared" si="49"/>
        <v>533</v>
      </c>
      <c r="M415" s="14" t="str">
        <f t="shared" si="50"/>
        <v>25-07-2025</v>
      </c>
      <c r="N415" s="14">
        <f t="shared" si="51"/>
        <v>0.15460768802250599</v>
      </c>
      <c r="O415" s="20">
        <f t="shared" si="52"/>
        <v>2.4967917455173998</v>
      </c>
      <c r="P415" s="14">
        <f t="shared" si="53"/>
        <v>480.43686523714632</v>
      </c>
      <c r="Q415" s="14">
        <f t="shared" si="54"/>
        <v>42.838300000000004</v>
      </c>
      <c r="R415" s="14" t="str">
        <f t="shared" si="55"/>
        <v>Jul</v>
      </c>
    </row>
    <row r="416" spans="1:18" x14ac:dyDescent="0.3">
      <c r="A416" t="s">
        <v>2025</v>
      </c>
      <c r="B416" s="1">
        <v>45666</v>
      </c>
      <c r="C416" t="s">
        <v>36</v>
      </c>
      <c r="D416" t="s">
        <v>1519</v>
      </c>
      <c r="E416" t="s">
        <v>1554</v>
      </c>
      <c r="F416">
        <v>2</v>
      </c>
      <c r="G416" s="14">
        <v>772.24</v>
      </c>
      <c r="H416" s="17">
        <v>0.22</v>
      </c>
      <c r="I416" t="s">
        <v>1609</v>
      </c>
      <c r="J416" s="14">
        <v>1204.6944000000001</v>
      </c>
      <c r="K416" s="14">
        <f t="shared" si="48"/>
        <v>541577.81133188459</v>
      </c>
      <c r="L416" s="14">
        <f t="shared" si="49"/>
        <v>532</v>
      </c>
      <c r="M416" s="14" t="str">
        <f t="shared" si="50"/>
        <v>09-01-2025</v>
      </c>
      <c r="N416" s="14">
        <f t="shared" si="51"/>
        <v>0.15466741509827778</v>
      </c>
      <c r="O416" s="20">
        <f t="shared" si="52"/>
        <v>2.4977366898011857</v>
      </c>
      <c r="P416" s="14">
        <f t="shared" si="53"/>
        <v>480.6847546722708</v>
      </c>
      <c r="Q416" s="14">
        <f t="shared" si="54"/>
        <v>494.78860000000003</v>
      </c>
      <c r="R416" s="14" t="str">
        <f t="shared" si="55"/>
        <v>Jan</v>
      </c>
    </row>
    <row r="417" spans="1:18" x14ac:dyDescent="0.3">
      <c r="A417" t="s">
        <v>2026</v>
      </c>
      <c r="B417" s="1">
        <v>45813</v>
      </c>
      <c r="C417" t="s">
        <v>181</v>
      </c>
      <c r="D417" t="s">
        <v>1473</v>
      </c>
      <c r="E417" t="s">
        <v>1584</v>
      </c>
      <c r="F417">
        <v>1</v>
      </c>
      <c r="G417" s="14">
        <v>108.27</v>
      </c>
      <c r="H417" s="17">
        <v>0.1</v>
      </c>
      <c r="I417" t="s">
        <v>1614</v>
      </c>
      <c r="J417" s="14">
        <v>97.442999999999998</v>
      </c>
      <c r="K417" s="14">
        <f t="shared" si="48"/>
        <v>540373.11693188467</v>
      </c>
      <c r="L417" s="14">
        <f t="shared" si="49"/>
        <v>531</v>
      </c>
      <c r="M417" s="14" t="str">
        <f t="shared" si="50"/>
        <v>05-06-2025</v>
      </c>
      <c r="N417" s="14">
        <f t="shared" si="51"/>
        <v>0.15462614372436642</v>
      </c>
      <c r="O417" s="20">
        <f t="shared" si="52"/>
        <v>2.4980511160107888</v>
      </c>
      <c r="P417" s="14">
        <f t="shared" si="53"/>
        <v>480.5005757428155</v>
      </c>
      <c r="Q417" s="14">
        <f t="shared" si="54"/>
        <v>51.703249999999997</v>
      </c>
      <c r="R417" s="14" t="str">
        <f t="shared" si="55"/>
        <v>Jun</v>
      </c>
    </row>
    <row r="418" spans="1:18" x14ac:dyDescent="0.3">
      <c r="A418" t="s">
        <v>2027</v>
      </c>
      <c r="B418" s="1">
        <v>45633</v>
      </c>
      <c r="C418" t="s">
        <v>1089</v>
      </c>
      <c r="D418" t="s">
        <v>1409</v>
      </c>
      <c r="E418" t="s">
        <v>1592</v>
      </c>
      <c r="F418">
        <v>2</v>
      </c>
      <c r="G418" s="14">
        <v>839.24</v>
      </c>
      <c r="H418" s="17">
        <v>0.21</v>
      </c>
      <c r="I418" t="s">
        <v>1611</v>
      </c>
      <c r="J418" s="14">
        <v>1325.9992</v>
      </c>
      <c r="K418" s="14">
        <f t="shared" si="48"/>
        <v>540373.11693188467</v>
      </c>
      <c r="L418" s="14">
        <f t="shared" si="49"/>
        <v>531</v>
      </c>
      <c r="M418" s="14" t="str">
        <f t="shared" si="50"/>
        <v>07-12-2024</v>
      </c>
      <c r="N418" s="14">
        <f t="shared" si="51"/>
        <v>0.15466067352444501</v>
      </c>
      <c r="O418" s="20">
        <f t="shared" si="52"/>
        <v>2.4989980509766614</v>
      </c>
      <c r="P418" s="14">
        <f t="shared" si="53"/>
        <v>480.73586687792471</v>
      </c>
      <c r="Q418" s="14">
        <f t="shared" si="54"/>
        <v>541.8623</v>
      </c>
      <c r="R418" s="14" t="str">
        <f t="shared" si="55"/>
        <v>Dec</v>
      </c>
    </row>
    <row r="419" spans="1:18" x14ac:dyDescent="0.3">
      <c r="A419" t="s">
        <v>2028</v>
      </c>
      <c r="B419" s="1">
        <v>45331</v>
      </c>
      <c r="C419" t="s">
        <v>1196</v>
      </c>
      <c r="D419" t="s">
        <v>1449</v>
      </c>
      <c r="E419" t="s">
        <v>1574</v>
      </c>
      <c r="F419">
        <v>2</v>
      </c>
      <c r="G419" s="14">
        <v>466.27</v>
      </c>
      <c r="H419" s="17">
        <v>0.11</v>
      </c>
      <c r="I419" t="s">
        <v>1611</v>
      </c>
      <c r="J419" s="14">
        <v>829.9606</v>
      </c>
      <c r="K419" s="14">
        <f t="shared" si="48"/>
        <v>540373.11693188467</v>
      </c>
      <c r="L419" s="14">
        <f t="shared" si="49"/>
        <v>531</v>
      </c>
      <c r="M419" s="14" t="str">
        <f t="shared" si="50"/>
        <v>09-02-2024</v>
      </c>
      <c r="N419" s="14">
        <f t="shared" si="51"/>
        <v>0.15462567078790135</v>
      </c>
      <c r="O419" s="20">
        <f t="shared" si="52"/>
        <v>2.4993136727672853</v>
      </c>
      <c r="P419" s="14">
        <f t="shared" si="53"/>
        <v>480.50910904546294</v>
      </c>
      <c r="Q419" s="14">
        <f t="shared" si="54"/>
        <v>324.58515</v>
      </c>
      <c r="R419" s="14" t="str">
        <f t="shared" si="55"/>
        <v>Feb</v>
      </c>
    </row>
    <row r="420" spans="1:18" x14ac:dyDescent="0.3">
      <c r="A420" t="s">
        <v>2029</v>
      </c>
      <c r="B420" s="1">
        <v>45942</v>
      </c>
      <c r="C420" t="s">
        <v>1219</v>
      </c>
      <c r="D420" t="s">
        <v>1457</v>
      </c>
      <c r="E420" t="s">
        <v>1584</v>
      </c>
      <c r="F420">
        <v>3</v>
      </c>
      <c r="G420" s="14">
        <v>969.83</v>
      </c>
      <c r="H420" s="17">
        <v>0.02</v>
      </c>
      <c r="I420" t="s">
        <v>1609</v>
      </c>
      <c r="J420" s="14">
        <v>2851.3002000000001</v>
      </c>
      <c r="K420" s="14">
        <f t="shared" si="48"/>
        <v>540373.11693188467</v>
      </c>
      <c r="L420" s="14">
        <f t="shared" si="49"/>
        <v>531</v>
      </c>
      <c r="M420" s="14" t="str">
        <f t="shared" si="50"/>
        <v>12-10-2025</v>
      </c>
      <c r="N420" s="14">
        <f t="shared" si="51"/>
        <v>0.15465391488333674</v>
      </c>
      <c r="O420" s="20">
        <f t="shared" si="52"/>
        <v>2.4996296940791631</v>
      </c>
      <c r="P420" s="14">
        <f t="shared" si="53"/>
        <v>480.51812113979554</v>
      </c>
      <c r="Q420" s="14">
        <f t="shared" si="54"/>
        <v>956.03755000000001</v>
      </c>
      <c r="R420" s="14" t="str">
        <f t="shared" si="55"/>
        <v>Oct</v>
      </c>
    </row>
    <row r="421" spans="1:18" x14ac:dyDescent="0.3">
      <c r="A421" t="s">
        <v>2030</v>
      </c>
      <c r="B421" s="1">
        <v>45824</v>
      </c>
      <c r="C421" t="s">
        <v>1238</v>
      </c>
      <c r="D421" t="s">
        <v>1515</v>
      </c>
      <c r="E421" t="s">
        <v>1598</v>
      </c>
      <c r="F421">
        <v>2</v>
      </c>
      <c r="G421" s="14">
        <v>782.11</v>
      </c>
      <c r="H421" s="17">
        <v>0.17</v>
      </c>
      <c r="I421" t="s">
        <v>1611</v>
      </c>
      <c r="J421" s="14">
        <v>1298.3026</v>
      </c>
      <c r="K421" s="14">
        <f t="shared" si="48"/>
        <v>537521.81673188461</v>
      </c>
      <c r="L421" s="14">
        <f t="shared" si="49"/>
        <v>530</v>
      </c>
      <c r="M421" s="14" t="str">
        <f t="shared" si="50"/>
        <v>16-06-2025</v>
      </c>
      <c r="N421" s="14">
        <f t="shared" si="51"/>
        <v>0.15473919285349716</v>
      </c>
      <c r="O421" s="20">
        <f t="shared" si="52"/>
        <v>2.4993128034484347</v>
      </c>
      <c r="P421" s="14">
        <f t="shared" si="53"/>
        <v>480.20823394609056</v>
      </c>
      <c r="Q421" s="14">
        <f t="shared" si="54"/>
        <v>520.64564999999993</v>
      </c>
      <c r="R421" s="14" t="str">
        <f t="shared" si="55"/>
        <v>Jun</v>
      </c>
    </row>
    <row r="422" spans="1:18" x14ac:dyDescent="0.3">
      <c r="A422" t="s">
        <v>2031</v>
      </c>
      <c r="B422" s="1">
        <v>45921</v>
      </c>
      <c r="C422" t="s">
        <v>1272</v>
      </c>
      <c r="D422" t="s">
        <v>1413</v>
      </c>
      <c r="E422" t="s">
        <v>1577</v>
      </c>
      <c r="F422">
        <v>2</v>
      </c>
      <c r="G422" s="14">
        <v>74.63</v>
      </c>
      <c r="H422" s="17">
        <v>0.01</v>
      </c>
      <c r="I422" t="s">
        <v>1611</v>
      </c>
      <c r="J422" s="14">
        <v>147.76740000000001</v>
      </c>
      <c r="K422" s="14">
        <f t="shared" si="48"/>
        <v>537521.81673188461</v>
      </c>
      <c r="L422" s="14">
        <f t="shared" si="49"/>
        <v>530</v>
      </c>
      <c r="M422" s="14" t="str">
        <f t="shared" si="50"/>
        <v>21-09-2025</v>
      </c>
      <c r="N422" s="14">
        <f t="shared" si="51"/>
        <v>0.15472952187304945</v>
      </c>
      <c r="O422" s="20">
        <f t="shared" si="52"/>
        <v>2.4996292247433956</v>
      </c>
      <c r="P422" s="14">
        <f t="shared" si="53"/>
        <v>480.01691470271038</v>
      </c>
      <c r="Q422" s="14">
        <f t="shared" si="54"/>
        <v>56.101849999999999</v>
      </c>
      <c r="R422" s="14" t="str">
        <f t="shared" si="55"/>
        <v>Sep</v>
      </c>
    </row>
    <row r="423" spans="1:18" x14ac:dyDescent="0.3">
      <c r="A423" t="s">
        <v>2032</v>
      </c>
      <c r="B423" s="1">
        <v>45909</v>
      </c>
      <c r="C423" t="s">
        <v>160</v>
      </c>
      <c r="D423" t="s">
        <v>1503</v>
      </c>
      <c r="E423" t="s">
        <v>1561</v>
      </c>
      <c r="F423">
        <v>3</v>
      </c>
      <c r="G423" s="14">
        <v>522.78</v>
      </c>
      <c r="H423" s="17">
        <v>0.25</v>
      </c>
      <c r="I423" t="s">
        <v>1611</v>
      </c>
      <c r="J423" s="14">
        <v>1176.2550000000001</v>
      </c>
      <c r="K423" s="14">
        <f t="shared" si="48"/>
        <v>537521.81673188461</v>
      </c>
      <c r="L423" s="14">
        <f t="shared" si="49"/>
        <v>530</v>
      </c>
      <c r="M423" s="14" t="str">
        <f t="shared" si="50"/>
        <v>09-09-2025</v>
      </c>
      <c r="N423" s="14">
        <f t="shared" si="51"/>
        <v>0.15482129709300699</v>
      </c>
      <c r="O423" s="20">
        <f t="shared" si="52"/>
        <v>2.4999460473335944</v>
      </c>
      <c r="P423" s="14">
        <f t="shared" si="53"/>
        <v>480.27397679193211</v>
      </c>
      <c r="Q423" s="14">
        <f t="shared" si="54"/>
        <v>425.57125000000002</v>
      </c>
      <c r="R423" s="14" t="str">
        <f t="shared" si="55"/>
        <v>Sep</v>
      </c>
    </row>
    <row r="424" spans="1:18" x14ac:dyDescent="0.3">
      <c r="A424" t="s">
        <v>2033</v>
      </c>
      <c r="B424" s="1">
        <v>45853</v>
      </c>
      <c r="C424" t="s">
        <v>1062</v>
      </c>
      <c r="D424" t="s">
        <v>1359</v>
      </c>
      <c r="E424" t="s">
        <v>1586</v>
      </c>
      <c r="F424">
        <v>1</v>
      </c>
      <c r="G424" s="14">
        <v>206.45</v>
      </c>
      <c r="H424" s="17">
        <v>0.15</v>
      </c>
      <c r="I424" t="s">
        <v>1611</v>
      </c>
      <c r="J424" s="14">
        <v>175.48249999999999</v>
      </c>
      <c r="K424" s="14">
        <f t="shared" si="48"/>
        <v>537521.81673188461</v>
      </c>
      <c r="L424" s="14">
        <f t="shared" si="49"/>
        <v>530</v>
      </c>
      <c r="M424" s="14" t="str">
        <f t="shared" si="50"/>
        <v>15-07-2025</v>
      </c>
      <c r="N424" s="14">
        <f t="shared" si="51"/>
        <v>0.15476090451502031</v>
      </c>
      <c r="O424" s="20">
        <f t="shared" si="52"/>
        <v>2.4996287542164199</v>
      </c>
      <c r="P424" s="14">
        <f t="shared" si="53"/>
        <v>480.24700596502345</v>
      </c>
      <c r="Q424" s="14">
        <f t="shared" si="54"/>
        <v>95.770624999999995</v>
      </c>
      <c r="R424" s="14" t="str">
        <f t="shared" si="55"/>
        <v>Jul</v>
      </c>
    </row>
    <row r="425" spans="1:18" x14ac:dyDescent="0.3">
      <c r="A425" t="s">
        <v>2034</v>
      </c>
      <c r="B425" s="1">
        <v>45580</v>
      </c>
      <c r="C425" t="s">
        <v>490</v>
      </c>
      <c r="D425" t="s">
        <v>1471</v>
      </c>
      <c r="E425" t="s">
        <v>1558</v>
      </c>
      <c r="F425">
        <v>1</v>
      </c>
      <c r="G425" s="14">
        <v>815.53</v>
      </c>
      <c r="H425" s="17">
        <v>0.3</v>
      </c>
      <c r="I425" t="s">
        <v>1611</v>
      </c>
      <c r="J425" s="14">
        <v>570.87099999999998</v>
      </c>
      <c r="K425" s="14">
        <f t="shared" si="48"/>
        <v>537521.81673188461</v>
      </c>
      <c r="L425" s="14">
        <f t="shared" si="49"/>
        <v>530</v>
      </c>
      <c r="M425" s="14" t="str">
        <f t="shared" si="50"/>
        <v>15-10-2024</v>
      </c>
      <c r="N425" s="14">
        <f t="shared" si="51"/>
        <v>0.15476392731153782</v>
      </c>
      <c r="O425" s="20">
        <f t="shared" si="52"/>
        <v>2.5005808994571925</v>
      </c>
      <c r="P425" s="14">
        <f t="shared" si="53"/>
        <v>480.42084533389016</v>
      </c>
      <c r="Q425" s="14">
        <f t="shared" si="54"/>
        <v>346.92525000000001</v>
      </c>
      <c r="R425" s="14" t="str">
        <f t="shared" si="55"/>
        <v>Oct</v>
      </c>
    </row>
    <row r="426" spans="1:18" x14ac:dyDescent="0.3">
      <c r="A426" t="s">
        <v>2035</v>
      </c>
      <c r="B426" s="1">
        <v>45220</v>
      </c>
      <c r="C426" t="s">
        <v>147</v>
      </c>
      <c r="D426" t="s">
        <v>1491</v>
      </c>
      <c r="E426" t="s">
        <v>1582</v>
      </c>
      <c r="F426">
        <v>1</v>
      </c>
      <c r="G426" s="14">
        <v>823.61</v>
      </c>
      <c r="H426" s="17">
        <v>0.28000000000000003</v>
      </c>
      <c r="I426" t="s">
        <v>1614</v>
      </c>
      <c r="J426" s="14">
        <v>592.99919999999997</v>
      </c>
      <c r="K426" s="14">
        <f t="shared" si="48"/>
        <v>537521.81673188461</v>
      </c>
      <c r="L426" s="14">
        <f t="shared" si="49"/>
        <v>530</v>
      </c>
      <c r="M426" s="14" t="str">
        <f t="shared" si="50"/>
        <v>21-10-2023</v>
      </c>
      <c r="N426" s="14">
        <f t="shared" si="51"/>
        <v>0.15467165534667854</v>
      </c>
      <c r="O426" s="20">
        <f t="shared" si="52"/>
        <v>2.5015342545394397</v>
      </c>
      <c r="P426" s="14">
        <f t="shared" si="53"/>
        <v>480.20794244020146</v>
      </c>
      <c r="Q426" s="14">
        <f t="shared" si="54"/>
        <v>354.47230000000002</v>
      </c>
      <c r="R426" s="14" t="str">
        <f t="shared" si="55"/>
        <v>Oct</v>
      </c>
    </row>
    <row r="427" spans="1:18" x14ac:dyDescent="0.3">
      <c r="A427" t="s">
        <v>2036</v>
      </c>
      <c r="B427" s="1">
        <v>45807</v>
      </c>
      <c r="C427" t="s">
        <v>1299</v>
      </c>
      <c r="D427" t="s">
        <v>1507</v>
      </c>
      <c r="E427" t="s">
        <v>1571</v>
      </c>
      <c r="F427">
        <v>2</v>
      </c>
      <c r="G427" s="14">
        <v>209.96</v>
      </c>
      <c r="H427" s="17">
        <v>0.15</v>
      </c>
      <c r="I427" t="s">
        <v>1609</v>
      </c>
      <c r="J427" s="14">
        <v>419.92</v>
      </c>
      <c r="K427" s="14">
        <f t="shared" si="48"/>
        <v>537521.81673188461</v>
      </c>
      <c r="L427" s="14">
        <f t="shared" si="49"/>
        <v>530</v>
      </c>
      <c r="M427" s="14" t="str">
        <f t="shared" si="50"/>
        <v>30-05-2025</v>
      </c>
      <c r="N427" s="14">
        <f t="shared" si="51"/>
        <v>0.15459198062026194</v>
      </c>
      <c r="O427" s="20">
        <f t="shared" si="52"/>
        <v>2.5024888217705521</v>
      </c>
      <c r="P427" s="14">
        <f t="shared" si="53"/>
        <v>479.98963216838968</v>
      </c>
      <c r="Q427" s="14">
        <f t="shared" si="54"/>
        <v>158.00749999999999</v>
      </c>
      <c r="R427" s="14" t="str">
        <f t="shared" si="55"/>
        <v>May</v>
      </c>
    </row>
    <row r="428" spans="1:18" x14ac:dyDescent="0.3">
      <c r="A428" t="s">
        <v>2037</v>
      </c>
      <c r="B428" s="1">
        <v>45462</v>
      </c>
      <c r="C428" t="s">
        <v>579</v>
      </c>
      <c r="D428" t="s">
        <v>1328</v>
      </c>
      <c r="E428" t="s">
        <v>1589</v>
      </c>
      <c r="F428">
        <v>4</v>
      </c>
      <c r="G428" s="14">
        <v>897.93</v>
      </c>
      <c r="H428" s="17">
        <v>0.05</v>
      </c>
      <c r="I428" t="s">
        <v>1614</v>
      </c>
      <c r="J428" s="14">
        <v>3412.134</v>
      </c>
      <c r="K428" s="14">
        <f t="shared" si="48"/>
        <v>537101.89673188445</v>
      </c>
      <c r="L428" s="14">
        <f t="shared" si="49"/>
        <v>529</v>
      </c>
      <c r="M428" s="14" t="str">
        <f t="shared" si="50"/>
        <v>19-06-2024</v>
      </c>
      <c r="N428" s="14">
        <f t="shared" si="51"/>
        <v>0.15459490172752674</v>
      </c>
      <c r="O428" s="20">
        <f t="shared" si="52"/>
        <v>2.5028084711482688</v>
      </c>
      <c r="P428" s="14">
        <f t="shared" si="53"/>
        <v>480.16140674356046</v>
      </c>
      <c r="Q428" s="14">
        <f t="shared" si="54"/>
        <v>1078.5284999999999</v>
      </c>
      <c r="R428" s="14" t="str">
        <f t="shared" si="55"/>
        <v>Jun</v>
      </c>
    </row>
    <row r="429" spans="1:18" x14ac:dyDescent="0.3">
      <c r="A429" t="s">
        <v>2038</v>
      </c>
      <c r="B429" s="1">
        <v>45646</v>
      </c>
      <c r="C429" t="s">
        <v>598</v>
      </c>
      <c r="D429" t="s">
        <v>1459</v>
      </c>
      <c r="E429" t="s">
        <v>1537</v>
      </c>
      <c r="F429">
        <v>4</v>
      </c>
      <c r="G429" s="14">
        <v>925.95</v>
      </c>
      <c r="H429" s="17">
        <v>0.16</v>
      </c>
      <c r="I429" t="s">
        <v>1614</v>
      </c>
      <c r="J429" s="14">
        <v>3111.192</v>
      </c>
      <c r="K429" s="14">
        <f t="shared" si="48"/>
        <v>537101.89673188445</v>
      </c>
      <c r="L429" s="14">
        <f t="shared" si="49"/>
        <v>529</v>
      </c>
      <c r="M429" s="14" t="str">
        <f t="shared" si="50"/>
        <v>20-12-2024</v>
      </c>
      <c r="N429" s="14">
        <f t="shared" si="51"/>
        <v>0.15466148027732149</v>
      </c>
      <c r="O429" s="20">
        <f t="shared" si="52"/>
        <v>2.5018554529885919</v>
      </c>
      <c r="P429" s="14">
        <f t="shared" si="53"/>
        <v>479.89548147732461</v>
      </c>
      <c r="Q429" s="14">
        <f t="shared" si="54"/>
        <v>1010.3255</v>
      </c>
      <c r="R429" s="14" t="str">
        <f t="shared" si="55"/>
        <v>Dec</v>
      </c>
    </row>
    <row r="430" spans="1:18" x14ac:dyDescent="0.3">
      <c r="A430" t="s">
        <v>2039</v>
      </c>
      <c r="B430" s="1">
        <v>45520</v>
      </c>
      <c r="C430" t="s">
        <v>304</v>
      </c>
      <c r="D430" t="s">
        <v>1435</v>
      </c>
      <c r="E430" t="s">
        <v>1561</v>
      </c>
      <c r="F430">
        <v>2</v>
      </c>
      <c r="G430" s="14">
        <v>573.09</v>
      </c>
      <c r="H430" s="17">
        <v>0.03</v>
      </c>
      <c r="I430" t="s">
        <v>1614</v>
      </c>
      <c r="J430" s="14">
        <v>1111.7945999999999</v>
      </c>
      <c r="K430" s="14">
        <f t="shared" si="48"/>
        <v>537101.89673188445</v>
      </c>
      <c r="L430" s="14">
        <f t="shared" si="49"/>
        <v>529</v>
      </c>
      <c r="M430" s="14" t="str">
        <f t="shared" si="50"/>
        <v>16-08-2024</v>
      </c>
      <c r="N430" s="14">
        <f t="shared" si="51"/>
        <v>0.15465807994628794</v>
      </c>
      <c r="O430" s="20">
        <f t="shared" si="52"/>
        <v>2.5009012207930437</v>
      </c>
      <c r="P430" s="14">
        <f t="shared" si="53"/>
        <v>479.61137031902985</v>
      </c>
      <c r="Q430" s="14">
        <f t="shared" si="54"/>
        <v>421.72865000000002</v>
      </c>
      <c r="R430" s="14" t="str">
        <f t="shared" si="55"/>
        <v>Aug</v>
      </c>
    </row>
    <row r="431" spans="1:18" x14ac:dyDescent="0.3">
      <c r="A431" t="s">
        <v>2040</v>
      </c>
      <c r="B431" s="1">
        <v>45731</v>
      </c>
      <c r="C431" t="s">
        <v>604</v>
      </c>
      <c r="D431" t="s">
        <v>1345</v>
      </c>
      <c r="E431" t="s">
        <v>1554</v>
      </c>
      <c r="F431">
        <v>4</v>
      </c>
      <c r="G431" s="14">
        <v>149.83000000000001</v>
      </c>
      <c r="H431" s="17">
        <v>0.02</v>
      </c>
      <c r="I431" t="s">
        <v>1609</v>
      </c>
      <c r="J431" s="14">
        <v>587.33360000000005</v>
      </c>
      <c r="K431" s="14">
        <f t="shared" si="48"/>
        <v>537101.89673188445</v>
      </c>
      <c r="L431" s="14">
        <f t="shared" si="49"/>
        <v>529</v>
      </c>
      <c r="M431" s="14" t="str">
        <f t="shared" si="50"/>
        <v>15-03-2025</v>
      </c>
      <c r="N431" s="14">
        <f t="shared" si="51"/>
        <v>0.15473753060272277</v>
      </c>
      <c r="O431" s="20">
        <f t="shared" si="52"/>
        <v>2.5012204694997311</v>
      </c>
      <c r="P431" s="14">
        <f t="shared" si="53"/>
        <v>479.55179184249641</v>
      </c>
      <c r="Q431" s="14">
        <f t="shared" si="54"/>
        <v>185.29590000000002</v>
      </c>
      <c r="R431" s="14" t="str">
        <f t="shared" si="55"/>
        <v>Mar</v>
      </c>
    </row>
    <row r="432" spans="1:18" x14ac:dyDescent="0.3">
      <c r="A432" t="s">
        <v>2041</v>
      </c>
      <c r="B432" s="1">
        <v>45445</v>
      </c>
      <c r="C432" t="s">
        <v>14</v>
      </c>
      <c r="D432" t="s">
        <v>1435</v>
      </c>
      <c r="E432" t="s">
        <v>1584</v>
      </c>
      <c r="F432">
        <v>3</v>
      </c>
      <c r="G432" s="14">
        <v>287.70999999999998</v>
      </c>
      <c r="H432" s="17">
        <v>0.03</v>
      </c>
      <c r="I432" t="s">
        <v>1614</v>
      </c>
      <c r="J432" s="14">
        <v>837.23609999999985</v>
      </c>
      <c r="K432" s="14">
        <f t="shared" si="48"/>
        <v>536514.56313188444</v>
      </c>
      <c r="L432" s="14">
        <f t="shared" si="49"/>
        <v>528</v>
      </c>
      <c r="M432" s="14" t="str">
        <f t="shared" si="50"/>
        <v>02-06-2024</v>
      </c>
      <c r="N432" s="14">
        <f t="shared" si="51"/>
        <v>0.15482346015030105</v>
      </c>
      <c r="O432" s="20">
        <f t="shared" si="52"/>
        <v>2.5002646152073202</v>
      </c>
      <c r="P432" s="14">
        <f t="shared" si="53"/>
        <v>479.76207359749799</v>
      </c>
      <c r="Q432" s="14">
        <f t="shared" si="54"/>
        <v>281.99402499999997</v>
      </c>
      <c r="R432" s="14" t="str">
        <f t="shared" si="55"/>
        <v>Jun</v>
      </c>
    </row>
    <row r="433" spans="1:18" x14ac:dyDescent="0.3">
      <c r="A433" t="s">
        <v>2042</v>
      </c>
      <c r="B433" s="1">
        <v>45860</v>
      </c>
      <c r="C433" t="s">
        <v>338</v>
      </c>
      <c r="D433" t="s">
        <v>1467</v>
      </c>
      <c r="E433" t="s">
        <v>1561</v>
      </c>
      <c r="F433">
        <v>2</v>
      </c>
      <c r="G433" s="14">
        <v>849.8</v>
      </c>
      <c r="H433" s="17">
        <v>0.06</v>
      </c>
      <c r="I433" t="s">
        <v>1614</v>
      </c>
      <c r="J433" s="14">
        <v>1597.624</v>
      </c>
      <c r="K433" s="14">
        <f t="shared" si="48"/>
        <v>536514.56313188444</v>
      </c>
      <c r="L433" s="14">
        <f t="shared" si="49"/>
        <v>528</v>
      </c>
      <c r="M433" s="14" t="str">
        <f t="shared" si="50"/>
        <v>22-07-2025</v>
      </c>
      <c r="N433" s="14">
        <f t="shared" si="51"/>
        <v>0.15490311775090748</v>
      </c>
      <c r="O433" s="20">
        <f t="shared" si="52"/>
        <v>2.4999457030281294</v>
      </c>
      <c r="P433" s="14">
        <f t="shared" si="53"/>
        <v>479.88463395078293</v>
      </c>
      <c r="Q433" s="14">
        <f t="shared" si="54"/>
        <v>612.37099999999998</v>
      </c>
      <c r="R433" s="14" t="str">
        <f t="shared" si="55"/>
        <v>Jul</v>
      </c>
    </row>
    <row r="434" spans="1:18" x14ac:dyDescent="0.3">
      <c r="A434" t="s">
        <v>2043</v>
      </c>
      <c r="B434" s="1">
        <v>45725</v>
      </c>
      <c r="C434" t="s">
        <v>75</v>
      </c>
      <c r="D434" t="s">
        <v>1415</v>
      </c>
      <c r="E434" t="s">
        <v>1551</v>
      </c>
      <c r="F434">
        <v>3</v>
      </c>
      <c r="G434" s="14">
        <v>482.58</v>
      </c>
      <c r="H434" s="17">
        <v>0.28000000000000003</v>
      </c>
      <c r="I434" t="s">
        <v>1611</v>
      </c>
      <c r="J434" s="14">
        <v>1042.3728000000001</v>
      </c>
      <c r="K434" s="14">
        <f t="shared" si="48"/>
        <v>536514.56313188444</v>
      </c>
      <c r="L434" s="14">
        <f t="shared" si="49"/>
        <v>528</v>
      </c>
      <c r="M434" s="14" t="str">
        <f t="shared" si="50"/>
        <v>09-03-2025</v>
      </c>
      <c r="N434" s="14">
        <f t="shared" si="51"/>
        <v>0.15496371999723629</v>
      </c>
      <c r="O434" s="20">
        <f t="shared" si="52"/>
        <v>2.5002649531577767</v>
      </c>
      <c r="P434" s="14">
        <f t="shared" si="53"/>
        <v>479.64841724193917</v>
      </c>
      <c r="Q434" s="14">
        <f t="shared" si="54"/>
        <v>382.0582</v>
      </c>
      <c r="R434" s="14" t="str">
        <f t="shared" si="55"/>
        <v>Mar</v>
      </c>
    </row>
    <row r="435" spans="1:18" x14ac:dyDescent="0.3">
      <c r="A435" t="s">
        <v>2044</v>
      </c>
      <c r="B435" s="1">
        <v>45699</v>
      </c>
      <c r="C435" t="s">
        <v>399</v>
      </c>
      <c r="D435" t="s">
        <v>1451</v>
      </c>
      <c r="E435" t="s">
        <v>1546</v>
      </c>
      <c r="F435">
        <v>2</v>
      </c>
      <c r="G435" s="14">
        <v>64.7</v>
      </c>
      <c r="H435" s="17">
        <v>0.15</v>
      </c>
      <c r="I435" t="s">
        <v>1609</v>
      </c>
      <c r="J435" s="14">
        <v>129.4</v>
      </c>
      <c r="K435" s="14">
        <f t="shared" si="48"/>
        <v>536514.56313188444</v>
      </c>
      <c r="L435" s="14">
        <f t="shared" si="49"/>
        <v>528</v>
      </c>
      <c r="M435" s="14" t="str">
        <f t="shared" si="50"/>
        <v>11-02-2025</v>
      </c>
      <c r="N435" s="14">
        <f t="shared" si="51"/>
        <v>0.15488382461065306</v>
      </c>
      <c r="O435" s="20">
        <f t="shared" si="52"/>
        <v>2.4999456336390278</v>
      </c>
      <c r="P435" s="14">
        <f t="shared" si="53"/>
        <v>479.64654402611939</v>
      </c>
      <c r="Q435" s="14">
        <f t="shared" si="54"/>
        <v>49.0625</v>
      </c>
      <c r="R435" s="14" t="str">
        <f t="shared" si="55"/>
        <v>Feb</v>
      </c>
    </row>
    <row r="436" spans="1:18" x14ac:dyDescent="0.3">
      <c r="A436" t="s">
        <v>2045</v>
      </c>
      <c r="B436" s="1">
        <v>45266</v>
      </c>
      <c r="C436" t="s">
        <v>499</v>
      </c>
      <c r="D436" t="s">
        <v>1340</v>
      </c>
      <c r="E436" t="s">
        <v>1558</v>
      </c>
      <c r="F436">
        <v>3</v>
      </c>
      <c r="G436" s="14">
        <v>589.83000000000004</v>
      </c>
      <c r="H436" s="17">
        <v>0.26</v>
      </c>
      <c r="I436" t="s">
        <v>1609</v>
      </c>
      <c r="J436" s="14">
        <v>1309.4226000000001</v>
      </c>
      <c r="K436" s="14">
        <f t="shared" si="48"/>
        <v>536385.16313188453</v>
      </c>
      <c r="L436" s="14">
        <f t="shared" si="49"/>
        <v>527</v>
      </c>
      <c r="M436" s="14" t="str">
        <f t="shared" si="50"/>
        <v>06-12-2023</v>
      </c>
      <c r="N436" s="14">
        <f t="shared" si="51"/>
        <v>0.15488694726065985</v>
      </c>
      <c r="O436" s="20">
        <f t="shared" si="52"/>
        <v>2.5002652919725561</v>
      </c>
      <c r="P436" s="14">
        <f t="shared" si="53"/>
        <v>479.91185511565021</v>
      </c>
      <c r="Q436" s="14">
        <f t="shared" si="54"/>
        <v>475.62815000000001</v>
      </c>
      <c r="R436" s="14" t="str">
        <f t="shared" si="55"/>
        <v>Dec</v>
      </c>
    </row>
    <row r="437" spans="1:18" x14ac:dyDescent="0.3">
      <c r="A437" t="s">
        <v>2046</v>
      </c>
      <c r="B437" s="1">
        <v>45889</v>
      </c>
      <c r="C437" t="s">
        <v>914</v>
      </c>
      <c r="D437" t="s">
        <v>1336</v>
      </c>
      <c r="E437" t="s">
        <v>1571</v>
      </c>
      <c r="F437">
        <v>4</v>
      </c>
      <c r="G437" s="14">
        <v>758.49</v>
      </c>
      <c r="H437" s="17">
        <v>0.16</v>
      </c>
      <c r="I437" t="s">
        <v>1614</v>
      </c>
      <c r="J437" s="14">
        <v>2548.5264000000002</v>
      </c>
      <c r="K437" s="14">
        <f t="shared" si="48"/>
        <v>535075.74053188448</v>
      </c>
      <c r="L437" s="14">
        <f t="shared" si="49"/>
        <v>526</v>
      </c>
      <c r="M437" s="14" t="str">
        <f t="shared" si="50"/>
        <v>20-08-2025</v>
      </c>
      <c r="N437" s="14">
        <f t="shared" si="51"/>
        <v>0.15481969642717341</v>
      </c>
      <c r="O437" s="20">
        <f t="shared" si="52"/>
        <v>2.4999455640723469</v>
      </c>
      <c r="P437" s="14">
        <f t="shared" si="53"/>
        <v>479.84153000695898</v>
      </c>
      <c r="Q437" s="14">
        <f t="shared" si="54"/>
        <v>827.79410000000007</v>
      </c>
      <c r="R437" s="14" t="str">
        <f t="shared" si="55"/>
        <v>Aug</v>
      </c>
    </row>
    <row r="438" spans="1:18" x14ac:dyDescent="0.3">
      <c r="A438" t="s">
        <v>2047</v>
      </c>
      <c r="B438" s="1">
        <v>45555</v>
      </c>
      <c r="C438" t="s">
        <v>202</v>
      </c>
      <c r="D438" t="s">
        <v>1407</v>
      </c>
      <c r="E438" t="s">
        <v>1579</v>
      </c>
      <c r="F438">
        <v>4</v>
      </c>
      <c r="G438" s="14">
        <v>747.56</v>
      </c>
      <c r="H438" s="17">
        <v>0.09</v>
      </c>
      <c r="I438" t="s">
        <v>1614</v>
      </c>
      <c r="J438" s="14">
        <v>2721.1183999999998</v>
      </c>
      <c r="K438" s="14">
        <f t="shared" si="48"/>
        <v>535075.74053188448</v>
      </c>
      <c r="L438" s="14">
        <f t="shared" si="49"/>
        <v>526</v>
      </c>
      <c r="M438" s="14" t="str">
        <f t="shared" si="50"/>
        <v>20-09-2024</v>
      </c>
      <c r="N438" s="14">
        <f t="shared" si="51"/>
        <v>0.15481637997162101</v>
      </c>
      <c r="O438" s="20">
        <f t="shared" si="52"/>
        <v>2.4989852219238657</v>
      </c>
      <c r="P438" s="14">
        <f t="shared" si="53"/>
        <v>479.66313790068932</v>
      </c>
      <c r="Q438" s="14">
        <f t="shared" si="54"/>
        <v>868.19209999999998</v>
      </c>
      <c r="R438" s="14" t="str">
        <f t="shared" si="55"/>
        <v>Sep</v>
      </c>
    </row>
    <row r="439" spans="1:18" x14ac:dyDescent="0.3">
      <c r="A439" t="s">
        <v>2048</v>
      </c>
      <c r="B439" s="1">
        <v>45813</v>
      </c>
      <c r="C439" t="s">
        <v>809</v>
      </c>
      <c r="D439" t="s">
        <v>1413</v>
      </c>
      <c r="E439" t="s">
        <v>1592</v>
      </c>
      <c r="F439">
        <v>3</v>
      </c>
      <c r="G439" s="14">
        <v>551.22</v>
      </c>
      <c r="H439" s="17">
        <v>0.12</v>
      </c>
      <c r="I439" t="s">
        <v>1611</v>
      </c>
      <c r="J439" s="14">
        <v>1455.2208000000001</v>
      </c>
      <c r="K439" s="14">
        <f t="shared" si="48"/>
        <v>535075.74053188448</v>
      </c>
      <c r="L439" s="14">
        <f t="shared" si="49"/>
        <v>526</v>
      </c>
      <c r="M439" s="14" t="str">
        <f t="shared" si="50"/>
        <v>05-06-2025</v>
      </c>
      <c r="N439" s="14">
        <f t="shared" si="51"/>
        <v>0.15485790231625371</v>
      </c>
      <c r="O439" s="20">
        <f t="shared" si="52"/>
        <v>2.4980236493562318</v>
      </c>
      <c r="P439" s="14">
        <f t="shared" si="53"/>
        <v>479.49151915494991</v>
      </c>
      <c r="Q439" s="14">
        <f t="shared" si="54"/>
        <v>502.39020000000005</v>
      </c>
      <c r="R439" s="14" t="str">
        <f t="shared" si="55"/>
        <v>Jun</v>
      </c>
    </row>
    <row r="440" spans="1:18" x14ac:dyDescent="0.3">
      <c r="A440" t="s">
        <v>2049</v>
      </c>
      <c r="B440" s="1">
        <v>45811</v>
      </c>
      <c r="C440" t="s">
        <v>532</v>
      </c>
      <c r="D440" t="s">
        <v>1471</v>
      </c>
      <c r="E440" t="s">
        <v>1584</v>
      </c>
      <c r="F440">
        <v>2</v>
      </c>
      <c r="G440" s="14">
        <v>527.05999999999995</v>
      </c>
      <c r="H440" s="17">
        <v>0.17</v>
      </c>
      <c r="I440" t="s">
        <v>1611</v>
      </c>
      <c r="J440" s="14">
        <v>874.91959999999983</v>
      </c>
      <c r="K440" s="14">
        <f t="shared" si="48"/>
        <v>535075.74053188448</v>
      </c>
      <c r="L440" s="14">
        <f t="shared" si="49"/>
        <v>526</v>
      </c>
      <c r="M440" s="14" t="str">
        <f t="shared" si="50"/>
        <v>03-06-2025</v>
      </c>
      <c r="N440" s="14">
        <f t="shared" si="51"/>
        <v>0.15488024712543078</v>
      </c>
      <c r="O440" s="20">
        <f t="shared" si="52"/>
        <v>2.4977018696442812</v>
      </c>
      <c r="P440" s="14">
        <f t="shared" si="53"/>
        <v>479.44553935953644</v>
      </c>
      <c r="Q440" s="14">
        <f t="shared" si="54"/>
        <v>351.03739999999993</v>
      </c>
      <c r="R440" s="14" t="str">
        <f t="shared" si="55"/>
        <v>Jun</v>
      </c>
    </row>
    <row r="441" spans="1:18" x14ac:dyDescent="0.3">
      <c r="A441" t="s">
        <v>2050</v>
      </c>
      <c r="B441" s="1">
        <v>45670</v>
      </c>
      <c r="C441" t="s">
        <v>350</v>
      </c>
      <c r="D441" t="s">
        <v>1457</v>
      </c>
      <c r="E441" t="s">
        <v>1558</v>
      </c>
      <c r="F441">
        <v>4</v>
      </c>
      <c r="G441" s="14">
        <v>875.41</v>
      </c>
      <c r="H441" s="17">
        <v>0.27</v>
      </c>
      <c r="I441" t="s">
        <v>1609</v>
      </c>
      <c r="J441" s="14">
        <v>2556.1972000000001</v>
      </c>
      <c r="K441" s="14">
        <f t="shared" si="48"/>
        <v>535075.74053188448</v>
      </c>
      <c r="L441" s="14">
        <f t="shared" si="49"/>
        <v>526</v>
      </c>
      <c r="M441" s="14" t="str">
        <f t="shared" si="50"/>
        <v>13-01-2025</v>
      </c>
      <c r="N441" s="14">
        <f t="shared" si="51"/>
        <v>0.15487054875925083</v>
      </c>
      <c r="O441" s="20">
        <f t="shared" si="52"/>
        <v>2.4980211139480941</v>
      </c>
      <c r="P441" s="14">
        <f t="shared" si="53"/>
        <v>479.41499769138983</v>
      </c>
      <c r="Q441" s="14">
        <f t="shared" si="54"/>
        <v>858.96929999999998</v>
      </c>
      <c r="R441" s="14" t="str">
        <f t="shared" si="55"/>
        <v>Jan</v>
      </c>
    </row>
    <row r="442" spans="1:18" x14ac:dyDescent="0.3">
      <c r="A442" t="s">
        <v>2051</v>
      </c>
      <c r="B442" s="1">
        <v>45736</v>
      </c>
      <c r="C442" t="s">
        <v>40</v>
      </c>
      <c r="D442" t="s">
        <v>1503</v>
      </c>
      <c r="E442" t="s">
        <v>1537</v>
      </c>
      <c r="F442">
        <v>2</v>
      </c>
      <c r="G442" s="14">
        <v>226.43</v>
      </c>
      <c r="H442" s="17">
        <v>0.03</v>
      </c>
      <c r="I442" t="s">
        <v>1609</v>
      </c>
      <c r="J442" s="14">
        <v>439.27420000000001</v>
      </c>
      <c r="K442" s="14">
        <f t="shared" si="48"/>
        <v>532519.54333188443</v>
      </c>
      <c r="L442" s="14">
        <f t="shared" si="49"/>
        <v>525</v>
      </c>
      <c r="M442" s="14" t="str">
        <f t="shared" si="50"/>
        <v>20-03-2025</v>
      </c>
      <c r="N442" s="14">
        <f t="shared" si="51"/>
        <v>0.15479665309093199</v>
      </c>
      <c r="O442" s="20">
        <f t="shared" si="52"/>
        <v>2.4970570710173803</v>
      </c>
      <c r="P442" s="14">
        <f t="shared" si="53"/>
        <v>479.16082888374621</v>
      </c>
      <c r="Q442" s="14">
        <f t="shared" si="54"/>
        <v>166.93355</v>
      </c>
      <c r="R442" s="14" t="str">
        <f t="shared" si="55"/>
        <v>Mar</v>
      </c>
    </row>
    <row r="443" spans="1:18" x14ac:dyDescent="0.3">
      <c r="A443" t="s">
        <v>2052</v>
      </c>
      <c r="B443" s="1">
        <v>45480</v>
      </c>
      <c r="C443" t="s">
        <v>141</v>
      </c>
      <c r="D443" t="s">
        <v>1491</v>
      </c>
      <c r="E443" t="s">
        <v>1558</v>
      </c>
      <c r="F443">
        <v>2</v>
      </c>
      <c r="G443" s="14">
        <v>285.39</v>
      </c>
      <c r="H443" s="17">
        <v>0.1</v>
      </c>
      <c r="I443" t="s">
        <v>1609</v>
      </c>
      <c r="J443" s="14">
        <v>513.702</v>
      </c>
      <c r="K443" s="14">
        <f t="shared" si="48"/>
        <v>532080.26913188444</v>
      </c>
      <c r="L443" s="14">
        <f t="shared" si="49"/>
        <v>524</v>
      </c>
      <c r="M443" s="14" t="str">
        <f t="shared" si="50"/>
        <v>07-07-2024</v>
      </c>
      <c r="N443" s="14">
        <f t="shared" si="51"/>
        <v>0.15487680508392554</v>
      </c>
      <c r="O443" s="20">
        <f t="shared" si="52"/>
        <v>2.4973763112685154</v>
      </c>
      <c r="P443" s="14">
        <f t="shared" si="53"/>
        <v>479.32314797744175</v>
      </c>
      <c r="Q443" s="14">
        <f t="shared" si="54"/>
        <v>200.298</v>
      </c>
      <c r="R443" s="14" t="str">
        <f t="shared" si="55"/>
        <v>Jul</v>
      </c>
    </row>
    <row r="444" spans="1:18" x14ac:dyDescent="0.3">
      <c r="A444" t="s">
        <v>2053</v>
      </c>
      <c r="B444" s="1">
        <v>45929</v>
      </c>
      <c r="C444" t="s">
        <v>1050</v>
      </c>
      <c r="D444" t="s">
        <v>1355</v>
      </c>
      <c r="E444" t="s">
        <v>1586</v>
      </c>
      <c r="F444">
        <v>2</v>
      </c>
      <c r="G444" s="14">
        <v>298.01</v>
      </c>
      <c r="H444" s="17">
        <v>0.05</v>
      </c>
      <c r="I444" t="s">
        <v>1609</v>
      </c>
      <c r="J444" s="14">
        <v>566.21899999999994</v>
      </c>
      <c r="K444" s="14">
        <f t="shared" si="48"/>
        <v>531566.5671318844</v>
      </c>
      <c r="L444" s="14">
        <f t="shared" si="49"/>
        <v>523</v>
      </c>
      <c r="M444" s="14" t="str">
        <f t="shared" si="50"/>
        <v>29-09-2025</v>
      </c>
      <c r="N444" s="14">
        <f t="shared" si="51"/>
        <v>0.15491207295351672</v>
      </c>
      <c r="O444" s="20">
        <f t="shared" si="52"/>
        <v>2.4976959618541636</v>
      </c>
      <c r="P444" s="14">
        <f t="shared" si="53"/>
        <v>479.44778367665606</v>
      </c>
      <c r="Q444" s="14">
        <f t="shared" si="54"/>
        <v>216.56975</v>
      </c>
      <c r="R444" s="14" t="str">
        <f t="shared" si="55"/>
        <v>Sep</v>
      </c>
    </row>
    <row r="445" spans="1:18" x14ac:dyDescent="0.3">
      <c r="A445" t="s">
        <v>2054</v>
      </c>
      <c r="B445" s="1">
        <v>45626</v>
      </c>
      <c r="C445" t="s">
        <v>532</v>
      </c>
      <c r="D445" t="s">
        <v>1413</v>
      </c>
      <c r="E445" t="s">
        <v>1554</v>
      </c>
      <c r="F445">
        <v>4</v>
      </c>
      <c r="G445" s="14">
        <v>753.49</v>
      </c>
      <c r="H445" s="17">
        <v>0.26</v>
      </c>
      <c r="I445" t="s">
        <v>1614</v>
      </c>
      <c r="J445" s="14">
        <v>2230.3303999999998</v>
      </c>
      <c r="K445" s="14">
        <f t="shared" si="48"/>
        <v>531000.34813188447</v>
      </c>
      <c r="L445" s="14">
        <f t="shared" si="49"/>
        <v>522</v>
      </c>
      <c r="M445" s="14" t="str">
        <f t="shared" si="50"/>
        <v>30-11-2024</v>
      </c>
      <c r="N445" s="14">
        <f t="shared" si="51"/>
        <v>0.15497954052454793</v>
      </c>
      <c r="O445" s="20">
        <f t="shared" si="52"/>
        <v>2.4980160235659667</v>
      </c>
      <c r="P445" s="14">
        <f t="shared" si="53"/>
        <v>479.56446392339342</v>
      </c>
      <c r="Q445" s="14">
        <f t="shared" si="54"/>
        <v>747.02009999999996</v>
      </c>
      <c r="R445" s="14" t="str">
        <f t="shared" si="55"/>
        <v>Nov</v>
      </c>
    </row>
    <row r="446" spans="1:18" x14ac:dyDescent="0.3">
      <c r="A446" t="s">
        <v>2055</v>
      </c>
      <c r="B446" s="1">
        <v>45460</v>
      </c>
      <c r="C446" t="s">
        <v>1309</v>
      </c>
      <c r="D446" t="s">
        <v>1489</v>
      </c>
      <c r="E446" t="s">
        <v>1579</v>
      </c>
      <c r="F446">
        <v>2</v>
      </c>
      <c r="G446" s="14">
        <v>130.38999999999999</v>
      </c>
      <c r="H446" s="17">
        <v>0.17</v>
      </c>
      <c r="I446" t="s">
        <v>1611</v>
      </c>
      <c r="J446" s="14">
        <v>216.44739999999999</v>
      </c>
      <c r="K446" s="14">
        <f t="shared" si="48"/>
        <v>531000.34813188447</v>
      </c>
      <c r="L446" s="14">
        <f t="shared" si="49"/>
        <v>522</v>
      </c>
      <c r="M446" s="14" t="str">
        <f t="shared" si="50"/>
        <v>17-06-2024</v>
      </c>
      <c r="N446" s="14">
        <f t="shared" si="51"/>
        <v>0.15491195979129474</v>
      </c>
      <c r="O446" s="20">
        <f t="shared" si="52"/>
        <v>2.4970494959106038</v>
      </c>
      <c r="P446" s="14">
        <f t="shared" si="53"/>
        <v>479.38819266465686</v>
      </c>
      <c r="Q446" s="14">
        <f t="shared" si="54"/>
        <v>87.25184999999999</v>
      </c>
      <c r="R446" s="14" t="str">
        <f t="shared" si="55"/>
        <v>Jun</v>
      </c>
    </row>
    <row r="447" spans="1:18" x14ac:dyDescent="0.3">
      <c r="A447" t="s">
        <v>2056</v>
      </c>
      <c r="B447" s="1">
        <v>45709</v>
      </c>
      <c r="C447" t="s">
        <v>1083</v>
      </c>
      <c r="D447" t="s">
        <v>1377</v>
      </c>
      <c r="E447" t="s">
        <v>1571</v>
      </c>
      <c r="F447">
        <v>4</v>
      </c>
      <c r="G447" s="14">
        <v>164.02</v>
      </c>
      <c r="H447" s="17">
        <v>0.01</v>
      </c>
      <c r="I447" t="s">
        <v>1611</v>
      </c>
      <c r="J447" s="14">
        <v>649.51920000000007</v>
      </c>
      <c r="K447" s="14">
        <f t="shared" si="48"/>
        <v>531000.34813188447</v>
      </c>
      <c r="L447" s="14">
        <f t="shared" si="49"/>
        <v>522</v>
      </c>
      <c r="M447" s="14" t="str">
        <f t="shared" si="50"/>
        <v>21-02-2025</v>
      </c>
      <c r="N447" s="14">
        <f t="shared" si="51"/>
        <v>0.15490224437583519</v>
      </c>
      <c r="O447" s="20">
        <f t="shared" si="52"/>
        <v>2.4973695535383635</v>
      </c>
      <c r="P447" s="14">
        <f t="shared" si="53"/>
        <v>479.61291783701017</v>
      </c>
      <c r="Q447" s="14">
        <f t="shared" si="54"/>
        <v>204.38730000000001</v>
      </c>
      <c r="R447" s="14" t="str">
        <f t="shared" si="55"/>
        <v>Feb</v>
      </c>
    </row>
    <row r="448" spans="1:18" x14ac:dyDescent="0.3">
      <c r="A448" t="s">
        <v>2057</v>
      </c>
      <c r="B448" s="1">
        <v>45551</v>
      </c>
      <c r="C448" t="s">
        <v>547</v>
      </c>
      <c r="D448" t="s">
        <v>1391</v>
      </c>
      <c r="E448" t="s">
        <v>1554</v>
      </c>
      <c r="F448">
        <v>2</v>
      </c>
      <c r="G448" s="14">
        <v>527.51</v>
      </c>
      <c r="H448" s="17">
        <v>0.18</v>
      </c>
      <c r="I448" t="s">
        <v>1611</v>
      </c>
      <c r="J448" s="14">
        <v>865.1164</v>
      </c>
      <c r="K448" s="14">
        <f t="shared" si="48"/>
        <v>531000.34813188447</v>
      </c>
      <c r="L448" s="14">
        <f t="shared" si="49"/>
        <v>522</v>
      </c>
      <c r="M448" s="14" t="str">
        <f t="shared" si="50"/>
        <v>16-09-2024</v>
      </c>
      <c r="N448" s="14">
        <f t="shared" si="51"/>
        <v>0.15499560922401551</v>
      </c>
      <c r="O448" s="20">
        <f t="shared" si="52"/>
        <v>2.4964013638177049</v>
      </c>
      <c r="P448" s="14">
        <f t="shared" si="53"/>
        <v>479.81626378922471</v>
      </c>
      <c r="Q448" s="14">
        <f t="shared" si="54"/>
        <v>348.70159999999998</v>
      </c>
      <c r="R448" s="14" t="str">
        <f t="shared" si="55"/>
        <v>Sep</v>
      </c>
    </row>
    <row r="449" spans="1:18" x14ac:dyDescent="0.3">
      <c r="A449" t="s">
        <v>2058</v>
      </c>
      <c r="B449" s="1">
        <v>45939</v>
      </c>
      <c r="C449" t="s">
        <v>809</v>
      </c>
      <c r="D449" t="s">
        <v>1447</v>
      </c>
      <c r="E449" t="s">
        <v>1582</v>
      </c>
      <c r="F449">
        <v>3</v>
      </c>
      <c r="G449" s="14">
        <v>628.17999999999995</v>
      </c>
      <c r="H449" s="17">
        <v>0.26</v>
      </c>
      <c r="I449" t="s">
        <v>1609</v>
      </c>
      <c r="J449" s="14">
        <v>1394.5596</v>
      </c>
      <c r="K449" s="14">
        <f t="shared" si="48"/>
        <v>531000.34813188447</v>
      </c>
      <c r="L449" s="14">
        <f t="shared" si="49"/>
        <v>522</v>
      </c>
      <c r="M449" s="14" t="str">
        <f t="shared" si="50"/>
        <v>09-10-2025</v>
      </c>
      <c r="N449" s="14">
        <f t="shared" si="51"/>
        <v>0.1549794877599433</v>
      </c>
      <c r="O449" s="20">
        <f t="shared" si="52"/>
        <v>2.4967214162766465</v>
      </c>
      <c r="P449" s="14">
        <f t="shared" si="53"/>
        <v>479.78551347574256</v>
      </c>
      <c r="Q449" s="14">
        <f t="shared" si="54"/>
        <v>506.49990000000003</v>
      </c>
      <c r="R449" s="14" t="str">
        <f t="shared" si="55"/>
        <v>Oct</v>
      </c>
    </row>
    <row r="450" spans="1:18" x14ac:dyDescent="0.3">
      <c r="A450" t="s">
        <v>2059</v>
      </c>
      <c r="B450" s="1">
        <v>45553</v>
      </c>
      <c r="C450" t="s">
        <v>857</v>
      </c>
      <c r="D450" t="s">
        <v>1445</v>
      </c>
      <c r="E450" t="s">
        <v>1551</v>
      </c>
      <c r="F450">
        <v>1</v>
      </c>
      <c r="G450" s="14">
        <v>862.31</v>
      </c>
      <c r="H450" s="17">
        <v>0.06</v>
      </c>
      <c r="I450" t="s">
        <v>1609</v>
      </c>
      <c r="J450" s="14">
        <v>810.57139999999993</v>
      </c>
      <c r="K450" s="14">
        <f t="shared" ref="K450:K513" si="56">SUMIF(I450:I2449,"Credit Card",J450:J2449)</f>
        <v>529605.78853188455</v>
      </c>
      <c r="L450" s="14">
        <f t="shared" ref="L450:L513" si="57">COUNTIF(I450:I2449,"Credit Card")</f>
        <v>521</v>
      </c>
      <c r="M450" s="14" t="str">
        <f t="shared" ref="M450:M513" si="58">TEXT(B450:B2449,"dd-mm-yyyy")</f>
        <v>18-09-2024</v>
      </c>
      <c r="N450" s="14">
        <f t="shared" ref="N450:N513" si="59">AVERAGE(H450:H2449)</f>
        <v>0.15491173259075616</v>
      </c>
      <c r="O450" s="20">
        <f t="shared" ref="O450:O513" si="60">AVERAGE(F450:F2449)</f>
        <v>2.4963967204161794</v>
      </c>
      <c r="P450" s="14">
        <f t="shared" ref="P450:P513" si="61">AVERAGE(G450:G2449)</f>
        <v>479.6897750973398</v>
      </c>
      <c r="Q450" s="14">
        <f t="shared" ref="Q450:Q513" si="62">AVERAGE(F450,G450,H450,J450)</f>
        <v>418.48534999999993</v>
      </c>
      <c r="R450" s="14" t="str">
        <f t="shared" ref="R450:R513" si="63">TEXT(M450,"mmm")</f>
        <v>Sep</v>
      </c>
    </row>
    <row r="451" spans="1:18" x14ac:dyDescent="0.3">
      <c r="A451" t="s">
        <v>2060</v>
      </c>
      <c r="B451" s="1">
        <v>45806</v>
      </c>
      <c r="C451" t="s">
        <v>261</v>
      </c>
      <c r="D451" t="s">
        <v>1499</v>
      </c>
      <c r="E451" t="s">
        <v>1584</v>
      </c>
      <c r="F451">
        <v>2</v>
      </c>
      <c r="G451" s="14">
        <v>541.39</v>
      </c>
      <c r="H451" s="17">
        <v>0.03</v>
      </c>
      <c r="I451" t="s">
        <v>1614</v>
      </c>
      <c r="J451" s="14">
        <v>1050.2965999999999</v>
      </c>
      <c r="K451" s="14">
        <f t="shared" si="56"/>
        <v>528795.21713188454</v>
      </c>
      <c r="L451" s="14">
        <f t="shared" si="57"/>
        <v>520</v>
      </c>
      <c r="M451" s="14" t="str">
        <f t="shared" si="58"/>
        <v>29-05-2025</v>
      </c>
      <c r="N451" s="14">
        <f t="shared" si="59"/>
        <v>0.15497300549752877</v>
      </c>
      <c r="O451" s="20">
        <f t="shared" si="60"/>
        <v>2.4973627609070874</v>
      </c>
      <c r="P451" s="14">
        <f t="shared" si="61"/>
        <v>479.44276397732523</v>
      </c>
      <c r="Q451" s="14">
        <f t="shared" si="62"/>
        <v>398.42914999999994</v>
      </c>
      <c r="R451" s="14" t="str">
        <f t="shared" si="63"/>
        <v>May</v>
      </c>
    </row>
    <row r="452" spans="1:18" x14ac:dyDescent="0.3">
      <c r="A452" t="s">
        <v>2061</v>
      </c>
      <c r="B452" s="1">
        <v>45811</v>
      </c>
      <c r="C452" t="s">
        <v>1298</v>
      </c>
      <c r="D452" t="s">
        <v>1485</v>
      </c>
      <c r="E452" t="s">
        <v>1589</v>
      </c>
      <c r="F452">
        <v>3</v>
      </c>
      <c r="G452" s="14">
        <v>761.8</v>
      </c>
      <c r="H452" s="17">
        <v>0.06</v>
      </c>
      <c r="I452" t="s">
        <v>1614</v>
      </c>
      <c r="J452" s="14">
        <v>2148.2759999999989</v>
      </c>
      <c r="K452" s="14">
        <f t="shared" si="56"/>
        <v>528795.21713188454</v>
      </c>
      <c r="L452" s="14">
        <f t="shared" si="57"/>
        <v>520</v>
      </c>
      <c r="M452" s="14" t="str">
        <f t="shared" si="58"/>
        <v>03-06-2025</v>
      </c>
      <c r="N452" s="14">
        <f t="shared" si="59"/>
        <v>0.15505373741322484</v>
      </c>
      <c r="O452" s="20">
        <f t="shared" si="60"/>
        <v>2.497684054680283</v>
      </c>
      <c r="P452" s="14">
        <f t="shared" si="61"/>
        <v>479.40274638299525</v>
      </c>
      <c r="Q452" s="14">
        <f t="shared" si="62"/>
        <v>728.28399999999965</v>
      </c>
      <c r="R452" s="14" t="str">
        <f t="shared" si="63"/>
        <v>Jun</v>
      </c>
    </row>
    <row r="453" spans="1:18" x14ac:dyDescent="0.3">
      <c r="A453" t="s">
        <v>2062</v>
      </c>
      <c r="B453" s="1">
        <v>45508</v>
      </c>
      <c r="C453" t="s">
        <v>1243</v>
      </c>
      <c r="D453" t="s">
        <v>1431</v>
      </c>
      <c r="E453" t="s">
        <v>1546</v>
      </c>
      <c r="F453">
        <v>4</v>
      </c>
      <c r="G453" s="14">
        <v>829.36</v>
      </c>
      <c r="H453" s="17">
        <v>0.11</v>
      </c>
      <c r="I453" t="s">
        <v>1611</v>
      </c>
      <c r="J453" s="14">
        <v>2952.5216</v>
      </c>
      <c r="K453" s="14">
        <f t="shared" si="56"/>
        <v>528795.21713188454</v>
      </c>
      <c r="L453" s="14">
        <f t="shared" si="57"/>
        <v>520</v>
      </c>
      <c r="M453" s="14" t="str">
        <f t="shared" si="58"/>
        <v>04-08-2024</v>
      </c>
      <c r="N453" s="14">
        <f t="shared" si="59"/>
        <v>0.15511518132881194</v>
      </c>
      <c r="O453" s="20">
        <f t="shared" si="60"/>
        <v>2.4973593514189258</v>
      </c>
      <c r="P453" s="14">
        <f t="shared" si="61"/>
        <v>479.22020129339154</v>
      </c>
      <c r="Q453" s="14">
        <f t="shared" si="62"/>
        <v>946.49790000000007</v>
      </c>
      <c r="R453" s="14" t="str">
        <f t="shared" si="63"/>
        <v>Aug</v>
      </c>
    </row>
    <row r="454" spans="1:18" x14ac:dyDescent="0.3">
      <c r="A454" t="s">
        <v>2063</v>
      </c>
      <c r="B454" s="1">
        <v>45460</v>
      </c>
      <c r="C454" t="s">
        <v>1225</v>
      </c>
      <c r="D454" t="s">
        <v>1379</v>
      </c>
      <c r="E454" t="s">
        <v>1589</v>
      </c>
      <c r="F454">
        <v>2</v>
      </c>
      <c r="G454" s="14">
        <v>425.06</v>
      </c>
      <c r="H454" s="17">
        <v>0.09</v>
      </c>
      <c r="I454" t="s">
        <v>1611</v>
      </c>
      <c r="J454" s="14">
        <v>773.60919999999999</v>
      </c>
      <c r="K454" s="14">
        <f t="shared" si="56"/>
        <v>528795.21713188454</v>
      </c>
      <c r="L454" s="14">
        <f t="shared" si="57"/>
        <v>520</v>
      </c>
      <c r="M454" s="14" t="str">
        <f t="shared" si="58"/>
        <v>17-06-2024</v>
      </c>
      <c r="N454" s="14">
        <f t="shared" si="59"/>
        <v>0.15514436320548</v>
      </c>
      <c r="O454" s="20">
        <f t="shared" si="60"/>
        <v>2.4963873975712021</v>
      </c>
      <c r="P454" s="14">
        <f t="shared" si="61"/>
        <v>478.99372018167963</v>
      </c>
      <c r="Q454" s="14">
        <f t="shared" si="62"/>
        <v>300.18979999999999</v>
      </c>
      <c r="R454" s="14" t="str">
        <f t="shared" si="63"/>
        <v>Jun</v>
      </c>
    </row>
    <row r="455" spans="1:18" x14ac:dyDescent="0.3">
      <c r="A455" t="s">
        <v>2064</v>
      </c>
      <c r="B455" s="1">
        <v>45311</v>
      </c>
      <c r="C455" t="s">
        <v>438</v>
      </c>
      <c r="D455" t="s">
        <v>1443</v>
      </c>
      <c r="E455" t="s">
        <v>1537</v>
      </c>
      <c r="F455">
        <v>2</v>
      </c>
      <c r="G455" s="14">
        <v>911.14</v>
      </c>
      <c r="H455" s="17">
        <v>0.1</v>
      </c>
      <c r="I455" t="s">
        <v>1609</v>
      </c>
      <c r="J455" s="14">
        <v>1640.0519999999999</v>
      </c>
      <c r="K455" s="14">
        <f t="shared" si="56"/>
        <v>528795.21713188454</v>
      </c>
      <c r="L455" s="14">
        <f t="shared" si="57"/>
        <v>520</v>
      </c>
      <c r="M455" s="14" t="str">
        <f t="shared" si="58"/>
        <v>20-01-2024</v>
      </c>
      <c r="N455" s="14">
        <f t="shared" si="59"/>
        <v>0.15518652784185893</v>
      </c>
      <c r="O455" s="20">
        <f t="shared" si="60"/>
        <v>2.4967086839126722</v>
      </c>
      <c r="P455" s="14">
        <f t="shared" si="61"/>
        <v>479.02862873843151</v>
      </c>
      <c r="Q455" s="14">
        <f t="shared" si="62"/>
        <v>638.32299999999998</v>
      </c>
      <c r="R455" s="14" t="str">
        <f t="shared" si="63"/>
        <v>Jan</v>
      </c>
    </row>
    <row r="456" spans="1:18" x14ac:dyDescent="0.3">
      <c r="A456" t="s">
        <v>2065</v>
      </c>
      <c r="B456" s="1">
        <v>45906</v>
      </c>
      <c r="C456" t="s">
        <v>304</v>
      </c>
      <c r="D456" t="s">
        <v>1469</v>
      </c>
      <c r="E456" t="s">
        <v>1567</v>
      </c>
      <c r="F456">
        <v>3</v>
      </c>
      <c r="G456" s="14">
        <v>811.96</v>
      </c>
      <c r="H456" s="17">
        <v>0.28999999999999998</v>
      </c>
      <c r="I456" t="s">
        <v>1609</v>
      </c>
      <c r="J456" s="14">
        <v>1729.4748</v>
      </c>
      <c r="K456" s="14">
        <f t="shared" si="56"/>
        <v>527155.16513188463</v>
      </c>
      <c r="L456" s="14">
        <f t="shared" si="57"/>
        <v>519</v>
      </c>
      <c r="M456" s="14" t="str">
        <f t="shared" si="58"/>
        <v>06-09-2025</v>
      </c>
      <c r="N456" s="14">
        <f t="shared" si="59"/>
        <v>0.15522227041170469</v>
      </c>
      <c r="O456" s="20">
        <f t="shared" si="60"/>
        <v>2.4970303864281598</v>
      </c>
      <c r="P456" s="14">
        <f t="shared" si="61"/>
        <v>478.74876386067137</v>
      </c>
      <c r="Q456" s="14">
        <f t="shared" si="62"/>
        <v>636.18119999999999</v>
      </c>
      <c r="R456" s="14" t="str">
        <f t="shared" si="63"/>
        <v>Sep</v>
      </c>
    </row>
    <row r="457" spans="1:18" x14ac:dyDescent="0.3">
      <c r="A457" t="s">
        <v>2066</v>
      </c>
      <c r="B457" s="1">
        <v>45380</v>
      </c>
      <c r="C457" t="s">
        <v>869</v>
      </c>
      <c r="D457" t="s">
        <v>1395</v>
      </c>
      <c r="E457" t="s">
        <v>1574</v>
      </c>
      <c r="F457">
        <v>2</v>
      </c>
      <c r="G457" s="14">
        <v>780.05</v>
      </c>
      <c r="H457" s="17">
        <v>0.12</v>
      </c>
      <c r="I457" t="s">
        <v>1614</v>
      </c>
      <c r="J457" s="14">
        <v>1372.8879999999999</v>
      </c>
      <c r="K457" s="14">
        <f t="shared" si="56"/>
        <v>525425.69033188466</v>
      </c>
      <c r="L457" s="14">
        <f t="shared" si="57"/>
        <v>518</v>
      </c>
      <c r="M457" s="14" t="str">
        <f t="shared" si="58"/>
        <v>29-03-2024</v>
      </c>
      <c r="N457" s="14">
        <f t="shared" si="59"/>
        <v>0.15513492256362413</v>
      </c>
      <c r="O457" s="20">
        <f t="shared" si="60"/>
        <v>2.4967044177868298</v>
      </c>
      <c r="P457" s="14">
        <f t="shared" si="61"/>
        <v>478.53281361041911</v>
      </c>
      <c r="Q457" s="14">
        <f t="shared" si="62"/>
        <v>538.7645</v>
      </c>
      <c r="R457" s="14" t="str">
        <f t="shared" si="63"/>
        <v>Mar</v>
      </c>
    </row>
    <row r="458" spans="1:18" x14ac:dyDescent="0.3">
      <c r="A458" t="s">
        <v>2067</v>
      </c>
      <c r="B458" s="1">
        <v>45527</v>
      </c>
      <c r="C458" t="s">
        <v>699</v>
      </c>
      <c r="D458" t="s">
        <v>1397</v>
      </c>
      <c r="E458" t="s">
        <v>1571</v>
      </c>
      <c r="F458">
        <v>4</v>
      </c>
      <c r="G458" s="14">
        <v>315.95</v>
      </c>
      <c r="H458" s="17">
        <v>0.19</v>
      </c>
      <c r="I458" t="s">
        <v>1614</v>
      </c>
      <c r="J458" s="14">
        <v>1023.678</v>
      </c>
      <c r="K458" s="14">
        <f t="shared" si="56"/>
        <v>525425.69033188466</v>
      </c>
      <c r="L458" s="14">
        <f t="shared" si="57"/>
        <v>518</v>
      </c>
      <c r="M458" s="14" t="str">
        <f t="shared" si="58"/>
        <v>23-08-2024</v>
      </c>
      <c r="N458" s="14">
        <f t="shared" si="59"/>
        <v>0.15515770785711547</v>
      </c>
      <c r="O458" s="20">
        <f t="shared" si="60"/>
        <v>2.4970265347892857</v>
      </c>
      <c r="P458" s="14">
        <f t="shared" si="61"/>
        <v>478.33727717307175</v>
      </c>
      <c r="Q458" s="14">
        <f t="shared" si="62"/>
        <v>335.9545</v>
      </c>
      <c r="R458" s="14" t="str">
        <f t="shared" si="63"/>
        <v>Aug</v>
      </c>
    </row>
    <row r="459" spans="1:18" x14ac:dyDescent="0.3">
      <c r="A459" t="s">
        <v>2068</v>
      </c>
      <c r="B459" s="1">
        <v>45796</v>
      </c>
      <c r="C459" t="s">
        <v>737</v>
      </c>
      <c r="D459" t="s">
        <v>1437</v>
      </c>
      <c r="E459" t="s">
        <v>1571</v>
      </c>
      <c r="F459">
        <v>2</v>
      </c>
      <c r="G459" s="14">
        <v>810.17</v>
      </c>
      <c r="H459" s="17">
        <v>0.27</v>
      </c>
      <c r="I459" t="s">
        <v>1609</v>
      </c>
      <c r="J459" s="14">
        <v>1182.8481999999999</v>
      </c>
      <c r="K459" s="14">
        <f t="shared" si="56"/>
        <v>525425.69033188466</v>
      </c>
      <c r="L459" s="14">
        <f t="shared" si="57"/>
        <v>518</v>
      </c>
      <c r="M459" s="14" t="str">
        <f t="shared" si="58"/>
        <v>19-05-2025</v>
      </c>
      <c r="N459" s="14">
        <f t="shared" si="59"/>
        <v>0.15513509767402467</v>
      </c>
      <c r="O459" s="20">
        <f t="shared" si="60"/>
        <v>2.4960512113206219</v>
      </c>
      <c r="P459" s="14">
        <f t="shared" si="61"/>
        <v>478.44265502977055</v>
      </c>
      <c r="Q459" s="14">
        <f t="shared" si="62"/>
        <v>498.82204999999999</v>
      </c>
      <c r="R459" s="14" t="str">
        <f t="shared" si="63"/>
        <v>May</v>
      </c>
    </row>
    <row r="460" spans="1:18" x14ac:dyDescent="0.3">
      <c r="A460" t="s">
        <v>2069</v>
      </c>
      <c r="B460" s="1">
        <v>45389</v>
      </c>
      <c r="C460" t="s">
        <v>669</v>
      </c>
      <c r="D460" t="s">
        <v>1501</v>
      </c>
      <c r="E460" t="s">
        <v>1554</v>
      </c>
      <c r="F460">
        <v>3</v>
      </c>
      <c r="G460" s="14">
        <v>505.01</v>
      </c>
      <c r="H460" s="17">
        <v>0.02</v>
      </c>
      <c r="I460" t="s">
        <v>1611</v>
      </c>
      <c r="J460" s="14">
        <v>1484.7293999999999</v>
      </c>
      <c r="K460" s="14">
        <f t="shared" si="56"/>
        <v>524242.84213188459</v>
      </c>
      <c r="L460" s="14">
        <f t="shared" si="57"/>
        <v>517</v>
      </c>
      <c r="M460" s="14" t="str">
        <f t="shared" si="58"/>
        <v>07-04-2024</v>
      </c>
      <c r="N460" s="14">
        <f t="shared" si="59"/>
        <v>0.15506051007511168</v>
      </c>
      <c r="O460" s="20">
        <f t="shared" si="60"/>
        <v>2.4963733224968041</v>
      </c>
      <c r="P460" s="14">
        <f t="shared" si="61"/>
        <v>478.2272476629069</v>
      </c>
      <c r="Q460" s="14">
        <f t="shared" si="62"/>
        <v>498.18984999999998</v>
      </c>
      <c r="R460" s="14" t="str">
        <f t="shared" si="63"/>
        <v>Apr</v>
      </c>
    </row>
    <row r="461" spans="1:18" x14ac:dyDescent="0.3">
      <c r="A461" t="s">
        <v>2070</v>
      </c>
      <c r="B461" s="1">
        <v>45315</v>
      </c>
      <c r="C461" t="s">
        <v>1288</v>
      </c>
      <c r="D461" t="s">
        <v>1477</v>
      </c>
      <c r="E461" t="s">
        <v>1592</v>
      </c>
      <c r="F461">
        <v>2</v>
      </c>
      <c r="G461" s="14">
        <v>736.75</v>
      </c>
      <c r="H461" s="17">
        <v>0.18</v>
      </c>
      <c r="I461" t="s">
        <v>1609</v>
      </c>
      <c r="J461" s="14">
        <v>1208.27</v>
      </c>
      <c r="K461" s="14">
        <f t="shared" si="56"/>
        <v>524242.84213188459</v>
      </c>
      <c r="L461" s="14">
        <f t="shared" si="57"/>
        <v>517</v>
      </c>
      <c r="M461" s="14" t="str">
        <f t="shared" si="58"/>
        <v>24-01-2024</v>
      </c>
      <c r="N461" s="14">
        <f t="shared" si="59"/>
        <v>0.1551482686911449</v>
      </c>
      <c r="O461" s="20">
        <f t="shared" si="60"/>
        <v>2.4960460796914088</v>
      </c>
      <c r="P461" s="14">
        <f t="shared" si="61"/>
        <v>478.20984496483214</v>
      </c>
      <c r="Q461" s="14">
        <f t="shared" si="62"/>
        <v>486.79999999999995</v>
      </c>
      <c r="R461" s="14" t="str">
        <f t="shared" si="63"/>
        <v>Jan</v>
      </c>
    </row>
    <row r="462" spans="1:18" x14ac:dyDescent="0.3">
      <c r="A462" t="s">
        <v>2071</v>
      </c>
      <c r="B462" s="1">
        <v>45311</v>
      </c>
      <c r="C462" t="s">
        <v>114</v>
      </c>
      <c r="D462" t="s">
        <v>1487</v>
      </c>
      <c r="E462" t="s">
        <v>1571</v>
      </c>
      <c r="F462">
        <v>4</v>
      </c>
      <c r="G462" s="14">
        <v>700.31</v>
      </c>
      <c r="H462" s="17">
        <v>0.2</v>
      </c>
      <c r="I462" t="s">
        <v>1611</v>
      </c>
      <c r="J462" s="14">
        <v>2240.9920000000002</v>
      </c>
      <c r="K462" s="14">
        <f t="shared" si="56"/>
        <v>523034.57213188463</v>
      </c>
      <c r="L462" s="14">
        <f t="shared" si="57"/>
        <v>516</v>
      </c>
      <c r="M462" s="14" t="str">
        <f t="shared" si="58"/>
        <v>20-01-2024</v>
      </c>
      <c r="N462" s="14">
        <f t="shared" si="59"/>
        <v>0.15513211021825229</v>
      </c>
      <c r="O462" s="20">
        <f t="shared" si="60"/>
        <v>2.4963686064012212</v>
      </c>
      <c r="P462" s="14">
        <f t="shared" si="61"/>
        <v>478.04174343359983</v>
      </c>
      <c r="Q462" s="14">
        <f t="shared" si="62"/>
        <v>736.3755000000001</v>
      </c>
      <c r="R462" s="14" t="str">
        <f t="shared" si="63"/>
        <v>Jan</v>
      </c>
    </row>
    <row r="463" spans="1:18" x14ac:dyDescent="0.3">
      <c r="A463" t="s">
        <v>2072</v>
      </c>
      <c r="B463" s="1">
        <v>45270</v>
      </c>
      <c r="C463" t="s">
        <v>444</v>
      </c>
      <c r="D463" t="s">
        <v>1515</v>
      </c>
      <c r="E463" t="s">
        <v>1577</v>
      </c>
      <c r="F463">
        <v>4</v>
      </c>
      <c r="G463" s="14">
        <v>202.46</v>
      </c>
      <c r="H463" s="17">
        <v>0.24</v>
      </c>
      <c r="I463" t="s">
        <v>1609</v>
      </c>
      <c r="J463" s="14">
        <v>615.47840000000008</v>
      </c>
      <c r="K463" s="14">
        <f t="shared" si="56"/>
        <v>523034.57213188463</v>
      </c>
      <c r="L463" s="14">
        <f t="shared" si="57"/>
        <v>516</v>
      </c>
      <c r="M463" s="14" t="str">
        <f t="shared" si="58"/>
        <v>10-12-2023</v>
      </c>
      <c r="N463" s="14">
        <f t="shared" si="59"/>
        <v>0.15510291835762655</v>
      </c>
      <c r="O463" s="20">
        <f t="shared" si="60"/>
        <v>2.4953903166200901</v>
      </c>
      <c r="P463" s="14">
        <f t="shared" si="61"/>
        <v>477.89713168567118</v>
      </c>
      <c r="Q463" s="14">
        <f t="shared" si="62"/>
        <v>205.54460000000003</v>
      </c>
      <c r="R463" s="14" t="str">
        <f t="shared" si="63"/>
        <v>Dec</v>
      </c>
    </row>
    <row r="464" spans="1:18" x14ac:dyDescent="0.3">
      <c r="A464" t="s">
        <v>2073</v>
      </c>
      <c r="B464" s="1">
        <v>45279</v>
      </c>
      <c r="C464" t="s">
        <v>846</v>
      </c>
      <c r="D464" t="s">
        <v>1507</v>
      </c>
      <c r="E464" t="s">
        <v>1542</v>
      </c>
      <c r="F464">
        <v>2</v>
      </c>
      <c r="G464" s="14">
        <v>291.83999999999997</v>
      </c>
      <c r="H464" s="17">
        <v>0.25</v>
      </c>
      <c r="I464" t="s">
        <v>1611</v>
      </c>
      <c r="J464" s="14">
        <v>437.76</v>
      </c>
      <c r="K464" s="14">
        <f t="shared" si="56"/>
        <v>522419.09373188461</v>
      </c>
      <c r="L464" s="14">
        <f t="shared" si="57"/>
        <v>515</v>
      </c>
      <c r="M464" s="14" t="str">
        <f t="shared" si="58"/>
        <v>19-12-2023</v>
      </c>
      <c r="N464" s="14">
        <f t="shared" si="59"/>
        <v>0.15504764682009897</v>
      </c>
      <c r="O464" s="20">
        <f t="shared" si="60"/>
        <v>2.4944107530241397</v>
      </c>
      <c r="P464" s="14">
        <f t="shared" si="61"/>
        <v>478.07645273494569</v>
      </c>
      <c r="Q464" s="14">
        <f t="shared" si="62"/>
        <v>182.96249999999998</v>
      </c>
      <c r="R464" s="14" t="str">
        <f t="shared" si="63"/>
        <v>Dec</v>
      </c>
    </row>
    <row r="465" spans="1:18" x14ac:dyDescent="0.3">
      <c r="A465" t="s">
        <v>2074</v>
      </c>
      <c r="B465" s="1">
        <v>45252</v>
      </c>
      <c r="C465" t="s">
        <v>544</v>
      </c>
      <c r="D465" t="s">
        <v>1527</v>
      </c>
      <c r="E465" t="s">
        <v>1558</v>
      </c>
      <c r="F465">
        <v>2</v>
      </c>
      <c r="G465" s="14">
        <v>261.48</v>
      </c>
      <c r="H465" s="17">
        <v>0.17</v>
      </c>
      <c r="I465" t="s">
        <v>1609</v>
      </c>
      <c r="J465" s="14">
        <v>434.05680000000001</v>
      </c>
      <c r="K465" s="14">
        <f t="shared" si="56"/>
        <v>522419.09373188461</v>
      </c>
      <c r="L465" s="14">
        <f t="shared" si="57"/>
        <v>515</v>
      </c>
      <c r="M465" s="14" t="str">
        <f t="shared" si="58"/>
        <v>22-11-2023</v>
      </c>
      <c r="N465" s="14">
        <f t="shared" si="59"/>
        <v>0.15498578860955831</v>
      </c>
      <c r="O465" s="20">
        <f t="shared" si="60"/>
        <v>2.4947328447199206</v>
      </c>
      <c r="P465" s="14">
        <f t="shared" si="61"/>
        <v>478.19777941425178</v>
      </c>
      <c r="Q465" s="14">
        <f t="shared" si="62"/>
        <v>174.42670000000001</v>
      </c>
      <c r="R465" s="14" t="str">
        <f t="shared" si="63"/>
        <v>Nov</v>
      </c>
    </row>
    <row r="466" spans="1:18" x14ac:dyDescent="0.3">
      <c r="A466" t="s">
        <v>2075</v>
      </c>
      <c r="B466" s="1">
        <v>45938</v>
      </c>
      <c r="C466" t="s">
        <v>948</v>
      </c>
      <c r="D466" t="s">
        <v>1405</v>
      </c>
      <c r="E466" t="s">
        <v>1584</v>
      </c>
      <c r="F466">
        <v>1</v>
      </c>
      <c r="G466" s="14">
        <v>850.83</v>
      </c>
      <c r="H466" s="17">
        <v>0.28000000000000003</v>
      </c>
      <c r="I466" t="s">
        <v>1611</v>
      </c>
      <c r="J466" s="14">
        <v>612.59760000000006</v>
      </c>
      <c r="K466" s="14">
        <f t="shared" si="56"/>
        <v>521985.03693188465</v>
      </c>
      <c r="L466" s="14">
        <f t="shared" si="57"/>
        <v>514</v>
      </c>
      <c r="M466" s="14" t="str">
        <f t="shared" si="58"/>
        <v>08-10-2025</v>
      </c>
      <c r="N466" s="14">
        <f t="shared" si="59"/>
        <v>0.15497600098805214</v>
      </c>
      <c r="O466" s="20">
        <f t="shared" si="60"/>
        <v>2.495055356352724</v>
      </c>
      <c r="P466" s="14">
        <f t="shared" si="61"/>
        <v>478.33905567201862</v>
      </c>
      <c r="Q466" s="14">
        <f t="shared" si="62"/>
        <v>366.17690000000005</v>
      </c>
      <c r="R466" s="14" t="str">
        <f t="shared" si="63"/>
        <v>Oct</v>
      </c>
    </row>
    <row r="467" spans="1:18" x14ac:dyDescent="0.3">
      <c r="A467" t="s">
        <v>2076</v>
      </c>
      <c r="B467" s="1">
        <v>45711</v>
      </c>
      <c r="C467" t="s">
        <v>1226</v>
      </c>
      <c r="D467" t="s">
        <v>1425</v>
      </c>
      <c r="E467" t="s">
        <v>1571</v>
      </c>
      <c r="F467">
        <v>1</v>
      </c>
      <c r="G467" s="14">
        <v>83.83</v>
      </c>
      <c r="H467" s="17">
        <v>0.05</v>
      </c>
      <c r="I467" t="s">
        <v>1609</v>
      </c>
      <c r="J467" s="14">
        <v>79.638499999999993</v>
      </c>
      <c r="K467" s="14">
        <f t="shared" si="56"/>
        <v>521985.03693188465</v>
      </c>
      <c r="L467" s="14">
        <f t="shared" si="57"/>
        <v>514</v>
      </c>
      <c r="M467" s="14" t="str">
        <f t="shared" si="58"/>
        <v>23-02-2025</v>
      </c>
      <c r="N467" s="14">
        <f t="shared" si="59"/>
        <v>0.15489444586801826</v>
      </c>
      <c r="O467" s="20">
        <f t="shared" si="60"/>
        <v>2.4960306044651523</v>
      </c>
      <c r="P467" s="14">
        <f t="shared" si="61"/>
        <v>478.0960739731745</v>
      </c>
      <c r="Q467" s="14">
        <f t="shared" si="62"/>
        <v>41.129624999999997</v>
      </c>
      <c r="R467" s="14" t="str">
        <f t="shared" si="63"/>
        <v>Feb</v>
      </c>
    </row>
    <row r="468" spans="1:18" x14ac:dyDescent="0.3">
      <c r="A468" t="s">
        <v>2077</v>
      </c>
      <c r="B468" s="1">
        <v>45713</v>
      </c>
      <c r="C468" t="s">
        <v>36</v>
      </c>
      <c r="D468" t="s">
        <v>1509</v>
      </c>
      <c r="E468" t="s">
        <v>1589</v>
      </c>
      <c r="F468">
        <v>3</v>
      </c>
      <c r="G468" s="14">
        <v>649.95000000000005</v>
      </c>
      <c r="H468" s="17">
        <v>0.28000000000000003</v>
      </c>
      <c r="I468" t="s">
        <v>1614</v>
      </c>
      <c r="J468" s="14">
        <v>1403.8920000000001</v>
      </c>
      <c r="K468" s="14">
        <f t="shared" si="56"/>
        <v>521905.39843188465</v>
      </c>
      <c r="L468" s="14">
        <f t="shared" si="57"/>
        <v>513</v>
      </c>
      <c r="M468" s="14" t="str">
        <f t="shared" si="58"/>
        <v>25-02-2025</v>
      </c>
      <c r="N468" s="14">
        <f t="shared" si="59"/>
        <v>0.15496291482746213</v>
      </c>
      <c r="O468" s="20">
        <f t="shared" si="60"/>
        <v>2.49700712574744</v>
      </c>
      <c r="P468" s="14">
        <f t="shared" si="61"/>
        <v>478.35342780736067</v>
      </c>
      <c r="Q468" s="14">
        <f t="shared" si="62"/>
        <v>514.28050000000007</v>
      </c>
      <c r="R468" s="14" t="str">
        <f t="shared" si="63"/>
        <v>Feb</v>
      </c>
    </row>
    <row r="469" spans="1:18" x14ac:dyDescent="0.3">
      <c r="A469" t="s">
        <v>2078</v>
      </c>
      <c r="B469" s="1">
        <v>45565</v>
      </c>
      <c r="C469" t="s">
        <v>1145</v>
      </c>
      <c r="D469" t="s">
        <v>1479</v>
      </c>
      <c r="E469" t="s">
        <v>1561</v>
      </c>
      <c r="F469">
        <v>4</v>
      </c>
      <c r="G469" s="14">
        <v>934.96</v>
      </c>
      <c r="H469" s="17">
        <v>0.18</v>
      </c>
      <c r="I469" t="s">
        <v>1611</v>
      </c>
      <c r="J469" s="14">
        <v>3066.6687999999999</v>
      </c>
      <c r="K469" s="14">
        <f t="shared" si="56"/>
        <v>521905.39843188465</v>
      </c>
      <c r="L469" s="14">
        <f t="shared" si="57"/>
        <v>513</v>
      </c>
      <c r="M469" s="14" t="str">
        <f t="shared" si="58"/>
        <v>30-09-2024</v>
      </c>
      <c r="N469" s="14">
        <f t="shared" si="59"/>
        <v>0.15488124462160155</v>
      </c>
      <c r="O469" s="20">
        <f t="shared" si="60"/>
        <v>2.4966785869660866</v>
      </c>
      <c r="P469" s="14">
        <f t="shared" si="61"/>
        <v>478.24134644080777</v>
      </c>
      <c r="Q469" s="14">
        <f t="shared" si="62"/>
        <v>1001.4521999999999</v>
      </c>
      <c r="R469" s="14" t="str">
        <f t="shared" si="63"/>
        <v>Sep</v>
      </c>
    </row>
    <row r="470" spans="1:18" x14ac:dyDescent="0.3">
      <c r="A470" t="s">
        <v>2079</v>
      </c>
      <c r="B470" s="1">
        <v>45279</v>
      </c>
      <c r="C470" t="s">
        <v>672</v>
      </c>
      <c r="D470" t="s">
        <v>1367</v>
      </c>
      <c r="E470" t="s">
        <v>1584</v>
      </c>
      <c r="F470">
        <v>1</v>
      </c>
      <c r="G470" s="14">
        <v>880.89</v>
      </c>
      <c r="H470" s="17">
        <v>0.13</v>
      </c>
      <c r="I470" t="s">
        <v>1614</v>
      </c>
      <c r="J470" s="14">
        <v>766.37429999999995</v>
      </c>
      <c r="K470" s="14">
        <f t="shared" si="56"/>
        <v>521905.39843188465</v>
      </c>
      <c r="L470" s="14">
        <f t="shared" si="57"/>
        <v>513</v>
      </c>
      <c r="M470" s="14" t="str">
        <f t="shared" si="58"/>
        <v>19-12-2023</v>
      </c>
      <c r="N470" s="14">
        <f t="shared" si="59"/>
        <v>0.15486482713442615</v>
      </c>
      <c r="O470" s="20">
        <f t="shared" si="60"/>
        <v>2.4956960239510315</v>
      </c>
      <c r="P470" s="14">
        <f t="shared" si="61"/>
        <v>477.94283751691279</v>
      </c>
      <c r="Q470" s="14">
        <f t="shared" si="62"/>
        <v>412.09857499999998</v>
      </c>
      <c r="R470" s="14" t="str">
        <f t="shared" si="63"/>
        <v>Dec</v>
      </c>
    </row>
    <row r="471" spans="1:18" x14ac:dyDescent="0.3">
      <c r="A471" t="s">
        <v>2080</v>
      </c>
      <c r="B471" s="1">
        <v>45614</v>
      </c>
      <c r="C471" t="s">
        <v>1298</v>
      </c>
      <c r="D471" t="s">
        <v>1529</v>
      </c>
      <c r="E471" t="s">
        <v>1567</v>
      </c>
      <c r="F471">
        <v>4</v>
      </c>
      <c r="G471" s="14">
        <v>610.6</v>
      </c>
      <c r="H471" s="17">
        <v>0.1</v>
      </c>
      <c r="I471" t="s">
        <v>1611</v>
      </c>
      <c r="J471" s="14">
        <v>2198.16</v>
      </c>
      <c r="K471" s="14">
        <f t="shared" si="56"/>
        <v>521905.39843188465</v>
      </c>
      <c r="L471" s="14">
        <f t="shared" si="57"/>
        <v>513</v>
      </c>
      <c r="M471" s="14" t="str">
        <f t="shared" si="58"/>
        <v>18-11-2024</v>
      </c>
      <c r="N471" s="14">
        <f t="shared" si="59"/>
        <v>0.15488108928428515</v>
      </c>
      <c r="O471" s="20">
        <f t="shared" si="60"/>
        <v>2.4966742424101231</v>
      </c>
      <c r="P471" s="14">
        <f t="shared" si="61"/>
        <v>477.67930111241111</v>
      </c>
      <c r="Q471" s="14">
        <f t="shared" si="62"/>
        <v>703.21499999999992</v>
      </c>
      <c r="R471" s="14" t="str">
        <f t="shared" si="63"/>
        <v>Nov</v>
      </c>
    </row>
    <row r="472" spans="1:18" x14ac:dyDescent="0.3">
      <c r="A472" t="s">
        <v>2081</v>
      </c>
      <c r="B472" s="1">
        <v>45912</v>
      </c>
      <c r="C472" t="s">
        <v>275</v>
      </c>
      <c r="D472" t="s">
        <v>1389</v>
      </c>
      <c r="E472" t="s">
        <v>1595</v>
      </c>
      <c r="F472">
        <v>1</v>
      </c>
      <c r="G472" s="14">
        <v>514.19000000000005</v>
      </c>
      <c r="H472" s="17">
        <v>0.2</v>
      </c>
      <c r="I472" t="s">
        <v>1609</v>
      </c>
      <c r="J472" s="14">
        <v>411.35200000000009</v>
      </c>
      <c r="K472" s="14">
        <f t="shared" si="56"/>
        <v>521905.39843188465</v>
      </c>
      <c r="L472" s="14">
        <f t="shared" si="57"/>
        <v>513</v>
      </c>
      <c r="M472" s="14" t="str">
        <f t="shared" si="58"/>
        <v>12-09-2025</v>
      </c>
      <c r="N472" s="14">
        <f t="shared" si="59"/>
        <v>0.15491700622753402</v>
      </c>
      <c r="O472" s="20">
        <f t="shared" si="60"/>
        <v>2.4956903904745276</v>
      </c>
      <c r="P472" s="14">
        <f t="shared" si="61"/>
        <v>477.59231112622808</v>
      </c>
      <c r="Q472" s="14">
        <f t="shared" si="62"/>
        <v>231.68550000000005</v>
      </c>
      <c r="R472" s="14" t="str">
        <f t="shared" si="63"/>
        <v>Sep</v>
      </c>
    </row>
    <row r="473" spans="1:18" x14ac:dyDescent="0.3">
      <c r="A473" t="s">
        <v>2082</v>
      </c>
      <c r="B473" s="1">
        <v>45688</v>
      </c>
      <c r="C473" t="s">
        <v>1220</v>
      </c>
      <c r="D473" t="s">
        <v>1407</v>
      </c>
      <c r="E473" t="s">
        <v>1582</v>
      </c>
      <c r="F473">
        <v>1</v>
      </c>
      <c r="G473" s="14">
        <v>546.20000000000005</v>
      </c>
      <c r="H473" s="17">
        <v>0.22</v>
      </c>
      <c r="I473" t="s">
        <v>1611</v>
      </c>
      <c r="J473" s="14">
        <v>426.03600000000012</v>
      </c>
      <c r="K473" s="14">
        <f t="shared" si="56"/>
        <v>521494.04643188464</v>
      </c>
      <c r="L473" s="14">
        <f t="shared" si="57"/>
        <v>512</v>
      </c>
      <c r="M473" s="14" t="str">
        <f t="shared" si="58"/>
        <v>31-01-2025</v>
      </c>
      <c r="N473" s="14">
        <f t="shared" si="59"/>
        <v>0.15488748232853439</v>
      </c>
      <c r="O473" s="20">
        <f t="shared" si="60"/>
        <v>2.4966698864735286</v>
      </c>
      <c r="P473" s="14">
        <f t="shared" si="61"/>
        <v>477.56834407392046</v>
      </c>
      <c r="Q473" s="14">
        <f t="shared" si="62"/>
        <v>243.36400000000003</v>
      </c>
      <c r="R473" s="14" t="str">
        <f t="shared" si="63"/>
        <v>Jan</v>
      </c>
    </row>
    <row r="474" spans="1:18" x14ac:dyDescent="0.3">
      <c r="A474" t="s">
        <v>2083</v>
      </c>
      <c r="B474" s="1">
        <v>45591</v>
      </c>
      <c r="C474" t="s">
        <v>646</v>
      </c>
      <c r="D474" t="s">
        <v>1407</v>
      </c>
      <c r="E474" t="s">
        <v>1537</v>
      </c>
      <c r="F474">
        <v>3</v>
      </c>
      <c r="G474" s="14">
        <v>416.01</v>
      </c>
      <c r="H474" s="17">
        <v>0.02</v>
      </c>
      <c r="I474" t="s">
        <v>1609</v>
      </c>
      <c r="J474" s="14">
        <v>1223.0694000000001</v>
      </c>
      <c r="K474" s="14">
        <f t="shared" si="56"/>
        <v>521494.04643188464</v>
      </c>
      <c r="L474" s="14">
        <f t="shared" si="57"/>
        <v>512</v>
      </c>
      <c r="M474" s="14" t="str">
        <f t="shared" si="58"/>
        <v>26-10-2024</v>
      </c>
      <c r="N474" s="14">
        <f t="shared" si="59"/>
        <v>0.15484481357514546</v>
      </c>
      <c r="O474" s="20">
        <f t="shared" si="60"/>
        <v>2.4976506662156477</v>
      </c>
      <c r="P474" s="14">
        <f t="shared" si="61"/>
        <v>477.52336920109877</v>
      </c>
      <c r="Q474" s="14">
        <f t="shared" si="62"/>
        <v>410.52485000000001</v>
      </c>
      <c r="R474" s="14" t="str">
        <f t="shared" si="63"/>
        <v>Oct</v>
      </c>
    </row>
    <row r="475" spans="1:18" x14ac:dyDescent="0.3">
      <c r="A475" t="s">
        <v>2084</v>
      </c>
      <c r="B475" s="1">
        <v>45864</v>
      </c>
      <c r="C475" t="s">
        <v>1199</v>
      </c>
      <c r="D475" t="s">
        <v>1481</v>
      </c>
      <c r="E475" t="s">
        <v>1574</v>
      </c>
      <c r="F475">
        <v>1</v>
      </c>
      <c r="G475" s="14">
        <v>30.94</v>
      </c>
      <c r="H475" s="17">
        <v>0.21</v>
      </c>
      <c r="I475" t="s">
        <v>1614</v>
      </c>
      <c r="J475" s="14">
        <v>24.442599999999999</v>
      </c>
      <c r="K475" s="14">
        <f t="shared" si="56"/>
        <v>520270.9770318846</v>
      </c>
      <c r="L475" s="14">
        <f t="shared" si="57"/>
        <v>511</v>
      </c>
      <c r="M475" s="14" t="str">
        <f t="shared" si="58"/>
        <v>26-07-2025</v>
      </c>
      <c r="N475" s="14">
        <f t="shared" si="59"/>
        <v>0.15493323640371934</v>
      </c>
      <c r="O475" s="20">
        <f t="shared" si="60"/>
        <v>2.4973212568164449</v>
      </c>
      <c r="P475" s="14">
        <f t="shared" si="61"/>
        <v>477.56370583664039</v>
      </c>
      <c r="Q475" s="14">
        <f t="shared" si="62"/>
        <v>14.148149999999999</v>
      </c>
      <c r="R475" s="14" t="str">
        <f t="shared" si="63"/>
        <v>Jul</v>
      </c>
    </row>
    <row r="476" spans="1:18" x14ac:dyDescent="0.3">
      <c r="A476" t="s">
        <v>2085</v>
      </c>
      <c r="B476" s="1">
        <v>45875</v>
      </c>
      <c r="C476" t="s">
        <v>654</v>
      </c>
      <c r="D476" t="s">
        <v>1449</v>
      </c>
      <c r="E476" t="s">
        <v>1589</v>
      </c>
      <c r="F476">
        <v>3</v>
      </c>
      <c r="G476" s="14">
        <v>666.39</v>
      </c>
      <c r="H476" s="17">
        <v>0.21</v>
      </c>
      <c r="I476" t="s">
        <v>1614</v>
      </c>
      <c r="J476" s="14">
        <v>1579.3443</v>
      </c>
      <c r="K476" s="14">
        <f t="shared" si="56"/>
        <v>520270.9770318846</v>
      </c>
      <c r="L476" s="14">
        <f t="shared" si="57"/>
        <v>511</v>
      </c>
      <c r="M476" s="14" t="str">
        <f t="shared" si="58"/>
        <v>06-08-2025</v>
      </c>
      <c r="N476" s="14">
        <f t="shared" si="59"/>
        <v>0.15489710335674015</v>
      </c>
      <c r="O476" s="20">
        <f t="shared" si="60"/>
        <v>2.4983037510794479</v>
      </c>
      <c r="P476" s="14">
        <f t="shared" si="61"/>
        <v>477.85676601107389</v>
      </c>
      <c r="Q476" s="14">
        <f t="shared" si="62"/>
        <v>562.23607500000003</v>
      </c>
      <c r="R476" s="14" t="str">
        <f t="shared" si="63"/>
        <v>Aug</v>
      </c>
    </row>
    <row r="477" spans="1:18" x14ac:dyDescent="0.3">
      <c r="A477" t="s">
        <v>2086</v>
      </c>
      <c r="B477" s="1">
        <v>45797</v>
      </c>
      <c r="C477" t="s">
        <v>553</v>
      </c>
      <c r="D477" t="s">
        <v>1495</v>
      </c>
      <c r="E477" t="s">
        <v>1574</v>
      </c>
      <c r="F477">
        <v>2</v>
      </c>
      <c r="G477" s="14">
        <v>145.26</v>
      </c>
      <c r="H477" s="17">
        <v>0.19</v>
      </c>
      <c r="I477" t="s">
        <v>1611</v>
      </c>
      <c r="J477" s="14">
        <v>235.3212</v>
      </c>
      <c r="K477" s="14">
        <f t="shared" si="56"/>
        <v>520270.9770318846</v>
      </c>
      <c r="L477" s="14">
        <f t="shared" si="57"/>
        <v>511</v>
      </c>
      <c r="M477" s="14" t="str">
        <f t="shared" si="58"/>
        <v>20-05-2025</v>
      </c>
      <c r="N477" s="14">
        <f t="shared" si="59"/>
        <v>0.15486092285992908</v>
      </c>
      <c r="O477" s="20">
        <f t="shared" si="60"/>
        <v>2.4979743379153501</v>
      </c>
      <c r="P477" s="14">
        <f t="shared" si="61"/>
        <v>477.7329753124601</v>
      </c>
      <c r="Q477" s="14">
        <f t="shared" si="62"/>
        <v>95.692800000000005</v>
      </c>
      <c r="R477" s="14" t="str">
        <f t="shared" si="63"/>
        <v>May</v>
      </c>
    </row>
    <row r="478" spans="1:18" x14ac:dyDescent="0.3">
      <c r="A478" t="s">
        <v>2087</v>
      </c>
      <c r="B478" s="1">
        <v>45364</v>
      </c>
      <c r="C478" t="s">
        <v>411</v>
      </c>
      <c r="D478" t="s">
        <v>1515</v>
      </c>
      <c r="E478" t="s">
        <v>1558</v>
      </c>
      <c r="F478">
        <v>4</v>
      </c>
      <c r="G478" s="14">
        <v>940.77</v>
      </c>
      <c r="H478" s="17">
        <v>0.24</v>
      </c>
      <c r="I478" t="s">
        <v>1614</v>
      </c>
      <c r="J478" s="14">
        <v>2859.9407999999999</v>
      </c>
      <c r="K478" s="14">
        <f t="shared" si="56"/>
        <v>520270.9770318846</v>
      </c>
      <c r="L478" s="14">
        <f t="shared" si="57"/>
        <v>511</v>
      </c>
      <c r="M478" s="14" t="str">
        <f t="shared" si="58"/>
        <v>13-03-2024</v>
      </c>
      <c r="N478" s="14">
        <f t="shared" si="59"/>
        <v>0.15483783542422599</v>
      </c>
      <c r="O478" s="20">
        <f t="shared" si="60"/>
        <v>2.4983015221058333</v>
      </c>
      <c r="P478" s="14">
        <f t="shared" si="61"/>
        <v>477.95142010570089</v>
      </c>
      <c r="Q478" s="14">
        <f t="shared" si="62"/>
        <v>951.2376999999999</v>
      </c>
      <c r="R478" s="14" t="str">
        <f t="shared" si="63"/>
        <v>Mar</v>
      </c>
    </row>
    <row r="479" spans="1:18" x14ac:dyDescent="0.3">
      <c r="A479" t="s">
        <v>2088</v>
      </c>
      <c r="B479" s="1">
        <v>45700</v>
      </c>
      <c r="C479" t="s">
        <v>1290</v>
      </c>
      <c r="D479" t="s">
        <v>1425</v>
      </c>
      <c r="E479" t="s">
        <v>1592</v>
      </c>
      <c r="F479">
        <v>1</v>
      </c>
      <c r="G479" s="14">
        <v>708.88</v>
      </c>
      <c r="H479" s="17">
        <v>0.09</v>
      </c>
      <c r="I479" t="s">
        <v>1609</v>
      </c>
      <c r="J479" s="14">
        <v>645.08080000000007</v>
      </c>
      <c r="K479" s="14">
        <f t="shared" si="56"/>
        <v>520270.9770318846</v>
      </c>
      <c r="L479" s="14">
        <f t="shared" si="57"/>
        <v>511</v>
      </c>
      <c r="M479" s="14" t="str">
        <f t="shared" si="58"/>
        <v>12-02-2025</v>
      </c>
      <c r="N479" s="14">
        <f t="shared" si="59"/>
        <v>0.15478184452049443</v>
      </c>
      <c r="O479" s="20">
        <f t="shared" si="60"/>
        <v>2.4973142121269416</v>
      </c>
      <c r="P479" s="14">
        <f t="shared" si="61"/>
        <v>477.64713438584926</v>
      </c>
      <c r="Q479" s="14">
        <f t="shared" si="62"/>
        <v>338.7627</v>
      </c>
      <c r="R479" s="14" t="str">
        <f t="shared" si="63"/>
        <v>Feb</v>
      </c>
    </row>
    <row r="480" spans="1:18" x14ac:dyDescent="0.3">
      <c r="A480" t="s">
        <v>2089</v>
      </c>
      <c r="B480" s="1">
        <v>45924</v>
      </c>
      <c r="C480" t="s">
        <v>969</v>
      </c>
      <c r="D480" t="s">
        <v>1393</v>
      </c>
      <c r="E480" t="s">
        <v>1546</v>
      </c>
      <c r="F480">
        <v>1</v>
      </c>
      <c r="G480" s="14">
        <v>790.73</v>
      </c>
      <c r="H480" s="17">
        <v>0.24</v>
      </c>
      <c r="I480" t="s">
        <v>1611</v>
      </c>
      <c r="J480" s="14">
        <v>600.95479999999998</v>
      </c>
      <c r="K480" s="14">
        <f t="shared" si="56"/>
        <v>519625.8962318846</v>
      </c>
      <c r="L480" s="14">
        <f t="shared" si="57"/>
        <v>510</v>
      </c>
      <c r="M480" s="14" t="str">
        <f t="shared" si="58"/>
        <v>24-09-2025</v>
      </c>
      <c r="N480" s="14">
        <f t="shared" si="59"/>
        <v>0.15482446415504736</v>
      </c>
      <c r="O480" s="20">
        <f t="shared" si="60"/>
        <v>2.4982992872664989</v>
      </c>
      <c r="P480" s="14">
        <f t="shared" si="61"/>
        <v>477.49500750057678</v>
      </c>
      <c r="Q480" s="14">
        <f t="shared" si="62"/>
        <v>348.2312</v>
      </c>
      <c r="R480" s="14" t="str">
        <f t="shared" si="63"/>
        <v>Sep</v>
      </c>
    </row>
    <row r="481" spans="1:18" x14ac:dyDescent="0.3">
      <c r="A481" t="s">
        <v>2090</v>
      </c>
      <c r="B481" s="1">
        <v>45574</v>
      </c>
      <c r="C481" t="s">
        <v>1270</v>
      </c>
      <c r="D481" t="s">
        <v>1363</v>
      </c>
      <c r="E481" t="s">
        <v>1571</v>
      </c>
      <c r="F481">
        <v>3</v>
      </c>
      <c r="G481" s="14">
        <v>635.13</v>
      </c>
      <c r="H481" s="17">
        <v>0.09</v>
      </c>
      <c r="I481" t="s">
        <v>1611</v>
      </c>
      <c r="J481" s="14">
        <v>1733.9049</v>
      </c>
      <c r="K481" s="14">
        <f t="shared" si="56"/>
        <v>519625.8962318846</v>
      </c>
      <c r="L481" s="14">
        <f t="shared" si="57"/>
        <v>510</v>
      </c>
      <c r="M481" s="14" t="str">
        <f t="shared" si="58"/>
        <v>09-10-2024</v>
      </c>
      <c r="N481" s="14">
        <f t="shared" si="59"/>
        <v>0.15476839072789467</v>
      </c>
      <c r="O481" s="20">
        <f t="shared" si="60"/>
        <v>2.4992856594108481</v>
      </c>
      <c r="P481" s="14">
        <f t="shared" si="61"/>
        <v>477.28879618227563</v>
      </c>
      <c r="Q481" s="14">
        <f t="shared" si="62"/>
        <v>593.03122499999995</v>
      </c>
      <c r="R481" s="14" t="str">
        <f t="shared" si="63"/>
        <v>Oct</v>
      </c>
    </row>
    <row r="482" spans="1:18" x14ac:dyDescent="0.3">
      <c r="A482" t="s">
        <v>2091</v>
      </c>
      <c r="B482" s="1">
        <v>45233</v>
      </c>
      <c r="C482" t="s">
        <v>849</v>
      </c>
      <c r="D482" t="s">
        <v>1519</v>
      </c>
      <c r="E482" t="s">
        <v>1584</v>
      </c>
      <c r="F482">
        <v>1</v>
      </c>
      <c r="G482" s="14">
        <v>744.88</v>
      </c>
      <c r="H482" s="17">
        <v>0.15</v>
      </c>
      <c r="I482" t="s">
        <v>1614</v>
      </c>
      <c r="J482" s="14">
        <v>633.14800000000002</v>
      </c>
      <c r="K482" s="14">
        <f t="shared" si="56"/>
        <v>519625.8962318846</v>
      </c>
      <c r="L482" s="14">
        <f t="shared" si="57"/>
        <v>510</v>
      </c>
      <c r="M482" s="14" t="str">
        <f t="shared" si="58"/>
        <v>03-11-2023</v>
      </c>
      <c r="N482" s="14">
        <f t="shared" si="59"/>
        <v>0.15481105765195785</v>
      </c>
      <c r="O482" s="20">
        <f t="shared" si="60"/>
        <v>2.4989558080665866</v>
      </c>
      <c r="P482" s="14">
        <f t="shared" si="61"/>
        <v>477.18481646961584</v>
      </c>
      <c r="Q482" s="14">
        <f t="shared" si="62"/>
        <v>344.79449999999997</v>
      </c>
      <c r="R482" s="14" t="str">
        <f t="shared" si="63"/>
        <v>Nov</v>
      </c>
    </row>
    <row r="483" spans="1:18" x14ac:dyDescent="0.3">
      <c r="A483" t="s">
        <v>2092</v>
      </c>
      <c r="B483" s="1">
        <v>45745</v>
      </c>
      <c r="C483" t="s">
        <v>604</v>
      </c>
      <c r="D483" t="s">
        <v>1389</v>
      </c>
      <c r="E483" t="s">
        <v>1542</v>
      </c>
      <c r="F483">
        <v>3</v>
      </c>
      <c r="G483" s="14">
        <v>205.34</v>
      </c>
      <c r="H483" s="17">
        <v>0.25</v>
      </c>
      <c r="I483" t="s">
        <v>1609</v>
      </c>
      <c r="J483" s="14">
        <v>462.01499999999999</v>
      </c>
      <c r="K483" s="14">
        <f t="shared" si="56"/>
        <v>519625.8962318846</v>
      </c>
      <c r="L483" s="14">
        <f t="shared" si="57"/>
        <v>510</v>
      </c>
      <c r="M483" s="14" t="str">
        <f t="shared" si="58"/>
        <v>29-03-2025</v>
      </c>
      <c r="N483" s="14">
        <f t="shared" si="59"/>
        <v>0.15481422908086487</v>
      </c>
      <c r="O483" s="20">
        <f t="shared" si="60"/>
        <v>2.4999439134113897</v>
      </c>
      <c r="P483" s="14">
        <f t="shared" si="61"/>
        <v>477.00835293399916</v>
      </c>
      <c r="Q483" s="14">
        <f t="shared" si="62"/>
        <v>167.65125</v>
      </c>
      <c r="R483" s="14" t="str">
        <f t="shared" si="63"/>
        <v>Mar</v>
      </c>
    </row>
    <row r="484" spans="1:18" x14ac:dyDescent="0.3">
      <c r="A484" t="s">
        <v>2093</v>
      </c>
      <c r="B484" s="1">
        <v>45851</v>
      </c>
      <c r="C484" t="s">
        <v>1240</v>
      </c>
      <c r="D484" t="s">
        <v>1391</v>
      </c>
      <c r="E484" t="s">
        <v>1567</v>
      </c>
      <c r="F484">
        <v>2</v>
      </c>
      <c r="G484" s="14">
        <v>756.8</v>
      </c>
      <c r="H484" s="17">
        <v>0.15</v>
      </c>
      <c r="I484" t="s">
        <v>1609</v>
      </c>
      <c r="J484" s="14">
        <v>1286.56</v>
      </c>
      <c r="K484" s="14">
        <f t="shared" si="56"/>
        <v>519163.88123188465</v>
      </c>
      <c r="L484" s="14">
        <f t="shared" si="57"/>
        <v>509</v>
      </c>
      <c r="M484" s="14" t="str">
        <f t="shared" si="58"/>
        <v>13-07-2025</v>
      </c>
      <c r="N484" s="14">
        <f t="shared" si="59"/>
        <v>0.15475144163302901</v>
      </c>
      <c r="O484" s="20">
        <f t="shared" si="60"/>
        <v>2.4996140611115294</v>
      </c>
      <c r="P484" s="14">
        <f t="shared" si="61"/>
        <v>477.18755369450975</v>
      </c>
      <c r="Q484" s="14">
        <f t="shared" si="62"/>
        <v>511.37749999999994</v>
      </c>
      <c r="R484" s="14" t="str">
        <f t="shared" si="63"/>
        <v>Jul</v>
      </c>
    </row>
    <row r="485" spans="1:18" x14ac:dyDescent="0.3">
      <c r="A485" t="s">
        <v>2094</v>
      </c>
      <c r="B485" s="1">
        <v>45308</v>
      </c>
      <c r="C485" t="s">
        <v>172</v>
      </c>
      <c r="D485" t="s">
        <v>1375</v>
      </c>
      <c r="E485" t="s">
        <v>1574</v>
      </c>
      <c r="F485">
        <v>1</v>
      </c>
      <c r="G485" s="14">
        <v>771.73</v>
      </c>
      <c r="H485" s="17">
        <v>0.2</v>
      </c>
      <c r="I485" t="s">
        <v>1609</v>
      </c>
      <c r="J485" s="14">
        <v>617.38400000000001</v>
      </c>
      <c r="K485" s="14">
        <f t="shared" si="56"/>
        <v>517877.32123188465</v>
      </c>
      <c r="L485" s="14">
        <f t="shared" si="57"/>
        <v>508</v>
      </c>
      <c r="M485" s="14" t="str">
        <f t="shared" si="58"/>
        <v>17-01-2024</v>
      </c>
      <c r="N485" s="14">
        <f t="shared" si="59"/>
        <v>0.15475457789813332</v>
      </c>
      <c r="O485" s="20">
        <f t="shared" si="60"/>
        <v>2.4999438393696889</v>
      </c>
      <c r="P485" s="14">
        <f t="shared" si="61"/>
        <v>477.00299102368109</v>
      </c>
      <c r="Q485" s="14">
        <f t="shared" si="62"/>
        <v>347.57850000000002</v>
      </c>
      <c r="R485" s="14" t="str">
        <f t="shared" si="63"/>
        <v>Jan</v>
      </c>
    </row>
    <row r="486" spans="1:18" x14ac:dyDescent="0.3">
      <c r="A486" t="s">
        <v>2095</v>
      </c>
      <c r="B486" s="1">
        <v>45639</v>
      </c>
      <c r="C486" t="s">
        <v>1300</v>
      </c>
      <c r="D486" t="s">
        <v>1465</v>
      </c>
      <c r="E486" t="s">
        <v>1592</v>
      </c>
      <c r="F486">
        <v>1</v>
      </c>
      <c r="G486" s="14">
        <v>440.19</v>
      </c>
      <c r="H486" s="17">
        <v>0.03</v>
      </c>
      <c r="I486" t="s">
        <v>1611</v>
      </c>
      <c r="J486" s="14">
        <v>426.98430000000002</v>
      </c>
      <c r="K486" s="14">
        <f t="shared" si="56"/>
        <v>517259.93723188463</v>
      </c>
      <c r="L486" s="14">
        <f t="shared" si="57"/>
        <v>507</v>
      </c>
      <c r="M486" s="14" t="str">
        <f t="shared" si="58"/>
        <v>13-12-2024</v>
      </c>
      <c r="N486" s="14">
        <f t="shared" si="59"/>
        <v>0.15472469320718096</v>
      </c>
      <c r="O486" s="20">
        <f t="shared" si="60"/>
        <v>2.5009345552477402</v>
      </c>
      <c r="P486" s="14">
        <f t="shared" si="61"/>
        <v>476.80832325024892</v>
      </c>
      <c r="Q486" s="14">
        <f t="shared" si="62"/>
        <v>217.051075</v>
      </c>
      <c r="R486" s="14" t="str">
        <f t="shared" si="63"/>
        <v>Dec</v>
      </c>
    </row>
    <row r="487" spans="1:18" x14ac:dyDescent="0.3">
      <c r="A487" t="s">
        <v>2096</v>
      </c>
      <c r="B487" s="1">
        <v>45919</v>
      </c>
      <c r="C487" t="s">
        <v>181</v>
      </c>
      <c r="D487" t="s">
        <v>1338</v>
      </c>
      <c r="E487" t="s">
        <v>1546</v>
      </c>
      <c r="F487">
        <v>2</v>
      </c>
      <c r="G487" s="14">
        <v>409</v>
      </c>
      <c r="H487" s="17">
        <v>0.17</v>
      </c>
      <c r="I487" t="s">
        <v>1609</v>
      </c>
      <c r="J487" s="14">
        <v>678.93999999999994</v>
      </c>
      <c r="K487" s="14">
        <f t="shared" si="56"/>
        <v>517259.93723188463</v>
      </c>
      <c r="L487" s="14">
        <f t="shared" si="57"/>
        <v>507</v>
      </c>
      <c r="M487" s="14" t="str">
        <f t="shared" si="58"/>
        <v>19-09-2025</v>
      </c>
      <c r="N487" s="14">
        <f t="shared" si="59"/>
        <v>0.15480712856290282</v>
      </c>
      <c r="O487" s="20">
        <f t="shared" si="60"/>
        <v>2.5019265807303888</v>
      </c>
      <c r="P487" s="14">
        <f t="shared" si="61"/>
        <v>476.83252571108852</v>
      </c>
      <c r="Q487" s="14">
        <f t="shared" si="62"/>
        <v>272.52749999999997</v>
      </c>
      <c r="R487" s="14" t="str">
        <f t="shared" si="63"/>
        <v>Sep</v>
      </c>
    </row>
    <row r="488" spans="1:18" x14ac:dyDescent="0.3">
      <c r="A488" t="s">
        <v>2097</v>
      </c>
      <c r="B488" s="1">
        <v>45333</v>
      </c>
      <c r="C488" t="s">
        <v>1077</v>
      </c>
      <c r="D488" t="s">
        <v>1409</v>
      </c>
      <c r="E488" t="s">
        <v>1598</v>
      </c>
      <c r="F488">
        <v>3</v>
      </c>
      <c r="G488" s="14">
        <v>134.58000000000001</v>
      </c>
      <c r="H488" s="17">
        <v>0.04</v>
      </c>
      <c r="I488" t="s">
        <v>1614</v>
      </c>
      <c r="J488" s="14">
        <v>387.59039999999999</v>
      </c>
      <c r="K488" s="14">
        <f t="shared" si="56"/>
        <v>516580.99723188463</v>
      </c>
      <c r="L488" s="14">
        <f t="shared" si="57"/>
        <v>506</v>
      </c>
      <c r="M488" s="14" t="str">
        <f t="shared" si="58"/>
        <v>11-02-2024</v>
      </c>
      <c r="N488" s="14">
        <f t="shared" si="59"/>
        <v>0.15479708036750794</v>
      </c>
      <c r="O488" s="20">
        <f t="shared" si="60"/>
        <v>2.5022585427546815</v>
      </c>
      <c r="P488" s="14">
        <f t="shared" si="61"/>
        <v>476.87738849264343</v>
      </c>
      <c r="Q488" s="14">
        <f t="shared" si="62"/>
        <v>131.30259999999998</v>
      </c>
      <c r="R488" s="14" t="str">
        <f t="shared" si="63"/>
        <v>Feb</v>
      </c>
    </row>
    <row r="489" spans="1:18" x14ac:dyDescent="0.3">
      <c r="A489" t="s">
        <v>2098</v>
      </c>
      <c r="B489" s="1">
        <v>45811</v>
      </c>
      <c r="C489" t="s">
        <v>1092</v>
      </c>
      <c r="D489" t="s">
        <v>1411</v>
      </c>
      <c r="E489" t="s">
        <v>1564</v>
      </c>
      <c r="F489">
        <v>4</v>
      </c>
      <c r="G489" s="14">
        <v>284.44</v>
      </c>
      <c r="H489" s="17">
        <v>0.02</v>
      </c>
      <c r="I489" t="s">
        <v>1609</v>
      </c>
      <c r="J489" s="14">
        <v>1115.0047999999999</v>
      </c>
      <c r="K489" s="14">
        <f t="shared" si="56"/>
        <v>516580.99723188463</v>
      </c>
      <c r="L489" s="14">
        <f t="shared" si="57"/>
        <v>506</v>
      </c>
      <c r="M489" s="14" t="str">
        <f t="shared" si="58"/>
        <v>03-06-2025</v>
      </c>
      <c r="N489" s="14">
        <f t="shared" si="59"/>
        <v>0.15487305460997483</v>
      </c>
      <c r="O489" s="20">
        <f t="shared" si="60"/>
        <v>2.5019291308041551</v>
      </c>
      <c r="P489" s="14">
        <f t="shared" si="61"/>
        <v>477.10392548039499</v>
      </c>
      <c r="Q489" s="14">
        <f t="shared" si="62"/>
        <v>350.86619999999999</v>
      </c>
      <c r="R489" s="14" t="str">
        <f t="shared" si="63"/>
        <v>Jun</v>
      </c>
    </row>
    <row r="490" spans="1:18" x14ac:dyDescent="0.3">
      <c r="A490" t="s">
        <v>2099</v>
      </c>
      <c r="B490" s="1">
        <v>45726</v>
      </c>
      <c r="C490" t="s">
        <v>1226</v>
      </c>
      <c r="D490" t="s">
        <v>1479</v>
      </c>
      <c r="E490" t="s">
        <v>1582</v>
      </c>
      <c r="F490">
        <v>4</v>
      </c>
      <c r="G490" s="14">
        <v>922.69</v>
      </c>
      <c r="H490" s="17">
        <v>0.16</v>
      </c>
      <c r="I490" t="s">
        <v>1609</v>
      </c>
      <c r="J490" s="14">
        <v>3100.2384000000002</v>
      </c>
      <c r="K490" s="14">
        <f t="shared" si="56"/>
        <v>515465.99243188463</v>
      </c>
      <c r="L490" s="14">
        <f t="shared" si="57"/>
        <v>505</v>
      </c>
      <c r="M490" s="14" t="str">
        <f t="shared" si="58"/>
        <v>10-03-2025</v>
      </c>
      <c r="N490" s="14">
        <f t="shared" si="59"/>
        <v>0.15496237451369005</v>
      </c>
      <c r="O490" s="20">
        <f t="shared" si="60"/>
        <v>2.5009370308907806</v>
      </c>
      <c r="P490" s="14">
        <f t="shared" si="61"/>
        <v>477.23151748402444</v>
      </c>
      <c r="Q490" s="14">
        <f t="shared" si="62"/>
        <v>1006.7721</v>
      </c>
      <c r="R490" s="14" t="str">
        <f t="shared" si="63"/>
        <v>Mar</v>
      </c>
    </row>
    <row r="491" spans="1:18" x14ac:dyDescent="0.3">
      <c r="A491" t="s">
        <v>2100</v>
      </c>
      <c r="B491" s="1">
        <v>45644</v>
      </c>
      <c r="C491" t="s">
        <v>875</v>
      </c>
      <c r="D491" t="s">
        <v>1405</v>
      </c>
      <c r="E491" t="s">
        <v>1561</v>
      </c>
      <c r="F491">
        <v>2</v>
      </c>
      <c r="G491" s="14">
        <v>992.55</v>
      </c>
      <c r="H491" s="17">
        <v>0.28000000000000003</v>
      </c>
      <c r="I491" t="s">
        <v>1609</v>
      </c>
      <c r="J491" s="14">
        <v>1429.2719999999999</v>
      </c>
      <c r="K491" s="14">
        <f t="shared" si="56"/>
        <v>512365.75403188454</v>
      </c>
      <c r="L491" s="14">
        <f t="shared" si="57"/>
        <v>504</v>
      </c>
      <c r="M491" s="14" t="str">
        <f t="shared" si="58"/>
        <v>18-12-2024</v>
      </c>
      <c r="N491" s="14">
        <f t="shared" si="59"/>
        <v>0.15495903612701922</v>
      </c>
      <c r="O491" s="20">
        <f t="shared" si="60"/>
        <v>2.4999436160669837</v>
      </c>
      <c r="P491" s="14">
        <f t="shared" si="61"/>
        <v>476.93631636903706</v>
      </c>
      <c r="Q491" s="14">
        <f t="shared" si="62"/>
        <v>606.02549999999997</v>
      </c>
      <c r="R491" s="14" t="str">
        <f t="shared" si="63"/>
        <v>Dec</v>
      </c>
    </row>
    <row r="492" spans="1:18" x14ac:dyDescent="0.3">
      <c r="A492" t="s">
        <v>2101</v>
      </c>
      <c r="B492" s="1">
        <v>45371</v>
      </c>
      <c r="C492" t="s">
        <v>1239</v>
      </c>
      <c r="D492" t="s">
        <v>1511</v>
      </c>
      <c r="E492" t="s">
        <v>1595</v>
      </c>
      <c r="F492">
        <v>1</v>
      </c>
      <c r="G492" s="14">
        <v>170.43</v>
      </c>
      <c r="H492" s="17">
        <v>0.03</v>
      </c>
      <c r="I492" t="s">
        <v>1609</v>
      </c>
      <c r="J492" s="14">
        <v>165.31710000000001</v>
      </c>
      <c r="K492" s="14">
        <f t="shared" si="56"/>
        <v>510936.48203188466</v>
      </c>
      <c r="L492" s="14">
        <f t="shared" si="57"/>
        <v>503</v>
      </c>
      <c r="M492" s="14" t="str">
        <f t="shared" si="58"/>
        <v>20-03-2024</v>
      </c>
      <c r="N492" s="14">
        <f t="shared" si="59"/>
        <v>0.15487611771596285</v>
      </c>
      <c r="O492" s="20">
        <f t="shared" si="60"/>
        <v>2.5002751436638451</v>
      </c>
      <c r="P492" s="14">
        <f t="shared" si="61"/>
        <v>476.59439748068758</v>
      </c>
      <c r="Q492" s="14">
        <f t="shared" si="62"/>
        <v>84.194275000000005</v>
      </c>
      <c r="R492" s="14" t="str">
        <f t="shared" si="63"/>
        <v>Mar</v>
      </c>
    </row>
    <row r="493" spans="1:18" x14ac:dyDescent="0.3">
      <c r="A493" t="s">
        <v>2102</v>
      </c>
      <c r="B493" s="1">
        <v>45462</v>
      </c>
      <c r="C493" t="s">
        <v>722</v>
      </c>
      <c r="D493" t="s">
        <v>1477</v>
      </c>
      <c r="E493" t="s">
        <v>1546</v>
      </c>
      <c r="F493">
        <v>3</v>
      </c>
      <c r="G493" s="14">
        <v>480.51</v>
      </c>
      <c r="H493" s="17">
        <v>0.03</v>
      </c>
      <c r="I493" t="s">
        <v>1609</v>
      </c>
      <c r="J493" s="14">
        <v>1398.2841000000001</v>
      </c>
      <c r="K493" s="14">
        <f t="shared" si="56"/>
        <v>510771.16493188462</v>
      </c>
      <c r="L493" s="14">
        <f t="shared" si="57"/>
        <v>502</v>
      </c>
      <c r="M493" s="14" t="str">
        <f t="shared" si="58"/>
        <v>19-06-2024</v>
      </c>
      <c r="N493" s="14">
        <f t="shared" si="59"/>
        <v>0.15495898176222428</v>
      </c>
      <c r="O493" s="20">
        <f t="shared" si="60"/>
        <v>2.5012706812508814</v>
      </c>
      <c r="P493" s="14">
        <f t="shared" si="61"/>
        <v>476.7975589919555</v>
      </c>
      <c r="Q493" s="14">
        <f t="shared" si="62"/>
        <v>470.45602500000001</v>
      </c>
      <c r="R493" s="14" t="str">
        <f t="shared" si="63"/>
        <v>Jun</v>
      </c>
    </row>
    <row r="494" spans="1:18" x14ac:dyDescent="0.3">
      <c r="A494" t="s">
        <v>2103</v>
      </c>
      <c r="B494" s="1">
        <v>45632</v>
      </c>
      <c r="C494" t="s">
        <v>523</v>
      </c>
      <c r="D494" t="s">
        <v>1431</v>
      </c>
      <c r="E494" t="s">
        <v>1564</v>
      </c>
      <c r="F494">
        <v>2</v>
      </c>
      <c r="G494" s="14">
        <v>955.66</v>
      </c>
      <c r="H494" s="17">
        <v>0.28999999999999998</v>
      </c>
      <c r="I494" t="s">
        <v>1614</v>
      </c>
      <c r="J494" s="14">
        <v>1357.0372</v>
      </c>
      <c r="K494" s="14">
        <f t="shared" si="56"/>
        <v>509372.88083188469</v>
      </c>
      <c r="L494" s="14">
        <f t="shared" si="57"/>
        <v>501</v>
      </c>
      <c r="M494" s="14" t="str">
        <f t="shared" si="58"/>
        <v>06-12-2024</v>
      </c>
      <c r="N494" s="14">
        <f t="shared" si="59"/>
        <v>0.15504195585369987</v>
      </c>
      <c r="O494" s="20">
        <f t="shared" si="60"/>
        <v>2.5009395196846471</v>
      </c>
      <c r="P494" s="14">
        <f t="shared" si="61"/>
        <v>476.79509389168453</v>
      </c>
      <c r="Q494" s="14">
        <f t="shared" si="62"/>
        <v>578.74680000000001</v>
      </c>
      <c r="R494" s="14" t="str">
        <f t="shared" si="63"/>
        <v>Dec</v>
      </c>
    </row>
    <row r="495" spans="1:18" x14ac:dyDescent="0.3">
      <c r="A495" t="s">
        <v>2104</v>
      </c>
      <c r="B495" s="1">
        <v>45863</v>
      </c>
      <c r="C495" t="s">
        <v>1272</v>
      </c>
      <c r="D495" t="s">
        <v>1477</v>
      </c>
      <c r="E495" t="s">
        <v>1537</v>
      </c>
      <c r="F495">
        <v>2</v>
      </c>
      <c r="G495" s="14">
        <v>488.02</v>
      </c>
      <c r="H495" s="17">
        <v>0.27</v>
      </c>
      <c r="I495" t="s">
        <v>1611</v>
      </c>
      <c r="J495" s="14">
        <v>712.50919999999996</v>
      </c>
      <c r="K495" s="14">
        <f t="shared" si="56"/>
        <v>509372.88083188469</v>
      </c>
      <c r="L495" s="14">
        <f t="shared" si="57"/>
        <v>501</v>
      </c>
      <c r="M495" s="14" t="str">
        <f t="shared" si="58"/>
        <v>25-07-2025</v>
      </c>
      <c r="N495" s="14">
        <f t="shared" si="59"/>
        <v>0.15495228273466577</v>
      </c>
      <c r="O495" s="20">
        <f t="shared" si="60"/>
        <v>2.5012723698638393</v>
      </c>
      <c r="P495" s="14">
        <f t="shared" si="61"/>
        <v>476.47691122981854</v>
      </c>
      <c r="Q495" s="14">
        <f t="shared" si="62"/>
        <v>300.69979999999998</v>
      </c>
      <c r="R495" s="14" t="str">
        <f t="shared" si="63"/>
        <v>Jul</v>
      </c>
    </row>
    <row r="496" spans="1:18" x14ac:dyDescent="0.3">
      <c r="A496" t="s">
        <v>2105</v>
      </c>
      <c r="B496" s="1">
        <v>45501</v>
      </c>
      <c r="C496" t="s">
        <v>770</v>
      </c>
      <c r="D496" t="s">
        <v>1369</v>
      </c>
      <c r="E496" t="s">
        <v>1537</v>
      </c>
      <c r="F496">
        <v>1</v>
      </c>
      <c r="G496" s="14">
        <v>917.17</v>
      </c>
      <c r="H496" s="17">
        <v>0.13</v>
      </c>
      <c r="I496" t="s">
        <v>1614</v>
      </c>
      <c r="J496" s="14">
        <v>797.93790000000001</v>
      </c>
      <c r="K496" s="14">
        <f t="shared" si="56"/>
        <v>509372.88083188469</v>
      </c>
      <c r="L496" s="14">
        <f t="shared" si="57"/>
        <v>501</v>
      </c>
      <c r="M496" s="14" t="str">
        <f t="shared" si="58"/>
        <v>28-07-2024</v>
      </c>
      <c r="N496" s="14">
        <f t="shared" si="59"/>
        <v>0.15487578824180318</v>
      </c>
      <c r="O496" s="20">
        <f t="shared" si="60"/>
        <v>2.5016056626629513</v>
      </c>
      <c r="P496" s="14">
        <f t="shared" si="61"/>
        <v>476.46923630377461</v>
      </c>
      <c r="Q496" s="14">
        <f t="shared" si="62"/>
        <v>429.05947500000002</v>
      </c>
      <c r="R496" s="14" t="str">
        <f t="shared" si="63"/>
        <v>Jul</v>
      </c>
    </row>
    <row r="497" spans="1:18" x14ac:dyDescent="0.3">
      <c r="A497" t="s">
        <v>2106</v>
      </c>
      <c r="B497" s="1">
        <v>45568</v>
      </c>
      <c r="C497" t="s">
        <v>1020</v>
      </c>
      <c r="D497" t="s">
        <v>1347</v>
      </c>
      <c r="E497" t="s">
        <v>1558</v>
      </c>
      <c r="F497">
        <v>2</v>
      </c>
      <c r="G497" s="14">
        <v>406.46</v>
      </c>
      <c r="H497" s="17">
        <v>0.3</v>
      </c>
      <c r="I497" t="s">
        <v>1611</v>
      </c>
      <c r="J497" s="14">
        <v>569.04399999999998</v>
      </c>
      <c r="K497" s="14">
        <f t="shared" si="56"/>
        <v>509372.88083188469</v>
      </c>
      <c r="L497" s="14">
        <f t="shared" si="57"/>
        <v>501</v>
      </c>
      <c r="M497" s="14" t="str">
        <f t="shared" si="58"/>
        <v>03-10-2024</v>
      </c>
      <c r="N497" s="14">
        <f t="shared" si="59"/>
        <v>0.15489233899911642</v>
      </c>
      <c r="O497" s="20">
        <f t="shared" si="60"/>
        <v>2.5026047349601321</v>
      </c>
      <c r="P497" s="14">
        <f t="shared" si="61"/>
        <v>476.17602222280567</v>
      </c>
      <c r="Q497" s="14">
        <f t="shared" si="62"/>
        <v>244.45099999999999</v>
      </c>
      <c r="R497" s="14" t="str">
        <f t="shared" si="63"/>
        <v>Oct</v>
      </c>
    </row>
    <row r="498" spans="1:18" x14ac:dyDescent="0.3">
      <c r="A498" t="s">
        <v>2107</v>
      </c>
      <c r="B498" s="1">
        <v>45238</v>
      </c>
      <c r="C498" t="s">
        <v>746</v>
      </c>
      <c r="D498" t="s">
        <v>1523</v>
      </c>
      <c r="E498" t="s">
        <v>1537</v>
      </c>
      <c r="F498">
        <v>2</v>
      </c>
      <c r="G498" s="14">
        <v>264.39</v>
      </c>
      <c r="H498" s="17">
        <v>0.11</v>
      </c>
      <c r="I498" t="s">
        <v>1614</v>
      </c>
      <c r="J498" s="14">
        <v>470.61419999999998</v>
      </c>
      <c r="K498" s="14">
        <f t="shared" si="56"/>
        <v>509372.88083188469</v>
      </c>
      <c r="L498" s="14">
        <f t="shared" si="57"/>
        <v>501</v>
      </c>
      <c r="M498" s="14" t="str">
        <f t="shared" si="58"/>
        <v>08-11-2023</v>
      </c>
      <c r="N498" s="14">
        <f t="shared" si="59"/>
        <v>0.15479572937128624</v>
      </c>
      <c r="O498" s="20">
        <f t="shared" si="60"/>
        <v>2.5029393586185607</v>
      </c>
      <c r="P498" s="14">
        <f t="shared" si="61"/>
        <v>476.22243768367321</v>
      </c>
      <c r="Q498" s="14">
        <f t="shared" si="62"/>
        <v>184.27855</v>
      </c>
      <c r="R498" s="14" t="str">
        <f t="shared" si="63"/>
        <v>Nov</v>
      </c>
    </row>
    <row r="499" spans="1:18" x14ac:dyDescent="0.3">
      <c r="A499" t="s">
        <v>2108</v>
      </c>
      <c r="B499" s="1">
        <v>45754</v>
      </c>
      <c r="C499" t="s">
        <v>628</v>
      </c>
      <c r="D499" t="s">
        <v>1469</v>
      </c>
      <c r="E499" t="s">
        <v>1589</v>
      </c>
      <c r="F499">
        <v>1</v>
      </c>
      <c r="G499" s="14">
        <v>414.97</v>
      </c>
      <c r="H499" s="17">
        <v>0.22</v>
      </c>
      <c r="I499" t="s">
        <v>1611</v>
      </c>
      <c r="J499" s="14">
        <v>323.67660000000001</v>
      </c>
      <c r="K499" s="14">
        <f t="shared" si="56"/>
        <v>509372.88083188469</v>
      </c>
      <c r="L499" s="14">
        <f t="shared" si="57"/>
        <v>501</v>
      </c>
      <c r="M499" s="14" t="str">
        <f t="shared" si="58"/>
        <v>07-04-2025</v>
      </c>
      <c r="N499" s="14">
        <f t="shared" si="59"/>
        <v>0.15482557329491803</v>
      </c>
      <c r="O499" s="20">
        <f t="shared" si="60"/>
        <v>2.5032744281446226</v>
      </c>
      <c r="P499" s="14">
        <f t="shared" si="61"/>
        <v>476.36356522376889</v>
      </c>
      <c r="Q499" s="14">
        <f t="shared" si="62"/>
        <v>184.96665000000002</v>
      </c>
      <c r="R499" s="14" t="str">
        <f t="shared" si="63"/>
        <v>Apr</v>
      </c>
    </row>
    <row r="500" spans="1:18" x14ac:dyDescent="0.3">
      <c r="A500" t="s">
        <v>2109</v>
      </c>
      <c r="B500" s="1">
        <v>45280</v>
      </c>
      <c r="C500" t="s">
        <v>493</v>
      </c>
      <c r="D500" t="s">
        <v>1383</v>
      </c>
      <c r="E500" t="s">
        <v>1579</v>
      </c>
      <c r="F500">
        <v>2</v>
      </c>
      <c r="G500" s="14">
        <v>583.51</v>
      </c>
      <c r="H500" s="17">
        <v>0.2</v>
      </c>
      <c r="I500" t="s">
        <v>1614</v>
      </c>
      <c r="J500" s="14">
        <v>933.61599999999999</v>
      </c>
      <c r="K500" s="14">
        <f t="shared" si="56"/>
        <v>509372.88083188469</v>
      </c>
      <c r="L500" s="14">
        <f t="shared" si="57"/>
        <v>501</v>
      </c>
      <c r="M500" s="14" t="str">
        <f t="shared" si="58"/>
        <v>20-12-2023</v>
      </c>
      <c r="N500" s="14">
        <f t="shared" si="59"/>
        <v>0.15478212367711466</v>
      </c>
      <c r="O500" s="20">
        <f t="shared" si="60"/>
        <v>2.504276611096719</v>
      </c>
      <c r="P500" s="14">
        <f t="shared" si="61"/>
        <v>476.40449426725132</v>
      </c>
      <c r="Q500" s="14">
        <f t="shared" si="62"/>
        <v>379.83150000000001</v>
      </c>
      <c r="R500" s="14" t="str">
        <f t="shared" si="63"/>
        <v>Dec</v>
      </c>
    </row>
    <row r="501" spans="1:18" x14ac:dyDescent="0.3">
      <c r="A501" t="s">
        <v>2110</v>
      </c>
      <c r="B501" s="1">
        <v>45911</v>
      </c>
      <c r="C501" t="s">
        <v>55</v>
      </c>
      <c r="D501" t="s">
        <v>1395</v>
      </c>
      <c r="E501" t="s">
        <v>1592</v>
      </c>
      <c r="F501">
        <v>1</v>
      </c>
      <c r="G501" s="14">
        <v>659.27</v>
      </c>
      <c r="H501" s="17">
        <v>0.15</v>
      </c>
      <c r="I501" t="s">
        <v>1611</v>
      </c>
      <c r="J501" s="14">
        <v>560.37950000000001</v>
      </c>
      <c r="K501" s="14">
        <f t="shared" si="56"/>
        <v>509372.88083188469</v>
      </c>
      <c r="L501" s="14">
        <f t="shared" si="57"/>
        <v>501</v>
      </c>
      <c r="M501" s="14" t="str">
        <f t="shared" si="58"/>
        <v>11-09-2025</v>
      </c>
      <c r="N501" s="14">
        <f t="shared" si="59"/>
        <v>0.15475195831599198</v>
      </c>
      <c r="O501" s="20">
        <f t="shared" si="60"/>
        <v>2.5046130197765701</v>
      </c>
      <c r="P501" s="14">
        <f t="shared" si="61"/>
        <v>476.33304296255966</v>
      </c>
      <c r="Q501" s="14">
        <f t="shared" si="62"/>
        <v>305.19987500000002</v>
      </c>
      <c r="R501" s="14" t="str">
        <f t="shared" si="63"/>
        <v>Sep</v>
      </c>
    </row>
    <row r="502" spans="1:18" x14ac:dyDescent="0.3">
      <c r="A502" t="s">
        <v>2111</v>
      </c>
      <c r="B502" s="1">
        <v>45627</v>
      </c>
      <c r="C502" t="s">
        <v>1266</v>
      </c>
      <c r="D502" t="s">
        <v>1334</v>
      </c>
      <c r="E502" t="s">
        <v>1554</v>
      </c>
      <c r="F502">
        <v>4</v>
      </c>
      <c r="G502" s="14">
        <v>106.66</v>
      </c>
      <c r="H502" s="17">
        <v>0.2</v>
      </c>
      <c r="I502" t="s">
        <v>1614</v>
      </c>
      <c r="J502" s="14">
        <v>341.31200000000001</v>
      </c>
      <c r="K502" s="14">
        <f t="shared" si="56"/>
        <v>509372.88083188469</v>
      </c>
      <c r="L502" s="14">
        <f t="shared" si="57"/>
        <v>501</v>
      </c>
      <c r="M502" s="14" t="str">
        <f t="shared" si="58"/>
        <v>01-12-2024</v>
      </c>
      <c r="N502" s="14">
        <f t="shared" si="59"/>
        <v>0.15475513051780507</v>
      </c>
      <c r="O502" s="20">
        <f t="shared" si="60"/>
        <v>2.5056174343425091</v>
      </c>
      <c r="P502" s="14">
        <f t="shared" si="61"/>
        <v>476.21092216346938</v>
      </c>
      <c r="Q502" s="14">
        <f t="shared" si="62"/>
        <v>113.04300000000001</v>
      </c>
      <c r="R502" s="14" t="str">
        <f t="shared" si="63"/>
        <v>Dec</v>
      </c>
    </row>
    <row r="503" spans="1:18" x14ac:dyDescent="0.3">
      <c r="A503" t="s">
        <v>2112</v>
      </c>
      <c r="B503" s="1">
        <v>45617</v>
      </c>
      <c r="C503" t="s">
        <v>544</v>
      </c>
      <c r="D503" t="s">
        <v>1353</v>
      </c>
      <c r="E503" t="s">
        <v>1558</v>
      </c>
      <c r="F503">
        <v>4</v>
      </c>
      <c r="G503" s="14">
        <v>168.55</v>
      </c>
      <c r="H503" s="17">
        <v>0.15</v>
      </c>
      <c r="I503" t="s">
        <v>1611</v>
      </c>
      <c r="J503" s="14">
        <v>573.07000000000005</v>
      </c>
      <c r="K503" s="14">
        <f t="shared" si="56"/>
        <v>509372.88083188469</v>
      </c>
      <c r="L503" s="14">
        <f t="shared" si="57"/>
        <v>501</v>
      </c>
      <c r="M503" s="14" t="str">
        <f t="shared" si="58"/>
        <v>21-11-2024</v>
      </c>
      <c r="N503" s="14">
        <f t="shared" si="59"/>
        <v>0.15472490682409618</v>
      </c>
      <c r="O503" s="20">
        <f t="shared" si="60"/>
        <v>2.5046191827956434</v>
      </c>
      <c r="P503" s="14">
        <f t="shared" si="61"/>
        <v>476.4577831669186</v>
      </c>
      <c r="Q503" s="14">
        <f t="shared" si="62"/>
        <v>186.44250000000002</v>
      </c>
      <c r="R503" s="14" t="str">
        <f t="shared" si="63"/>
        <v>Nov</v>
      </c>
    </row>
    <row r="504" spans="1:18" x14ac:dyDescent="0.3">
      <c r="A504" t="s">
        <v>2113</v>
      </c>
      <c r="B504" s="1">
        <v>45899</v>
      </c>
      <c r="C504" t="s">
        <v>1309</v>
      </c>
      <c r="D504" t="s">
        <v>1421</v>
      </c>
      <c r="E504" t="s">
        <v>1546</v>
      </c>
      <c r="F504">
        <v>1</v>
      </c>
      <c r="G504" s="14">
        <v>230.53</v>
      </c>
      <c r="H504" s="17">
        <v>0.06</v>
      </c>
      <c r="I504" t="s">
        <v>1614</v>
      </c>
      <c r="J504" s="14">
        <v>216.69820000000001</v>
      </c>
      <c r="K504" s="14">
        <f t="shared" si="56"/>
        <v>509372.88083188469</v>
      </c>
      <c r="L504" s="14">
        <f t="shared" si="57"/>
        <v>501</v>
      </c>
      <c r="M504" s="14" t="str">
        <f t="shared" si="58"/>
        <v>30-08-2025</v>
      </c>
      <c r="N504" s="14">
        <f t="shared" si="59"/>
        <v>0.15472806518427271</v>
      </c>
      <c r="O504" s="20">
        <f t="shared" si="60"/>
        <v>2.5036195966878867</v>
      </c>
      <c r="P504" s="14">
        <f t="shared" si="61"/>
        <v>476.6636038775917</v>
      </c>
      <c r="Q504" s="14">
        <f t="shared" si="62"/>
        <v>112.07205</v>
      </c>
      <c r="R504" s="14" t="str">
        <f t="shared" si="63"/>
        <v>Aug</v>
      </c>
    </row>
    <row r="505" spans="1:18" x14ac:dyDescent="0.3">
      <c r="A505" t="s">
        <v>2114</v>
      </c>
      <c r="B505" s="1">
        <v>45889</v>
      </c>
      <c r="C505" t="s">
        <v>40</v>
      </c>
      <c r="D505" t="s">
        <v>1441</v>
      </c>
      <c r="E505" t="s">
        <v>1542</v>
      </c>
      <c r="F505">
        <v>2</v>
      </c>
      <c r="G505" s="14">
        <v>355.41</v>
      </c>
      <c r="H505" s="17">
        <v>0.13</v>
      </c>
      <c r="I505" t="s">
        <v>1614</v>
      </c>
      <c r="J505" s="14">
        <v>618.41340000000002</v>
      </c>
      <c r="K505" s="14">
        <f t="shared" si="56"/>
        <v>509372.88083188469</v>
      </c>
      <c r="L505" s="14">
        <f t="shared" si="57"/>
        <v>501</v>
      </c>
      <c r="M505" s="14" t="str">
        <f t="shared" si="58"/>
        <v>20-08-2025</v>
      </c>
      <c r="N505" s="14">
        <f t="shared" si="59"/>
        <v>0.15479142843857657</v>
      </c>
      <c r="O505" s="20">
        <f t="shared" si="60"/>
        <v>2.5046253623044001</v>
      </c>
      <c r="P505" s="14">
        <f t="shared" si="61"/>
        <v>476.82824173971716</v>
      </c>
      <c r="Q505" s="14">
        <f t="shared" si="62"/>
        <v>243.98835000000003</v>
      </c>
      <c r="R505" s="14" t="str">
        <f t="shared" si="63"/>
        <v>Aug</v>
      </c>
    </row>
    <row r="506" spans="1:18" x14ac:dyDescent="0.3">
      <c r="A506" t="s">
        <v>2115</v>
      </c>
      <c r="B506" s="1">
        <v>45943</v>
      </c>
      <c r="C506" t="s">
        <v>556</v>
      </c>
      <c r="D506" t="s">
        <v>1427</v>
      </c>
      <c r="E506" t="s">
        <v>1546</v>
      </c>
      <c r="F506">
        <v>3</v>
      </c>
      <c r="G506" s="14">
        <v>843.44</v>
      </c>
      <c r="H506" s="17">
        <v>0.22</v>
      </c>
      <c r="I506" t="s">
        <v>1609</v>
      </c>
      <c r="J506" s="14">
        <v>1973.6496</v>
      </c>
      <c r="K506" s="14">
        <f t="shared" si="56"/>
        <v>509372.88083188469</v>
      </c>
      <c r="L506" s="14">
        <f t="shared" si="57"/>
        <v>501</v>
      </c>
      <c r="M506" s="14" t="str">
        <f t="shared" si="58"/>
        <v>13-10-2025</v>
      </c>
      <c r="N506" s="14">
        <f t="shared" si="59"/>
        <v>0.15480802243351538</v>
      </c>
      <c r="O506" s="20">
        <f t="shared" si="60"/>
        <v>2.5049631302845237</v>
      </c>
      <c r="P506" s="14">
        <f t="shared" si="61"/>
        <v>476.90951231651746</v>
      </c>
      <c r="Q506" s="14">
        <f t="shared" si="62"/>
        <v>705.07740000000001</v>
      </c>
      <c r="R506" s="14" t="str">
        <f t="shared" si="63"/>
        <v>Oct</v>
      </c>
    </row>
    <row r="507" spans="1:18" x14ac:dyDescent="0.3">
      <c r="A507" t="s">
        <v>2116</v>
      </c>
      <c r="B507" s="1">
        <v>45306</v>
      </c>
      <c r="C507" t="s">
        <v>544</v>
      </c>
      <c r="D507" t="s">
        <v>1523</v>
      </c>
      <c r="E507" t="s">
        <v>1542</v>
      </c>
      <c r="F507">
        <v>1</v>
      </c>
      <c r="G507" s="14">
        <v>301.60000000000002</v>
      </c>
      <c r="H507" s="17">
        <v>0.27</v>
      </c>
      <c r="I507" t="s">
        <v>1609</v>
      </c>
      <c r="J507" s="14">
        <v>220.16800000000001</v>
      </c>
      <c r="K507" s="14">
        <f t="shared" si="56"/>
        <v>507399.23123188468</v>
      </c>
      <c r="L507" s="14">
        <f t="shared" si="57"/>
        <v>500</v>
      </c>
      <c r="M507" s="14" t="str">
        <f t="shared" si="58"/>
        <v>15-01-2024</v>
      </c>
      <c r="N507" s="14">
        <f t="shared" si="59"/>
        <v>0.15476435734472338</v>
      </c>
      <c r="O507" s="20">
        <f t="shared" si="60"/>
        <v>2.5046315583691081</v>
      </c>
      <c r="P507" s="14">
        <f t="shared" si="61"/>
        <v>476.66401299455936</v>
      </c>
      <c r="Q507" s="14">
        <f t="shared" si="62"/>
        <v>130.7595</v>
      </c>
      <c r="R507" s="14" t="str">
        <f t="shared" si="63"/>
        <v>Jan</v>
      </c>
    </row>
    <row r="508" spans="1:18" x14ac:dyDescent="0.3">
      <c r="A508" t="s">
        <v>2117</v>
      </c>
      <c r="B508" s="1">
        <v>45772</v>
      </c>
      <c r="C508" t="s">
        <v>164</v>
      </c>
      <c r="D508" t="s">
        <v>1511</v>
      </c>
      <c r="E508" t="s">
        <v>1546</v>
      </c>
      <c r="F508">
        <v>3</v>
      </c>
      <c r="G508" s="14">
        <v>21.59</v>
      </c>
      <c r="H508" s="17">
        <v>0.16</v>
      </c>
      <c r="I508" t="s">
        <v>1614</v>
      </c>
      <c r="J508" s="14">
        <v>54.406799999999997</v>
      </c>
      <c r="K508" s="14">
        <f t="shared" si="56"/>
        <v>507179.06323188468</v>
      </c>
      <c r="L508" s="14">
        <f t="shared" si="57"/>
        <v>499</v>
      </c>
      <c r="M508" s="14" t="str">
        <f t="shared" si="58"/>
        <v>25-04-2025</v>
      </c>
      <c r="N508" s="14">
        <f t="shared" si="59"/>
        <v>0.15468712165929754</v>
      </c>
      <c r="O508" s="20">
        <f t="shared" si="60"/>
        <v>2.5056400245610444</v>
      </c>
      <c r="P508" s="14">
        <f t="shared" si="61"/>
        <v>476.78134812391221</v>
      </c>
      <c r="Q508" s="14">
        <f t="shared" si="62"/>
        <v>19.789200000000001</v>
      </c>
      <c r="R508" s="14" t="str">
        <f t="shared" si="63"/>
        <v>Apr</v>
      </c>
    </row>
    <row r="509" spans="1:18" x14ac:dyDescent="0.3">
      <c r="A509" t="s">
        <v>2118</v>
      </c>
      <c r="B509" s="1">
        <v>45346</v>
      </c>
      <c r="C509" t="s">
        <v>690</v>
      </c>
      <c r="D509" t="s">
        <v>1359</v>
      </c>
      <c r="E509" t="s">
        <v>1546</v>
      </c>
      <c r="F509">
        <v>4</v>
      </c>
      <c r="G509" s="14">
        <v>284.24</v>
      </c>
      <c r="H509" s="17">
        <v>0.09</v>
      </c>
      <c r="I509" t="s">
        <v>1609</v>
      </c>
      <c r="J509" s="14">
        <v>1034.6335999999999</v>
      </c>
      <c r="K509" s="14">
        <f t="shared" si="56"/>
        <v>507179.06323188468</v>
      </c>
      <c r="L509" s="14">
        <f t="shared" si="57"/>
        <v>499</v>
      </c>
      <c r="M509" s="14" t="str">
        <f t="shared" si="58"/>
        <v>24-02-2024</v>
      </c>
      <c r="N509" s="14">
        <f t="shared" si="59"/>
        <v>0.15468355836061165</v>
      </c>
      <c r="O509" s="20">
        <f t="shared" si="60"/>
        <v>2.5053084618679264</v>
      </c>
      <c r="P509" s="14">
        <f t="shared" si="61"/>
        <v>477.08664077858958</v>
      </c>
      <c r="Q509" s="14">
        <f t="shared" si="62"/>
        <v>330.74089999999995</v>
      </c>
      <c r="R509" s="14" t="str">
        <f t="shared" si="63"/>
        <v>Feb</v>
      </c>
    </row>
    <row r="510" spans="1:18" x14ac:dyDescent="0.3">
      <c r="A510" t="s">
        <v>2119</v>
      </c>
      <c r="B510" s="1">
        <v>45656</v>
      </c>
      <c r="C510" t="s">
        <v>1151</v>
      </c>
      <c r="D510" t="s">
        <v>1340</v>
      </c>
      <c r="E510" t="s">
        <v>1571</v>
      </c>
      <c r="F510">
        <v>1</v>
      </c>
      <c r="G510" s="14">
        <v>191.6</v>
      </c>
      <c r="H510" s="17">
        <v>0.27</v>
      </c>
      <c r="I510" t="s">
        <v>1611</v>
      </c>
      <c r="J510" s="14">
        <v>139.86799999999999</v>
      </c>
      <c r="K510" s="14">
        <f t="shared" si="56"/>
        <v>506144.42963188468</v>
      </c>
      <c r="L510" s="14">
        <f t="shared" si="57"/>
        <v>498</v>
      </c>
      <c r="M510" s="14" t="str">
        <f t="shared" si="58"/>
        <v>30-12-2024</v>
      </c>
      <c r="N510" s="14">
        <f t="shared" si="59"/>
        <v>0.15472697014474629</v>
      </c>
      <c r="O510" s="20">
        <f t="shared" si="60"/>
        <v>2.5043053131846165</v>
      </c>
      <c r="P510" s="14">
        <f t="shared" si="61"/>
        <v>477.2160680542799</v>
      </c>
      <c r="Q510" s="14">
        <f t="shared" si="62"/>
        <v>83.1845</v>
      </c>
      <c r="R510" s="14" t="str">
        <f t="shared" si="63"/>
        <v>Dec</v>
      </c>
    </row>
    <row r="511" spans="1:18" x14ac:dyDescent="0.3">
      <c r="A511" t="s">
        <v>2120</v>
      </c>
      <c r="B511" s="1">
        <v>45762</v>
      </c>
      <c r="C511" t="s">
        <v>981</v>
      </c>
      <c r="D511" t="s">
        <v>1489</v>
      </c>
      <c r="E511" t="s">
        <v>1579</v>
      </c>
      <c r="F511">
        <v>2</v>
      </c>
      <c r="G511" s="14">
        <v>616.97</v>
      </c>
      <c r="H511" s="17">
        <v>0.22</v>
      </c>
      <c r="I511" t="s">
        <v>1609</v>
      </c>
      <c r="J511" s="14">
        <v>962.47320000000002</v>
      </c>
      <c r="K511" s="14">
        <f t="shared" si="56"/>
        <v>506144.42963188468</v>
      </c>
      <c r="L511" s="14">
        <f t="shared" si="57"/>
        <v>498</v>
      </c>
      <c r="M511" s="14" t="str">
        <f t="shared" si="58"/>
        <v>15-04-2025</v>
      </c>
      <c r="N511" s="14">
        <f t="shared" si="59"/>
        <v>0.15464955373785894</v>
      </c>
      <c r="O511" s="20">
        <f t="shared" si="60"/>
        <v>2.5053155921054926</v>
      </c>
      <c r="P511" s="14">
        <f t="shared" si="61"/>
        <v>477.40788542704979</v>
      </c>
      <c r="Q511" s="14">
        <f t="shared" si="62"/>
        <v>395.41579999999999</v>
      </c>
      <c r="R511" s="14" t="str">
        <f t="shared" si="63"/>
        <v>Apr</v>
      </c>
    </row>
    <row r="512" spans="1:18" x14ac:dyDescent="0.3">
      <c r="A512" t="s">
        <v>2121</v>
      </c>
      <c r="B512" s="1">
        <v>45580</v>
      </c>
      <c r="C512" t="s">
        <v>559</v>
      </c>
      <c r="D512" t="s">
        <v>1389</v>
      </c>
      <c r="E512" t="s">
        <v>1574</v>
      </c>
      <c r="F512">
        <v>3</v>
      </c>
      <c r="G512" s="14">
        <v>125.68</v>
      </c>
      <c r="H512" s="17">
        <v>0.26</v>
      </c>
      <c r="I512" t="s">
        <v>1614</v>
      </c>
      <c r="J512" s="14">
        <v>279.00959999999998</v>
      </c>
      <c r="K512" s="14">
        <f t="shared" si="56"/>
        <v>505181.95643188467</v>
      </c>
      <c r="L512" s="14">
        <f t="shared" si="57"/>
        <v>497</v>
      </c>
      <c r="M512" s="14" t="str">
        <f t="shared" si="58"/>
        <v>15-10-2024</v>
      </c>
      <c r="N512" s="14">
        <f t="shared" si="59"/>
        <v>0.15460563542719893</v>
      </c>
      <c r="O512" s="20">
        <f t="shared" si="60"/>
        <v>2.5056551859173912</v>
      </c>
      <c r="P512" s="14">
        <f t="shared" si="61"/>
        <v>477.31409368338524</v>
      </c>
      <c r="Q512" s="14">
        <f t="shared" si="62"/>
        <v>101.98739999999999</v>
      </c>
      <c r="R512" s="14" t="str">
        <f t="shared" si="63"/>
        <v>Oct</v>
      </c>
    </row>
    <row r="513" spans="1:18" x14ac:dyDescent="0.3">
      <c r="A513" t="s">
        <v>2122</v>
      </c>
      <c r="B513" s="1">
        <v>45676</v>
      </c>
      <c r="C513" t="s">
        <v>1104</v>
      </c>
      <c r="D513" t="s">
        <v>1419</v>
      </c>
      <c r="E513" t="s">
        <v>1554</v>
      </c>
      <c r="F513">
        <v>3</v>
      </c>
      <c r="G513" s="14">
        <v>307.48</v>
      </c>
      <c r="H513" s="17">
        <v>0.24</v>
      </c>
      <c r="I513" t="s">
        <v>1609</v>
      </c>
      <c r="J513" s="14">
        <v>701.0544000000001</v>
      </c>
      <c r="K513" s="14">
        <f t="shared" si="56"/>
        <v>505181.95643188467</v>
      </c>
      <c r="L513" s="14">
        <f t="shared" si="57"/>
        <v>497</v>
      </c>
      <c r="M513" s="14" t="str">
        <f t="shared" si="58"/>
        <v>19-01-2025</v>
      </c>
      <c r="N513" s="14">
        <f t="shared" si="59"/>
        <v>0.15453475824860255</v>
      </c>
      <c r="O513" s="20">
        <f t="shared" si="60"/>
        <v>2.505322741523254</v>
      </c>
      <c r="P513" s="14">
        <f t="shared" si="61"/>
        <v>477.55056583784614</v>
      </c>
      <c r="Q513" s="14">
        <f t="shared" si="62"/>
        <v>252.94360000000003</v>
      </c>
      <c r="R513" s="14" t="str">
        <f t="shared" si="63"/>
        <v>Jan</v>
      </c>
    </row>
    <row r="514" spans="1:18" x14ac:dyDescent="0.3">
      <c r="A514" t="s">
        <v>2123</v>
      </c>
      <c r="B514" s="1">
        <v>45495</v>
      </c>
      <c r="C514" t="s">
        <v>942</v>
      </c>
      <c r="D514" t="s">
        <v>1334</v>
      </c>
      <c r="E514" t="s">
        <v>1598</v>
      </c>
      <c r="F514">
        <v>1</v>
      </c>
      <c r="G514" s="14">
        <v>505.23</v>
      </c>
      <c r="H514" s="17">
        <v>0.11</v>
      </c>
      <c r="I514" t="s">
        <v>1609</v>
      </c>
      <c r="J514" s="14">
        <v>449.65469999999999</v>
      </c>
      <c r="K514" s="14">
        <f t="shared" ref="K514:K577" si="64">SUMIF(I514:I2513,"Credit Card",J514:J2513)</f>
        <v>504480.90203188465</v>
      </c>
      <c r="L514" s="14">
        <f t="shared" ref="L514:L577" si="65">COUNTIF(I514:I2513,"Credit Card")</f>
        <v>496</v>
      </c>
      <c r="M514" s="14" t="str">
        <f t="shared" ref="M514:M577" si="66">TEXT(B514:B2513,"dd-mm-yyyy")</f>
        <v>22-07-2024</v>
      </c>
      <c r="N514" s="14">
        <f t="shared" ref="N514:N577" si="67">AVERAGE(H514:H2513)</f>
        <v>0.15447724462696633</v>
      </c>
      <c r="O514" s="20">
        <f t="shared" ref="O514:O577" si="68">AVERAGE(F514:F2513)</f>
        <v>2.5049898496938621</v>
      </c>
      <c r="P514" s="14">
        <f t="shared" ref="P514:P577" si="69">AVERAGE(G514:G2513)</f>
        <v>477.66501440166695</v>
      </c>
      <c r="Q514" s="14">
        <f t="shared" ref="Q514:Q577" si="70">AVERAGE(F514,G514,H514,J514)</f>
        <v>238.99867499999999</v>
      </c>
      <c r="R514" s="14" t="str">
        <f t="shared" ref="R514:R577" si="71">TEXT(M514,"mmm")</f>
        <v>Jul</v>
      </c>
    </row>
    <row r="515" spans="1:18" x14ac:dyDescent="0.3">
      <c r="A515" t="s">
        <v>2124</v>
      </c>
      <c r="B515" s="1">
        <v>45735</v>
      </c>
      <c r="C515" t="s">
        <v>1142</v>
      </c>
      <c r="D515" t="s">
        <v>1423</v>
      </c>
      <c r="E515" t="s">
        <v>1589</v>
      </c>
      <c r="F515">
        <v>1</v>
      </c>
      <c r="G515" s="14">
        <v>853.12</v>
      </c>
      <c r="H515" s="17">
        <v>0.19</v>
      </c>
      <c r="I515" t="s">
        <v>1614</v>
      </c>
      <c r="J515" s="14">
        <v>691.02719999999999</v>
      </c>
      <c r="K515" s="14">
        <f t="shared" si="64"/>
        <v>504031.24733188469</v>
      </c>
      <c r="L515" s="14">
        <f t="shared" si="65"/>
        <v>495</v>
      </c>
      <c r="M515" s="14" t="str">
        <f t="shared" si="66"/>
        <v>19-03-2025</v>
      </c>
      <c r="N515" s="14">
        <f t="shared" si="67"/>
        <v>0.15450719563344914</v>
      </c>
      <c r="O515" s="20">
        <f t="shared" si="68"/>
        <v>2.5060033108721069</v>
      </c>
      <c r="P515" s="14">
        <f t="shared" si="69"/>
        <v>477.64645212180284</v>
      </c>
      <c r="Q515" s="14">
        <f t="shared" si="70"/>
        <v>386.33429999999998</v>
      </c>
      <c r="R515" s="14" t="str">
        <f t="shared" si="71"/>
        <v>Mar</v>
      </c>
    </row>
    <row r="516" spans="1:18" x14ac:dyDescent="0.3">
      <c r="A516" t="s">
        <v>2125</v>
      </c>
      <c r="B516" s="1">
        <v>45312</v>
      </c>
      <c r="C516" t="s">
        <v>444</v>
      </c>
      <c r="D516" t="s">
        <v>1328</v>
      </c>
      <c r="E516" t="s">
        <v>1564</v>
      </c>
      <c r="F516">
        <v>4</v>
      </c>
      <c r="G516" s="14">
        <v>191.65</v>
      </c>
      <c r="H516" s="17">
        <v>0.19</v>
      </c>
      <c r="I516" t="s">
        <v>1611</v>
      </c>
      <c r="J516" s="14">
        <v>620.94600000000003</v>
      </c>
      <c r="K516" s="14">
        <f t="shared" si="64"/>
        <v>504031.24733188469</v>
      </c>
      <c r="L516" s="14">
        <f t="shared" si="65"/>
        <v>495</v>
      </c>
      <c r="M516" s="14" t="str">
        <f t="shared" si="66"/>
        <v>21-01-2024</v>
      </c>
      <c r="N516" s="14">
        <f t="shared" si="67"/>
        <v>0.15448327864937467</v>
      </c>
      <c r="O516" s="20">
        <f t="shared" si="68"/>
        <v>2.5070181379009964</v>
      </c>
      <c r="P516" s="14">
        <f t="shared" si="69"/>
        <v>477.39343760166929</v>
      </c>
      <c r="Q516" s="14">
        <f t="shared" si="70"/>
        <v>204.19650000000001</v>
      </c>
      <c r="R516" s="14" t="str">
        <f t="shared" si="71"/>
        <v>Jan</v>
      </c>
    </row>
    <row r="517" spans="1:18" x14ac:dyDescent="0.3">
      <c r="A517" t="s">
        <v>2126</v>
      </c>
      <c r="B517" s="1">
        <v>45286</v>
      </c>
      <c r="C517" t="s">
        <v>535</v>
      </c>
      <c r="D517" t="s">
        <v>1427</v>
      </c>
      <c r="E517" t="s">
        <v>1551</v>
      </c>
      <c r="F517">
        <v>1</v>
      </c>
      <c r="G517" s="14">
        <v>169.69</v>
      </c>
      <c r="H517" s="17">
        <v>0.22</v>
      </c>
      <c r="I517" t="s">
        <v>1609</v>
      </c>
      <c r="J517" s="14">
        <v>132.35820000000001</v>
      </c>
      <c r="K517" s="14">
        <f t="shared" si="64"/>
        <v>504031.24733188469</v>
      </c>
      <c r="L517" s="14">
        <f t="shared" si="65"/>
        <v>495</v>
      </c>
      <c r="M517" s="14" t="str">
        <f t="shared" si="66"/>
        <v>26-12-2023</v>
      </c>
      <c r="N517" s="14">
        <f t="shared" si="67"/>
        <v>0.15445932941043289</v>
      </c>
      <c r="O517" s="20">
        <f t="shared" si="68"/>
        <v>2.5060114070432089</v>
      </c>
      <c r="P517" s="14">
        <f t="shared" si="69"/>
        <v>477.58611692574323</v>
      </c>
      <c r="Q517" s="14">
        <f t="shared" si="70"/>
        <v>75.817049999999995</v>
      </c>
      <c r="R517" s="14" t="str">
        <f t="shared" si="71"/>
        <v>Dec</v>
      </c>
    </row>
    <row r="518" spans="1:18" x14ac:dyDescent="0.3">
      <c r="A518" t="s">
        <v>2127</v>
      </c>
      <c r="B518" s="1">
        <v>45372</v>
      </c>
      <c r="C518" t="s">
        <v>579</v>
      </c>
      <c r="D518" t="s">
        <v>1457</v>
      </c>
      <c r="E518" t="s">
        <v>1584</v>
      </c>
      <c r="F518">
        <v>1</v>
      </c>
      <c r="G518" s="14">
        <v>145.43</v>
      </c>
      <c r="H518" s="17">
        <v>0.08</v>
      </c>
      <c r="I518" t="s">
        <v>1609</v>
      </c>
      <c r="J518" s="14">
        <v>133.79560000000001</v>
      </c>
      <c r="K518" s="14">
        <f t="shared" si="64"/>
        <v>503898.88913188467</v>
      </c>
      <c r="L518" s="14">
        <f t="shared" si="65"/>
        <v>494</v>
      </c>
      <c r="M518" s="14" t="str">
        <f t="shared" si="66"/>
        <v>21-03-2024</v>
      </c>
      <c r="N518" s="14">
        <f t="shared" si="67"/>
        <v>0.15441510493635088</v>
      </c>
      <c r="O518" s="20">
        <f t="shared" si="68"/>
        <v>2.507027609072253</v>
      </c>
      <c r="P518" s="14">
        <f t="shared" si="69"/>
        <v>477.79387408966068</v>
      </c>
      <c r="Q518" s="14">
        <f t="shared" si="70"/>
        <v>70.076400000000007</v>
      </c>
      <c r="R518" s="14" t="str">
        <f t="shared" si="71"/>
        <v>Mar</v>
      </c>
    </row>
    <row r="519" spans="1:18" x14ac:dyDescent="0.3">
      <c r="A519" t="s">
        <v>2128</v>
      </c>
      <c r="B519" s="1">
        <v>45633</v>
      </c>
      <c r="C519" t="s">
        <v>304</v>
      </c>
      <c r="D519" t="s">
        <v>1519</v>
      </c>
      <c r="E519" t="s">
        <v>1579</v>
      </c>
      <c r="F519">
        <v>4</v>
      </c>
      <c r="G519" s="14">
        <v>828.35</v>
      </c>
      <c r="H519" s="17">
        <v>0.17</v>
      </c>
      <c r="I519" t="s">
        <v>1609</v>
      </c>
      <c r="J519" s="14">
        <v>2750.1219999999998</v>
      </c>
      <c r="K519" s="14">
        <f t="shared" si="64"/>
        <v>503765.09353188472</v>
      </c>
      <c r="L519" s="14">
        <f t="shared" si="65"/>
        <v>493</v>
      </c>
      <c r="M519" s="14" t="str">
        <f t="shared" si="66"/>
        <v>07-12-2024</v>
      </c>
      <c r="N519" s="14">
        <f t="shared" si="67"/>
        <v>0.15446535146230383</v>
      </c>
      <c r="O519" s="20">
        <f t="shared" si="68"/>
        <v>2.5080451834200397</v>
      </c>
      <c r="P519" s="14">
        <f t="shared" si="69"/>
        <v>478.01829264070034</v>
      </c>
      <c r="Q519" s="14">
        <f t="shared" si="70"/>
        <v>895.66049999999996</v>
      </c>
      <c r="R519" s="14" t="str">
        <f t="shared" si="71"/>
        <v>Dec</v>
      </c>
    </row>
    <row r="520" spans="1:18" x14ac:dyDescent="0.3">
      <c r="A520" t="s">
        <v>2129</v>
      </c>
      <c r="B520" s="1">
        <v>45598</v>
      </c>
      <c r="C520" t="s">
        <v>1133</v>
      </c>
      <c r="D520" t="s">
        <v>1523</v>
      </c>
      <c r="E520" t="s">
        <v>1564</v>
      </c>
      <c r="F520">
        <v>3</v>
      </c>
      <c r="G520" s="14">
        <v>268.76</v>
      </c>
      <c r="H520" s="17">
        <v>0.01</v>
      </c>
      <c r="I520" t="s">
        <v>1611</v>
      </c>
      <c r="J520" s="14">
        <v>798.21719999999993</v>
      </c>
      <c r="K520" s="14">
        <f t="shared" si="64"/>
        <v>501014.97153188474</v>
      </c>
      <c r="L520" s="14">
        <f t="shared" si="65"/>
        <v>492</v>
      </c>
      <c r="M520" s="14" t="str">
        <f t="shared" si="66"/>
        <v>02-11-2024</v>
      </c>
      <c r="N520" s="14">
        <f t="shared" si="67"/>
        <v>0.15445485507815676</v>
      </c>
      <c r="O520" s="20">
        <f t="shared" si="68"/>
        <v>2.5070371058412695</v>
      </c>
      <c r="P520" s="14">
        <f t="shared" si="69"/>
        <v>477.78158202761966</v>
      </c>
      <c r="Q520" s="14">
        <f t="shared" si="70"/>
        <v>267.49680000000001</v>
      </c>
      <c r="R520" s="14" t="str">
        <f t="shared" si="71"/>
        <v>Nov</v>
      </c>
    </row>
    <row r="521" spans="1:18" x14ac:dyDescent="0.3">
      <c r="A521" t="s">
        <v>2130</v>
      </c>
      <c r="B521" s="1">
        <v>45495</v>
      </c>
      <c r="C521" t="s">
        <v>749</v>
      </c>
      <c r="D521" t="s">
        <v>1509</v>
      </c>
      <c r="E521" t="s">
        <v>1537</v>
      </c>
      <c r="F521">
        <v>4</v>
      </c>
      <c r="G521" s="14">
        <v>370.09</v>
      </c>
      <c r="H521" s="17">
        <v>0.22</v>
      </c>
      <c r="I521" t="s">
        <v>1614</v>
      </c>
      <c r="J521" s="14">
        <v>1154.6808000000001</v>
      </c>
      <c r="K521" s="14">
        <f t="shared" si="64"/>
        <v>501014.97153188474</v>
      </c>
      <c r="L521" s="14">
        <f t="shared" si="65"/>
        <v>492</v>
      </c>
      <c r="M521" s="14" t="str">
        <f t="shared" si="66"/>
        <v>22-07-2024</v>
      </c>
      <c r="N521" s="14">
        <f t="shared" si="67"/>
        <v>0.15455252570363218</v>
      </c>
      <c r="O521" s="20">
        <f t="shared" si="68"/>
        <v>2.5067037975964017</v>
      </c>
      <c r="P521" s="14">
        <f t="shared" si="69"/>
        <v>477.92290831702314</v>
      </c>
      <c r="Q521" s="14">
        <f t="shared" si="70"/>
        <v>382.24770000000001</v>
      </c>
      <c r="R521" s="14" t="str">
        <f t="shared" si="71"/>
        <v>Jul</v>
      </c>
    </row>
    <row r="522" spans="1:18" x14ac:dyDescent="0.3">
      <c r="A522" t="s">
        <v>2131</v>
      </c>
      <c r="B522" s="1">
        <v>45229</v>
      </c>
      <c r="C522" t="s">
        <v>809</v>
      </c>
      <c r="D522" t="s">
        <v>1489</v>
      </c>
      <c r="E522" t="s">
        <v>1561</v>
      </c>
      <c r="F522">
        <v>3</v>
      </c>
      <c r="G522" s="14">
        <v>679.22</v>
      </c>
      <c r="H522" s="17">
        <v>0.11</v>
      </c>
      <c r="I522" t="s">
        <v>1611</v>
      </c>
      <c r="J522" s="14">
        <v>1813.5174</v>
      </c>
      <c r="K522" s="14">
        <f t="shared" si="64"/>
        <v>501014.97153188474</v>
      </c>
      <c r="L522" s="14">
        <f t="shared" si="65"/>
        <v>492</v>
      </c>
      <c r="M522" s="14" t="str">
        <f t="shared" si="66"/>
        <v>30-10-2023</v>
      </c>
      <c r="N522" s="14">
        <f t="shared" si="67"/>
        <v>0.15450824459788362</v>
      </c>
      <c r="O522" s="20">
        <f t="shared" si="68"/>
        <v>2.505693448339025</v>
      </c>
      <c r="P522" s="14">
        <f t="shared" si="69"/>
        <v>477.99586698300214</v>
      </c>
      <c r="Q522" s="14">
        <f t="shared" si="70"/>
        <v>623.96185000000003</v>
      </c>
      <c r="R522" s="14" t="str">
        <f t="shared" si="71"/>
        <v>Oct</v>
      </c>
    </row>
    <row r="523" spans="1:18" x14ac:dyDescent="0.3">
      <c r="A523" t="s">
        <v>2132</v>
      </c>
      <c r="B523" s="1">
        <v>45433</v>
      </c>
      <c r="C523" t="s">
        <v>1166</v>
      </c>
      <c r="D523" t="s">
        <v>1479</v>
      </c>
      <c r="E523" t="s">
        <v>1537</v>
      </c>
      <c r="F523">
        <v>3</v>
      </c>
      <c r="G523" s="14">
        <v>780.69</v>
      </c>
      <c r="H523" s="17">
        <v>0.1</v>
      </c>
      <c r="I523" t="s">
        <v>1614</v>
      </c>
      <c r="J523" s="14">
        <v>2107.8629999999998</v>
      </c>
      <c r="K523" s="14">
        <f t="shared" si="64"/>
        <v>501014.97153188474</v>
      </c>
      <c r="L523" s="14">
        <f t="shared" si="65"/>
        <v>492</v>
      </c>
      <c r="M523" s="14" t="str">
        <f t="shared" si="66"/>
        <v>21-05-2024</v>
      </c>
      <c r="N523" s="14">
        <f t="shared" si="67"/>
        <v>0.15453837881900612</v>
      </c>
      <c r="O523" s="20">
        <f t="shared" si="68"/>
        <v>2.5053587790420302</v>
      </c>
      <c r="P523" s="14">
        <f t="shared" si="69"/>
        <v>477.85962857202253</v>
      </c>
      <c r="Q523" s="14">
        <f t="shared" si="70"/>
        <v>722.91324999999995</v>
      </c>
      <c r="R523" s="14" t="str">
        <f t="shared" si="71"/>
        <v>May</v>
      </c>
    </row>
    <row r="524" spans="1:18" x14ac:dyDescent="0.3">
      <c r="A524" t="s">
        <v>2133</v>
      </c>
      <c r="B524" s="1">
        <v>45766</v>
      </c>
      <c r="C524" t="s">
        <v>833</v>
      </c>
      <c r="D524" t="s">
        <v>1417</v>
      </c>
      <c r="E524" t="s">
        <v>1546</v>
      </c>
      <c r="F524">
        <v>2</v>
      </c>
      <c r="G524" s="14">
        <v>42.97</v>
      </c>
      <c r="H524" s="17">
        <v>0.18</v>
      </c>
      <c r="I524" t="s">
        <v>1611</v>
      </c>
      <c r="J524" s="14">
        <v>70.470799999999997</v>
      </c>
      <c r="K524" s="14">
        <f t="shared" si="64"/>
        <v>501014.97153188474</v>
      </c>
      <c r="L524" s="14">
        <f t="shared" si="65"/>
        <v>492</v>
      </c>
      <c r="M524" s="14" t="str">
        <f t="shared" si="66"/>
        <v>19-04-2025</v>
      </c>
      <c r="N524" s="14">
        <f t="shared" si="67"/>
        <v>0.15457532894015719</v>
      </c>
      <c r="O524" s="20">
        <f t="shared" si="68"/>
        <v>2.5050236562636035</v>
      </c>
      <c r="P524" s="14">
        <f t="shared" si="69"/>
        <v>477.65445894368366</v>
      </c>
      <c r="Q524" s="14">
        <f t="shared" si="70"/>
        <v>28.905200000000001</v>
      </c>
      <c r="R524" s="14" t="str">
        <f t="shared" si="71"/>
        <v>Apr</v>
      </c>
    </row>
    <row r="525" spans="1:18" x14ac:dyDescent="0.3">
      <c r="A525" t="s">
        <v>2134</v>
      </c>
      <c r="B525" s="1">
        <v>45639</v>
      </c>
      <c r="C525" t="s">
        <v>908</v>
      </c>
      <c r="D525" t="s">
        <v>1497</v>
      </c>
      <c r="E525" t="s">
        <v>1537</v>
      </c>
      <c r="F525">
        <v>4</v>
      </c>
      <c r="G525" s="14">
        <v>854.37</v>
      </c>
      <c r="H525" s="17">
        <v>7.0000000000000007E-2</v>
      </c>
      <c r="I525" t="s">
        <v>1611</v>
      </c>
      <c r="J525" s="14">
        <v>3178.2564000000002</v>
      </c>
      <c r="K525" s="14">
        <f t="shared" si="64"/>
        <v>501014.97153188474</v>
      </c>
      <c r="L525" s="14">
        <f t="shared" si="65"/>
        <v>492</v>
      </c>
      <c r="M525" s="14" t="str">
        <f t="shared" si="66"/>
        <v>13-12-2024</v>
      </c>
      <c r="N525" s="14">
        <f t="shared" si="67"/>
        <v>0.15455809187503186</v>
      </c>
      <c r="O525" s="20">
        <f t="shared" si="68"/>
        <v>2.5053660451831044</v>
      </c>
      <c r="P525" s="14">
        <f t="shared" si="69"/>
        <v>477.94916027178112</v>
      </c>
      <c r="Q525" s="14">
        <f t="shared" si="70"/>
        <v>1009.1741000000001</v>
      </c>
      <c r="R525" s="14" t="str">
        <f t="shared" si="71"/>
        <v>Dec</v>
      </c>
    </row>
    <row r="526" spans="1:18" x14ac:dyDescent="0.3">
      <c r="A526" t="s">
        <v>2135</v>
      </c>
      <c r="B526" s="1">
        <v>45774</v>
      </c>
      <c r="C526" t="s">
        <v>356</v>
      </c>
      <c r="D526" t="s">
        <v>1381</v>
      </c>
      <c r="E526" t="s">
        <v>1589</v>
      </c>
      <c r="F526">
        <v>2</v>
      </c>
      <c r="G526" s="14">
        <v>409.52</v>
      </c>
      <c r="H526" s="17">
        <v>0.06</v>
      </c>
      <c r="I526" t="s">
        <v>1614</v>
      </c>
      <c r="J526" s="14">
        <v>769.8975999999999</v>
      </c>
      <c r="K526" s="14">
        <f t="shared" si="64"/>
        <v>501014.97153188474</v>
      </c>
      <c r="L526" s="14">
        <f t="shared" si="65"/>
        <v>492</v>
      </c>
      <c r="M526" s="14" t="str">
        <f t="shared" si="66"/>
        <v>27-04-2025</v>
      </c>
      <c r="N526" s="14">
        <f t="shared" si="67"/>
        <v>0.15461545828743012</v>
      </c>
      <c r="O526" s="20">
        <f t="shared" si="68"/>
        <v>2.5043520465706099</v>
      </c>
      <c r="P526" s="14">
        <f t="shared" si="69"/>
        <v>477.69378656775933</v>
      </c>
      <c r="Q526" s="14">
        <f t="shared" si="70"/>
        <v>295.36939999999998</v>
      </c>
      <c r="R526" s="14" t="str">
        <f t="shared" si="71"/>
        <v>Apr</v>
      </c>
    </row>
    <row r="527" spans="1:18" x14ac:dyDescent="0.3">
      <c r="A527" t="s">
        <v>2136</v>
      </c>
      <c r="B527" s="1">
        <v>45569</v>
      </c>
      <c r="C527" t="s">
        <v>547</v>
      </c>
      <c r="D527" t="s">
        <v>1481</v>
      </c>
      <c r="E527" t="s">
        <v>1574</v>
      </c>
      <c r="F527">
        <v>2</v>
      </c>
      <c r="G527" s="14">
        <v>407.46</v>
      </c>
      <c r="H527" s="17">
        <v>0.21</v>
      </c>
      <c r="I527" t="s">
        <v>1609</v>
      </c>
      <c r="J527" s="14">
        <v>643.78679999999997</v>
      </c>
      <c r="K527" s="14">
        <f t="shared" si="64"/>
        <v>501014.97153188474</v>
      </c>
      <c r="L527" s="14">
        <f t="shared" si="65"/>
        <v>492</v>
      </c>
      <c r="M527" s="14" t="str">
        <f t="shared" si="66"/>
        <v>04-10-2024</v>
      </c>
      <c r="N527" s="14">
        <f t="shared" si="67"/>
        <v>0.15467969145666802</v>
      </c>
      <c r="O527" s="20">
        <f t="shared" si="68"/>
        <v>2.5046944444297887</v>
      </c>
      <c r="P527" s="14">
        <f t="shared" si="69"/>
        <v>477.74006883969952</v>
      </c>
      <c r="Q527" s="14">
        <f t="shared" si="70"/>
        <v>263.36419999999998</v>
      </c>
      <c r="R527" s="14" t="str">
        <f t="shared" si="71"/>
        <v>Oct</v>
      </c>
    </row>
    <row r="528" spans="1:18" x14ac:dyDescent="0.3">
      <c r="A528" t="s">
        <v>2137</v>
      </c>
      <c r="B528" s="1">
        <v>45856</v>
      </c>
      <c r="C528" t="s">
        <v>735</v>
      </c>
      <c r="D528" t="s">
        <v>1338</v>
      </c>
      <c r="E528" t="s">
        <v>1567</v>
      </c>
      <c r="F528">
        <v>1</v>
      </c>
      <c r="G528" s="14">
        <v>728.84</v>
      </c>
      <c r="H528" s="17">
        <v>0.28000000000000003</v>
      </c>
      <c r="I528" t="s">
        <v>1611</v>
      </c>
      <c r="J528" s="14">
        <v>524.76480000000004</v>
      </c>
      <c r="K528" s="14">
        <f t="shared" si="64"/>
        <v>500371.18473188474</v>
      </c>
      <c r="L528" s="14">
        <f t="shared" si="65"/>
        <v>491</v>
      </c>
      <c r="M528" s="14" t="str">
        <f t="shared" si="66"/>
        <v>18-07-2025</v>
      </c>
      <c r="N528" s="14">
        <f t="shared" si="67"/>
        <v>0.15464210972532064</v>
      </c>
      <c r="O528" s="20">
        <f t="shared" si="68"/>
        <v>2.50503730750345</v>
      </c>
      <c r="P528" s="14">
        <f t="shared" si="69"/>
        <v>477.78781345168295</v>
      </c>
      <c r="Q528" s="14">
        <f t="shared" si="70"/>
        <v>313.72120000000001</v>
      </c>
      <c r="R528" s="14" t="str">
        <f t="shared" si="71"/>
        <v>Jul</v>
      </c>
    </row>
    <row r="529" spans="1:18" x14ac:dyDescent="0.3">
      <c r="A529" t="s">
        <v>2138</v>
      </c>
      <c r="B529" s="1">
        <v>45362</v>
      </c>
      <c r="C529" t="s">
        <v>1274</v>
      </c>
      <c r="D529" t="s">
        <v>1489</v>
      </c>
      <c r="E529" t="s">
        <v>1561</v>
      </c>
      <c r="F529">
        <v>4</v>
      </c>
      <c r="G529" s="14">
        <v>467.24</v>
      </c>
      <c r="H529" s="17">
        <v>0.08</v>
      </c>
      <c r="I529" t="s">
        <v>1611</v>
      </c>
      <c r="J529" s="14">
        <v>1719.4431999999999</v>
      </c>
      <c r="K529" s="14">
        <f t="shared" si="64"/>
        <v>500371.18473188474</v>
      </c>
      <c r="L529" s="14">
        <f t="shared" si="65"/>
        <v>491</v>
      </c>
      <c r="M529" s="14" t="str">
        <f t="shared" si="66"/>
        <v>11-03-2024</v>
      </c>
      <c r="N529" s="14">
        <f t="shared" si="67"/>
        <v>0.15455689022139496</v>
      </c>
      <c r="O529" s="20">
        <f t="shared" si="68"/>
        <v>2.5060604463936635</v>
      </c>
      <c r="P529" s="14">
        <f t="shared" si="69"/>
        <v>477.6171457517861</v>
      </c>
      <c r="Q529" s="14">
        <f t="shared" si="70"/>
        <v>547.69079999999997</v>
      </c>
      <c r="R529" s="14" t="str">
        <f t="shared" si="71"/>
        <v>Mar</v>
      </c>
    </row>
    <row r="530" spans="1:18" x14ac:dyDescent="0.3">
      <c r="A530" t="s">
        <v>2139</v>
      </c>
      <c r="B530" s="1">
        <v>45457</v>
      </c>
      <c r="C530" t="s">
        <v>332</v>
      </c>
      <c r="D530" t="s">
        <v>1353</v>
      </c>
      <c r="E530" t="s">
        <v>1577</v>
      </c>
      <c r="F530">
        <v>1</v>
      </c>
      <c r="G530" s="14">
        <v>57.94</v>
      </c>
      <c r="H530" s="17">
        <v>0.13</v>
      </c>
      <c r="I530" t="s">
        <v>1611</v>
      </c>
      <c r="J530" s="14">
        <v>50.407799999999988</v>
      </c>
      <c r="K530" s="14">
        <f t="shared" si="64"/>
        <v>500371.18473188474</v>
      </c>
      <c r="L530" s="14">
        <f t="shared" si="65"/>
        <v>491</v>
      </c>
      <c r="M530" s="14" t="str">
        <f t="shared" si="66"/>
        <v>14-06-2024</v>
      </c>
      <c r="N530" s="14">
        <f t="shared" si="67"/>
        <v>0.15460760919433469</v>
      </c>
      <c r="O530" s="20">
        <f t="shared" si="68"/>
        <v>2.5050441609830467</v>
      </c>
      <c r="P530" s="14">
        <f t="shared" si="69"/>
        <v>477.62420503461044</v>
      </c>
      <c r="Q530" s="14">
        <f t="shared" si="70"/>
        <v>27.369449999999997</v>
      </c>
      <c r="R530" s="14" t="str">
        <f t="shared" si="71"/>
        <v>Jun</v>
      </c>
    </row>
    <row r="531" spans="1:18" x14ac:dyDescent="0.3">
      <c r="A531" t="s">
        <v>2140</v>
      </c>
      <c r="B531" s="1">
        <v>45338</v>
      </c>
      <c r="C531" t="s">
        <v>1080</v>
      </c>
      <c r="D531" t="s">
        <v>1431</v>
      </c>
      <c r="E531" t="s">
        <v>1592</v>
      </c>
      <c r="F531">
        <v>1</v>
      </c>
      <c r="G531" s="14">
        <v>540.1</v>
      </c>
      <c r="H531" s="17">
        <v>0.22</v>
      </c>
      <c r="I531" t="s">
        <v>1609</v>
      </c>
      <c r="J531" s="14">
        <v>421.27800000000002</v>
      </c>
      <c r="K531" s="14">
        <f t="shared" si="64"/>
        <v>500371.18473188474</v>
      </c>
      <c r="L531" s="14">
        <f t="shared" si="65"/>
        <v>491</v>
      </c>
      <c r="M531" s="14" t="str">
        <f t="shared" si="66"/>
        <v>16-02-2024</v>
      </c>
      <c r="N531" s="14">
        <f t="shared" si="67"/>
        <v>0.1546243604599537</v>
      </c>
      <c r="O531" s="20">
        <f t="shared" si="68"/>
        <v>2.5060686975119664</v>
      </c>
      <c r="P531" s="14">
        <f t="shared" si="69"/>
        <v>477.90989884334738</v>
      </c>
      <c r="Q531" s="14">
        <f t="shared" si="70"/>
        <v>240.64950000000002</v>
      </c>
      <c r="R531" s="14" t="str">
        <f t="shared" si="71"/>
        <v>Feb</v>
      </c>
    </row>
    <row r="532" spans="1:18" x14ac:dyDescent="0.3">
      <c r="A532" t="s">
        <v>2141</v>
      </c>
      <c r="B532" s="1">
        <v>45552</v>
      </c>
      <c r="C532" t="s">
        <v>281</v>
      </c>
      <c r="D532" t="s">
        <v>1347</v>
      </c>
      <c r="E532" t="s">
        <v>1598</v>
      </c>
      <c r="F532">
        <v>4</v>
      </c>
      <c r="G532" s="14">
        <v>816.28</v>
      </c>
      <c r="H532" s="17">
        <v>0.15</v>
      </c>
      <c r="I532" t="s">
        <v>1614</v>
      </c>
      <c r="J532" s="14">
        <v>2775.3519999999999</v>
      </c>
      <c r="K532" s="14">
        <f t="shared" si="64"/>
        <v>499949.90673188475</v>
      </c>
      <c r="L532" s="14">
        <f t="shared" si="65"/>
        <v>490</v>
      </c>
      <c r="M532" s="14" t="str">
        <f t="shared" si="66"/>
        <v>17-09-2024</v>
      </c>
      <c r="N532" s="14">
        <f t="shared" si="67"/>
        <v>0.15457982664555314</v>
      </c>
      <c r="O532" s="20">
        <f t="shared" si="68"/>
        <v>2.5070946298672201</v>
      </c>
      <c r="P532" s="14">
        <f t="shared" si="69"/>
        <v>477.86753501422157</v>
      </c>
      <c r="Q532" s="14">
        <f t="shared" si="70"/>
        <v>898.94549999999992</v>
      </c>
      <c r="R532" s="14" t="str">
        <f t="shared" si="71"/>
        <v>Sep</v>
      </c>
    </row>
    <row r="533" spans="1:18" x14ac:dyDescent="0.3">
      <c r="A533" t="s">
        <v>2142</v>
      </c>
      <c r="B533" s="1">
        <v>45895</v>
      </c>
      <c r="C533" t="s">
        <v>589</v>
      </c>
      <c r="D533" t="s">
        <v>1417</v>
      </c>
      <c r="E533" t="s">
        <v>1567</v>
      </c>
      <c r="F533">
        <v>4</v>
      </c>
      <c r="G533" s="14">
        <v>727.49</v>
      </c>
      <c r="H533" s="17">
        <v>0.11</v>
      </c>
      <c r="I533" t="s">
        <v>1609</v>
      </c>
      <c r="J533" s="14">
        <v>2589.8643999999999</v>
      </c>
      <c r="K533" s="14">
        <f t="shared" si="64"/>
        <v>499949.90673188475</v>
      </c>
      <c r="L533" s="14">
        <f t="shared" si="65"/>
        <v>490</v>
      </c>
      <c r="M533" s="14" t="str">
        <f t="shared" si="66"/>
        <v>26-08-2025</v>
      </c>
      <c r="N533" s="14">
        <f t="shared" si="67"/>
        <v>0.15458294854510701</v>
      </c>
      <c r="O533" s="20">
        <f t="shared" si="68"/>
        <v>2.5060769711282065</v>
      </c>
      <c r="P533" s="14">
        <f t="shared" si="69"/>
        <v>477.63685167067297</v>
      </c>
      <c r="Q533" s="14">
        <f t="shared" si="70"/>
        <v>830.36609999999996</v>
      </c>
      <c r="R533" s="14" t="str">
        <f t="shared" si="71"/>
        <v>Aug</v>
      </c>
    </row>
    <row r="534" spans="1:18" x14ac:dyDescent="0.3">
      <c r="A534" t="s">
        <v>2143</v>
      </c>
      <c r="B534" s="1">
        <v>45447</v>
      </c>
      <c r="C534" t="s">
        <v>568</v>
      </c>
      <c r="D534" t="s">
        <v>1505</v>
      </c>
      <c r="E534" t="s">
        <v>1582</v>
      </c>
      <c r="F534">
        <v>4</v>
      </c>
      <c r="G534" s="14">
        <v>817.92</v>
      </c>
      <c r="H534" s="17">
        <v>0.21</v>
      </c>
      <c r="I534" t="s">
        <v>1609</v>
      </c>
      <c r="J534" s="14">
        <v>2584.6271999999999</v>
      </c>
      <c r="K534" s="14">
        <f t="shared" si="64"/>
        <v>497360.04233188473</v>
      </c>
      <c r="L534" s="14">
        <f t="shared" si="65"/>
        <v>489</v>
      </c>
      <c r="M534" s="14" t="str">
        <f t="shared" si="66"/>
        <v>04-06-2024</v>
      </c>
      <c r="N534" s="14">
        <f t="shared" si="67"/>
        <v>0.15461335983333699</v>
      </c>
      <c r="O534" s="20">
        <f t="shared" si="68"/>
        <v>2.5050579240416635</v>
      </c>
      <c r="P534" s="14">
        <f t="shared" si="69"/>
        <v>477.46641978231736</v>
      </c>
      <c r="Q534" s="14">
        <f t="shared" si="70"/>
        <v>851.6893</v>
      </c>
      <c r="R534" s="14" t="str">
        <f t="shared" si="71"/>
        <v>Jun</v>
      </c>
    </row>
    <row r="535" spans="1:18" x14ac:dyDescent="0.3">
      <c r="A535" t="s">
        <v>2144</v>
      </c>
      <c r="B535" s="1">
        <v>45578</v>
      </c>
      <c r="C535" t="s">
        <v>1023</v>
      </c>
      <c r="D535" t="s">
        <v>1409</v>
      </c>
      <c r="E535" t="s">
        <v>1564</v>
      </c>
      <c r="F535">
        <v>2</v>
      </c>
      <c r="G535" s="14">
        <v>358.45</v>
      </c>
      <c r="H535" s="17">
        <v>7.0000000000000007E-2</v>
      </c>
      <c r="I535" t="s">
        <v>1614</v>
      </c>
      <c r="J535" s="14">
        <v>666.71699999999998</v>
      </c>
      <c r="K535" s="14">
        <f t="shared" si="64"/>
        <v>494775.41513188474</v>
      </c>
      <c r="L535" s="14">
        <f t="shared" si="65"/>
        <v>488</v>
      </c>
      <c r="M535" s="14" t="str">
        <f t="shared" si="66"/>
        <v>13-10-2024</v>
      </c>
      <c r="N535" s="14">
        <f t="shared" si="67"/>
        <v>0.15457555325301844</v>
      </c>
      <c r="O535" s="20">
        <f t="shared" si="68"/>
        <v>2.5040374857645586</v>
      </c>
      <c r="P535" s="14">
        <f t="shared" si="69"/>
        <v>477.23402825998454</v>
      </c>
      <c r="Q535" s="14">
        <f t="shared" si="70"/>
        <v>256.80925000000002</v>
      </c>
      <c r="R535" s="14" t="str">
        <f t="shared" si="71"/>
        <v>Oct</v>
      </c>
    </row>
    <row r="536" spans="1:18" x14ac:dyDescent="0.3">
      <c r="A536" t="s">
        <v>2145</v>
      </c>
      <c r="B536" s="1">
        <v>45697</v>
      </c>
      <c r="C536" t="s">
        <v>657</v>
      </c>
      <c r="D536" t="s">
        <v>1507</v>
      </c>
      <c r="E536" t="s">
        <v>1571</v>
      </c>
      <c r="F536">
        <v>1</v>
      </c>
      <c r="G536" s="14">
        <v>972.06</v>
      </c>
      <c r="H536" s="17">
        <v>0.3</v>
      </c>
      <c r="I536" t="s">
        <v>1614</v>
      </c>
      <c r="J536" s="14">
        <v>680.44199999999989</v>
      </c>
      <c r="K536" s="14">
        <f t="shared" si="64"/>
        <v>494775.41513188474</v>
      </c>
      <c r="L536" s="14">
        <f t="shared" si="65"/>
        <v>488</v>
      </c>
      <c r="M536" s="14" t="str">
        <f t="shared" si="66"/>
        <v>09-02-2025</v>
      </c>
      <c r="N536" s="14">
        <f t="shared" si="67"/>
        <v>0.15463332343966665</v>
      </c>
      <c r="O536" s="20">
        <f t="shared" si="68"/>
        <v>2.5043817736646714</v>
      </c>
      <c r="P536" s="14">
        <f t="shared" si="69"/>
        <v>477.31516489130962</v>
      </c>
      <c r="Q536" s="14">
        <f t="shared" si="70"/>
        <v>413.45049999999992</v>
      </c>
      <c r="R536" s="14" t="str">
        <f t="shared" si="71"/>
        <v>Feb</v>
      </c>
    </row>
    <row r="537" spans="1:18" x14ac:dyDescent="0.3">
      <c r="A537" t="s">
        <v>2146</v>
      </c>
      <c r="B537" s="1">
        <v>45281</v>
      </c>
      <c r="C537" t="s">
        <v>130</v>
      </c>
      <c r="D537" t="s">
        <v>1365</v>
      </c>
      <c r="E537" t="s">
        <v>1537</v>
      </c>
      <c r="F537">
        <v>1</v>
      </c>
      <c r="G537" s="14">
        <v>791.36</v>
      </c>
      <c r="H537" s="17">
        <v>0.06</v>
      </c>
      <c r="I537" t="s">
        <v>1611</v>
      </c>
      <c r="J537" s="14">
        <v>743.87839999999994</v>
      </c>
      <c r="K537" s="14">
        <f t="shared" si="64"/>
        <v>494775.41513188474</v>
      </c>
      <c r="L537" s="14">
        <f t="shared" si="65"/>
        <v>488</v>
      </c>
      <c r="M537" s="14" t="str">
        <f t="shared" si="66"/>
        <v>21-12-2023</v>
      </c>
      <c r="N537" s="14">
        <f t="shared" si="67"/>
        <v>0.1545339613914368</v>
      </c>
      <c r="O537" s="20">
        <f t="shared" si="68"/>
        <v>2.5054100592242508</v>
      </c>
      <c r="P537" s="14">
        <f t="shared" si="69"/>
        <v>476.97699343874046</v>
      </c>
      <c r="Q537" s="14">
        <f t="shared" si="70"/>
        <v>384.07459999999998</v>
      </c>
      <c r="R537" s="14" t="str">
        <f t="shared" si="71"/>
        <v>Dec</v>
      </c>
    </row>
    <row r="538" spans="1:18" x14ac:dyDescent="0.3">
      <c r="A538" t="s">
        <v>2147</v>
      </c>
      <c r="B538" s="1">
        <v>45855</v>
      </c>
      <c r="C538" t="s">
        <v>990</v>
      </c>
      <c r="D538" t="s">
        <v>1461</v>
      </c>
      <c r="E538" t="s">
        <v>1558</v>
      </c>
      <c r="F538">
        <v>4</v>
      </c>
      <c r="G538" s="14">
        <v>839.65</v>
      </c>
      <c r="H538" s="17">
        <v>0.26</v>
      </c>
      <c r="I538" t="s">
        <v>1614</v>
      </c>
      <c r="J538" s="14">
        <v>2485.364</v>
      </c>
      <c r="K538" s="14">
        <f t="shared" si="64"/>
        <v>494775.41513188474</v>
      </c>
      <c r="L538" s="14">
        <f t="shared" si="65"/>
        <v>488</v>
      </c>
      <c r="M538" s="14" t="str">
        <f t="shared" si="66"/>
        <v>17-07-2025</v>
      </c>
      <c r="N538" s="14">
        <f t="shared" si="67"/>
        <v>0.15459862210374281</v>
      </c>
      <c r="O538" s="20">
        <f t="shared" si="68"/>
        <v>2.5064397514672221</v>
      </c>
      <c r="P538" s="14">
        <f t="shared" si="69"/>
        <v>476.76195718254263</v>
      </c>
      <c r="Q538" s="14">
        <f t="shared" si="70"/>
        <v>832.31849999999997</v>
      </c>
      <c r="R538" s="14" t="str">
        <f t="shared" si="71"/>
        <v>Jul</v>
      </c>
    </row>
    <row r="539" spans="1:18" x14ac:dyDescent="0.3">
      <c r="A539" t="s">
        <v>2148</v>
      </c>
      <c r="B539" s="1">
        <v>45793</v>
      </c>
      <c r="C539" t="s">
        <v>815</v>
      </c>
      <c r="D539" t="s">
        <v>1477</v>
      </c>
      <c r="E539" t="s">
        <v>1546</v>
      </c>
      <c r="F539">
        <v>2</v>
      </c>
      <c r="G539" s="14">
        <v>245.52</v>
      </c>
      <c r="H539" s="17">
        <v>0.11</v>
      </c>
      <c r="I539" t="s">
        <v>1614</v>
      </c>
      <c r="J539" s="14">
        <v>437.0256</v>
      </c>
      <c r="K539" s="14">
        <f t="shared" si="64"/>
        <v>494775.41513188474</v>
      </c>
      <c r="L539" s="14">
        <f t="shared" si="65"/>
        <v>488</v>
      </c>
      <c r="M539" s="14" t="str">
        <f t="shared" si="66"/>
        <v>16-05-2025</v>
      </c>
      <c r="N539" s="14">
        <f t="shared" si="67"/>
        <v>0.15452647879238329</v>
      </c>
      <c r="O539" s="20">
        <f t="shared" si="68"/>
        <v>2.5054174651917034</v>
      </c>
      <c r="P539" s="14">
        <f t="shared" si="69"/>
        <v>476.51357385412547</v>
      </c>
      <c r="Q539" s="14">
        <f t="shared" si="70"/>
        <v>171.16390000000001</v>
      </c>
      <c r="R539" s="14" t="str">
        <f t="shared" si="71"/>
        <v>May</v>
      </c>
    </row>
    <row r="540" spans="1:18" x14ac:dyDescent="0.3">
      <c r="A540" t="s">
        <v>2149</v>
      </c>
      <c r="B540" s="1">
        <v>45881</v>
      </c>
      <c r="C540" t="s">
        <v>1209</v>
      </c>
      <c r="D540" t="s">
        <v>1497</v>
      </c>
      <c r="E540" t="s">
        <v>1567</v>
      </c>
      <c r="F540">
        <v>3</v>
      </c>
      <c r="G540" s="14">
        <v>787.91</v>
      </c>
      <c r="H540" s="17">
        <v>0.06</v>
      </c>
      <c r="I540" t="s">
        <v>1611</v>
      </c>
      <c r="J540" s="14">
        <v>2221.9061999999999</v>
      </c>
      <c r="K540" s="14">
        <f t="shared" si="64"/>
        <v>494775.41513188474</v>
      </c>
      <c r="L540" s="14">
        <f t="shared" si="65"/>
        <v>488</v>
      </c>
      <c r="M540" s="14" t="str">
        <f t="shared" si="66"/>
        <v>12-08-2025</v>
      </c>
      <c r="N540" s="14">
        <f t="shared" si="67"/>
        <v>0.15455697638059726</v>
      </c>
      <c r="O540" s="20">
        <f t="shared" si="68"/>
        <v>2.5057636415377251</v>
      </c>
      <c r="P540" s="14">
        <f t="shared" si="69"/>
        <v>476.67178863073786</v>
      </c>
      <c r="Q540" s="14">
        <f t="shared" si="70"/>
        <v>753.21904999999992</v>
      </c>
      <c r="R540" s="14" t="str">
        <f t="shared" si="71"/>
        <v>Aug</v>
      </c>
    </row>
    <row r="541" spans="1:18" x14ac:dyDescent="0.3">
      <c r="A541" t="s">
        <v>2150</v>
      </c>
      <c r="B541" s="1">
        <v>45890</v>
      </c>
      <c r="C541" t="s">
        <v>202</v>
      </c>
      <c r="D541" t="s">
        <v>1483</v>
      </c>
      <c r="E541" t="s">
        <v>1554</v>
      </c>
      <c r="F541">
        <v>2</v>
      </c>
      <c r="G541" s="14">
        <v>709.17</v>
      </c>
      <c r="H541" s="17">
        <v>0.22</v>
      </c>
      <c r="I541" t="s">
        <v>1609</v>
      </c>
      <c r="J541" s="14">
        <v>1106.3052</v>
      </c>
      <c r="K541" s="14">
        <f t="shared" si="64"/>
        <v>494775.41513188474</v>
      </c>
      <c r="L541" s="14">
        <f t="shared" si="65"/>
        <v>488</v>
      </c>
      <c r="M541" s="14" t="str">
        <f t="shared" si="66"/>
        <v>21-08-2025</v>
      </c>
      <c r="N541" s="14">
        <f t="shared" si="67"/>
        <v>0.15462178582294173</v>
      </c>
      <c r="O541" s="20">
        <f t="shared" si="68"/>
        <v>2.505424891463385</v>
      </c>
      <c r="P541" s="14">
        <f t="shared" si="69"/>
        <v>476.45846566201323</v>
      </c>
      <c r="Q541" s="14">
        <f t="shared" si="70"/>
        <v>454.42380000000003</v>
      </c>
      <c r="R541" s="14" t="str">
        <f t="shared" si="71"/>
        <v>Aug</v>
      </c>
    </row>
    <row r="542" spans="1:18" x14ac:dyDescent="0.3">
      <c r="A542" t="s">
        <v>2151</v>
      </c>
      <c r="B542" s="1">
        <v>45251</v>
      </c>
      <c r="C542" t="s">
        <v>755</v>
      </c>
      <c r="D542" t="s">
        <v>1515</v>
      </c>
      <c r="E542" t="s">
        <v>1564</v>
      </c>
      <c r="F542">
        <v>2</v>
      </c>
      <c r="G542" s="14">
        <v>533.91999999999996</v>
      </c>
      <c r="H542" s="17">
        <v>0.13</v>
      </c>
      <c r="I542" t="s">
        <v>1609</v>
      </c>
      <c r="J542" s="14">
        <v>929.02079999999989</v>
      </c>
      <c r="K542" s="14">
        <f t="shared" si="64"/>
        <v>493669.10993188474</v>
      </c>
      <c r="L542" s="14">
        <f t="shared" si="65"/>
        <v>487</v>
      </c>
      <c r="M542" s="14" t="str">
        <f t="shared" si="66"/>
        <v>21-11-2023</v>
      </c>
      <c r="N542" s="14">
        <f t="shared" si="67"/>
        <v>0.15457694479812895</v>
      </c>
      <c r="O542" s="20">
        <f t="shared" si="68"/>
        <v>2.505771547767544</v>
      </c>
      <c r="P542" s="14">
        <f t="shared" si="69"/>
        <v>476.29885555615732</v>
      </c>
      <c r="Q542" s="14">
        <f t="shared" si="70"/>
        <v>366.26769999999999</v>
      </c>
      <c r="R542" s="14" t="str">
        <f t="shared" si="71"/>
        <v>Nov</v>
      </c>
    </row>
    <row r="543" spans="1:18" x14ac:dyDescent="0.3">
      <c r="A543" t="s">
        <v>2152</v>
      </c>
      <c r="B543" s="1">
        <v>45695</v>
      </c>
      <c r="C543" t="s">
        <v>1313</v>
      </c>
      <c r="D543" t="s">
        <v>1417</v>
      </c>
      <c r="E543" t="s">
        <v>1537</v>
      </c>
      <c r="F543">
        <v>1</v>
      </c>
      <c r="G543" s="14">
        <v>878.84</v>
      </c>
      <c r="H543" s="17">
        <v>0.28000000000000003</v>
      </c>
      <c r="I543" t="s">
        <v>1614</v>
      </c>
      <c r="J543" s="14">
        <v>632.76480000000004</v>
      </c>
      <c r="K543" s="14">
        <f t="shared" si="64"/>
        <v>492740.08913188474</v>
      </c>
      <c r="L543" s="14">
        <f t="shared" si="65"/>
        <v>486</v>
      </c>
      <c r="M543" s="14" t="str">
        <f t="shared" si="66"/>
        <v>07-02-2025</v>
      </c>
      <c r="N543" s="14">
        <f t="shared" si="67"/>
        <v>0.15459381298261632</v>
      </c>
      <c r="O543" s="20">
        <f t="shared" si="68"/>
        <v>2.506118679921125</v>
      </c>
      <c r="P543" s="14">
        <f t="shared" si="69"/>
        <v>476.25930775626443</v>
      </c>
      <c r="Q543" s="14">
        <f t="shared" si="70"/>
        <v>378.22120000000001</v>
      </c>
      <c r="R543" s="14" t="str">
        <f t="shared" si="71"/>
        <v>Feb</v>
      </c>
    </row>
    <row r="544" spans="1:18" x14ac:dyDescent="0.3">
      <c r="A544" t="s">
        <v>2153</v>
      </c>
      <c r="B544" s="1">
        <v>45287</v>
      </c>
      <c r="C544" t="s">
        <v>666</v>
      </c>
      <c r="D544" t="s">
        <v>1421</v>
      </c>
      <c r="E544" t="s">
        <v>1589</v>
      </c>
      <c r="F544">
        <v>1</v>
      </c>
      <c r="G544" s="14">
        <v>442.36</v>
      </c>
      <c r="H544" s="17">
        <v>0.14000000000000001</v>
      </c>
      <c r="I544" t="s">
        <v>1609</v>
      </c>
      <c r="J544" s="14">
        <v>380.42959999999999</v>
      </c>
      <c r="K544" s="14">
        <f t="shared" si="64"/>
        <v>492740.08913188474</v>
      </c>
      <c r="L544" s="14">
        <f t="shared" si="65"/>
        <v>486</v>
      </c>
      <c r="M544" s="14" t="str">
        <f t="shared" si="66"/>
        <v>27-12-2023</v>
      </c>
      <c r="N544" s="14">
        <f t="shared" si="67"/>
        <v>0.15450768235966483</v>
      </c>
      <c r="O544" s="20">
        <f t="shared" si="68"/>
        <v>2.5071531020914004</v>
      </c>
      <c r="P544" s="14">
        <f t="shared" si="69"/>
        <v>475.98281002807511</v>
      </c>
      <c r="Q544" s="14">
        <f t="shared" si="70"/>
        <v>205.98239999999998</v>
      </c>
      <c r="R544" s="14" t="str">
        <f t="shared" si="71"/>
        <v>Dec</v>
      </c>
    </row>
    <row r="545" spans="1:18" x14ac:dyDescent="0.3">
      <c r="A545" t="s">
        <v>2154</v>
      </c>
      <c r="B545" s="1">
        <v>45711</v>
      </c>
      <c r="C545" t="s">
        <v>1047</v>
      </c>
      <c r="D545" t="s">
        <v>1403</v>
      </c>
      <c r="E545" t="s">
        <v>1561</v>
      </c>
      <c r="F545">
        <v>1</v>
      </c>
      <c r="G545" s="14">
        <v>763.34</v>
      </c>
      <c r="H545" s="17">
        <v>0.11</v>
      </c>
      <c r="I545" t="s">
        <v>1614</v>
      </c>
      <c r="J545" s="14">
        <v>679.37260000000003</v>
      </c>
      <c r="K545" s="14">
        <f t="shared" si="64"/>
        <v>492359.65953188477</v>
      </c>
      <c r="L545" s="14">
        <f t="shared" si="65"/>
        <v>485</v>
      </c>
      <c r="M545" s="14" t="str">
        <f t="shared" si="66"/>
        <v>23-02-2025</v>
      </c>
      <c r="N545" s="14">
        <f t="shared" si="67"/>
        <v>0.15451765327537592</v>
      </c>
      <c r="O545" s="20">
        <f t="shared" si="68"/>
        <v>2.5081889461478206</v>
      </c>
      <c r="P545" s="14">
        <f t="shared" si="69"/>
        <v>476.0059184885755</v>
      </c>
      <c r="Q545" s="14">
        <f t="shared" si="70"/>
        <v>360.95564999999999</v>
      </c>
      <c r="R545" s="14" t="str">
        <f t="shared" si="71"/>
        <v>Feb</v>
      </c>
    </row>
    <row r="546" spans="1:18" x14ac:dyDescent="0.3">
      <c r="A546" t="s">
        <v>2155</v>
      </c>
      <c r="B546" s="1">
        <v>45842</v>
      </c>
      <c r="C546" t="s">
        <v>553</v>
      </c>
      <c r="D546" t="s">
        <v>1451</v>
      </c>
      <c r="E546" t="s">
        <v>1595</v>
      </c>
      <c r="F546">
        <v>3</v>
      </c>
      <c r="G546" s="14">
        <v>178.22</v>
      </c>
      <c r="H546" s="17">
        <v>0.15</v>
      </c>
      <c r="I546" t="s">
        <v>1614</v>
      </c>
      <c r="J546" s="14">
        <v>454.46100000000001</v>
      </c>
      <c r="K546" s="14">
        <f t="shared" si="64"/>
        <v>492359.65953188477</v>
      </c>
      <c r="L546" s="14">
        <f t="shared" si="65"/>
        <v>485</v>
      </c>
      <c r="M546" s="14" t="str">
        <f t="shared" si="66"/>
        <v>04-07-2025</v>
      </c>
      <c r="N546" s="14">
        <f t="shared" si="67"/>
        <v>0.15454827064351578</v>
      </c>
      <c r="O546" s="20">
        <f t="shared" si="68"/>
        <v>2.5092262150241256</v>
      </c>
      <c r="P546" s="14">
        <f t="shared" si="69"/>
        <v>475.80830220142872</v>
      </c>
      <c r="Q546" s="14">
        <f t="shared" si="70"/>
        <v>158.95775</v>
      </c>
      <c r="R546" s="14" t="str">
        <f t="shared" si="71"/>
        <v>Jul</v>
      </c>
    </row>
    <row r="547" spans="1:18" x14ac:dyDescent="0.3">
      <c r="A547" t="s">
        <v>2156</v>
      </c>
      <c r="B547" s="1">
        <v>45255</v>
      </c>
      <c r="C547" t="s">
        <v>366</v>
      </c>
      <c r="D547" t="s">
        <v>1385</v>
      </c>
      <c r="E547" t="s">
        <v>1542</v>
      </c>
      <c r="F547">
        <v>4</v>
      </c>
      <c r="G547" s="14">
        <v>90.32</v>
      </c>
      <c r="H547" s="17">
        <v>0.08</v>
      </c>
      <c r="I547" t="s">
        <v>1611</v>
      </c>
      <c r="J547" s="14">
        <v>332.37759999999997</v>
      </c>
      <c r="K547" s="14">
        <f t="shared" si="64"/>
        <v>492359.65953188477</v>
      </c>
      <c r="L547" s="14">
        <f t="shared" si="65"/>
        <v>485</v>
      </c>
      <c r="M547" s="14" t="str">
        <f t="shared" si="66"/>
        <v>25-11-2023</v>
      </c>
      <c r="N547" s="14">
        <f t="shared" si="67"/>
        <v>0.15455140090548658</v>
      </c>
      <c r="O547" s="20">
        <f t="shared" si="68"/>
        <v>2.5088884491707355</v>
      </c>
      <c r="P547" s="14">
        <f t="shared" si="69"/>
        <v>476.01311176935815</v>
      </c>
      <c r="Q547" s="14">
        <f t="shared" si="70"/>
        <v>106.69439999999999</v>
      </c>
      <c r="R547" s="14" t="str">
        <f t="shared" si="71"/>
        <v>Nov</v>
      </c>
    </row>
    <row r="548" spans="1:18" x14ac:dyDescent="0.3">
      <c r="A548" t="s">
        <v>2157</v>
      </c>
      <c r="B548" s="1">
        <v>45695</v>
      </c>
      <c r="C548" t="s">
        <v>1181</v>
      </c>
      <c r="D548" t="s">
        <v>1353</v>
      </c>
      <c r="E548" t="s">
        <v>1561</v>
      </c>
      <c r="F548">
        <v>3</v>
      </c>
      <c r="G548" s="14">
        <v>370.93</v>
      </c>
      <c r="H548" s="17">
        <v>0.15</v>
      </c>
      <c r="I548" t="s">
        <v>1609</v>
      </c>
      <c r="J548" s="14">
        <v>1112.79</v>
      </c>
      <c r="K548" s="14">
        <f t="shared" si="64"/>
        <v>492359.65953188477</v>
      </c>
      <c r="L548" s="14">
        <f t="shared" si="65"/>
        <v>485</v>
      </c>
      <c r="M548" s="14" t="str">
        <f t="shared" si="66"/>
        <v>07-02-2025</v>
      </c>
      <c r="N548" s="14">
        <f t="shared" si="67"/>
        <v>0.15460274484550413</v>
      </c>
      <c r="O548" s="20">
        <f t="shared" si="68"/>
        <v>2.5078615128409631</v>
      </c>
      <c r="P548" s="14">
        <f t="shared" si="69"/>
        <v>476.27874063421308</v>
      </c>
      <c r="Q548" s="14">
        <f t="shared" si="70"/>
        <v>371.71749999999997</v>
      </c>
      <c r="R548" s="14" t="str">
        <f t="shared" si="71"/>
        <v>Feb</v>
      </c>
    </row>
    <row r="549" spans="1:18" x14ac:dyDescent="0.3">
      <c r="A549" t="s">
        <v>2158</v>
      </c>
      <c r="B549" s="1">
        <v>45281</v>
      </c>
      <c r="C549" t="s">
        <v>178</v>
      </c>
      <c r="D549" t="s">
        <v>1379</v>
      </c>
      <c r="E549" t="s">
        <v>1586</v>
      </c>
      <c r="F549">
        <v>1</v>
      </c>
      <c r="G549" s="14">
        <v>352.43</v>
      </c>
      <c r="H549" s="17">
        <v>0.14000000000000001</v>
      </c>
      <c r="I549" t="s">
        <v>1611</v>
      </c>
      <c r="J549" s="14">
        <v>303.08980000000003</v>
      </c>
      <c r="K549" s="14">
        <f t="shared" si="64"/>
        <v>491246.86953188479</v>
      </c>
      <c r="L549" s="14">
        <f t="shared" si="65"/>
        <v>484</v>
      </c>
      <c r="M549" s="14" t="str">
        <f t="shared" si="66"/>
        <v>21-12-2023</v>
      </c>
      <c r="N549" s="14">
        <f t="shared" si="67"/>
        <v>0.15460591696462575</v>
      </c>
      <c r="O549" s="20">
        <f t="shared" si="68"/>
        <v>2.5075223408994338</v>
      </c>
      <c r="P549" s="14">
        <f t="shared" si="69"/>
        <v>476.35134486621462</v>
      </c>
      <c r="Q549" s="14">
        <f t="shared" si="70"/>
        <v>164.16495</v>
      </c>
      <c r="R549" s="14" t="str">
        <f t="shared" si="71"/>
        <v>Dec</v>
      </c>
    </row>
    <row r="550" spans="1:18" x14ac:dyDescent="0.3">
      <c r="A550" t="s">
        <v>2159</v>
      </c>
      <c r="B550" s="1">
        <v>45295</v>
      </c>
      <c r="C550" t="s">
        <v>425</v>
      </c>
      <c r="D550" t="s">
        <v>1357</v>
      </c>
      <c r="E550" t="s">
        <v>1586</v>
      </c>
      <c r="F550">
        <v>2</v>
      </c>
      <c r="G550" s="14">
        <v>562.97</v>
      </c>
      <c r="H550" s="17">
        <v>0.2</v>
      </c>
      <c r="I550" t="s">
        <v>1609</v>
      </c>
      <c r="J550" s="14">
        <v>900.75200000000007</v>
      </c>
      <c r="K550" s="14">
        <f t="shared" si="64"/>
        <v>491246.86953188479</v>
      </c>
      <c r="L550" s="14">
        <f t="shared" si="65"/>
        <v>484</v>
      </c>
      <c r="M550" s="14" t="str">
        <f t="shared" si="66"/>
        <v>04-01-2024</v>
      </c>
      <c r="N550" s="14">
        <f t="shared" si="67"/>
        <v>0.15461599001080825</v>
      </c>
      <c r="O550" s="20">
        <f t="shared" si="68"/>
        <v>2.5085620114793645</v>
      </c>
      <c r="P550" s="14">
        <f t="shared" si="69"/>
        <v>476.43680786267407</v>
      </c>
      <c r="Q550" s="14">
        <f t="shared" si="70"/>
        <v>366.48050000000001</v>
      </c>
      <c r="R550" s="14" t="str">
        <f t="shared" si="71"/>
        <v>Jan</v>
      </c>
    </row>
    <row r="551" spans="1:18" x14ac:dyDescent="0.3">
      <c r="A551" t="s">
        <v>2160</v>
      </c>
      <c r="B551" s="1">
        <v>45260</v>
      </c>
      <c r="C551" t="s">
        <v>526</v>
      </c>
      <c r="D551" t="s">
        <v>1443</v>
      </c>
      <c r="E551" t="s">
        <v>1564</v>
      </c>
      <c r="F551">
        <v>1</v>
      </c>
      <c r="G551" s="14">
        <v>522.85</v>
      </c>
      <c r="H551" s="17">
        <v>0.12</v>
      </c>
      <c r="I551" t="s">
        <v>1611</v>
      </c>
      <c r="J551" s="14">
        <v>460.108</v>
      </c>
      <c r="K551" s="14">
        <f t="shared" si="64"/>
        <v>490346.11753188475</v>
      </c>
      <c r="L551" s="14">
        <f t="shared" si="65"/>
        <v>483</v>
      </c>
      <c r="M551" s="14" t="str">
        <f t="shared" si="66"/>
        <v>30-11-2023</v>
      </c>
      <c r="N551" s="14">
        <f t="shared" si="67"/>
        <v>0.15458466909294133</v>
      </c>
      <c r="O551" s="20">
        <f t="shared" si="68"/>
        <v>2.5089129859524348</v>
      </c>
      <c r="P551" s="14">
        <f t="shared" si="69"/>
        <v>476.37708861344197</v>
      </c>
      <c r="Q551" s="14">
        <f t="shared" si="70"/>
        <v>246.01949999999999</v>
      </c>
      <c r="R551" s="14" t="str">
        <f t="shared" si="71"/>
        <v>Nov</v>
      </c>
    </row>
    <row r="552" spans="1:18" x14ac:dyDescent="0.3">
      <c r="A552" t="s">
        <v>2161</v>
      </c>
      <c r="B552" s="1">
        <v>45851</v>
      </c>
      <c r="C552" t="s">
        <v>1095</v>
      </c>
      <c r="D552" t="s">
        <v>1375</v>
      </c>
      <c r="E552" t="s">
        <v>1589</v>
      </c>
      <c r="F552">
        <v>4</v>
      </c>
      <c r="G552" s="14">
        <v>714.89</v>
      </c>
      <c r="H552" s="17">
        <v>0.15</v>
      </c>
      <c r="I552" t="s">
        <v>1609</v>
      </c>
      <c r="J552" s="14">
        <v>2430.6260000000002</v>
      </c>
      <c r="K552" s="14">
        <f t="shared" si="64"/>
        <v>490346.11753188475</v>
      </c>
      <c r="L552" s="14">
        <f t="shared" si="65"/>
        <v>483</v>
      </c>
      <c r="M552" s="14" t="str">
        <f t="shared" si="66"/>
        <v>13-07-2025</v>
      </c>
      <c r="N552" s="14">
        <f t="shared" si="67"/>
        <v>0.15460855353292263</v>
      </c>
      <c r="O552" s="20">
        <f t="shared" si="68"/>
        <v>2.5099550529316841</v>
      </c>
      <c r="P552" s="14">
        <f t="shared" si="69"/>
        <v>476.34499406137945</v>
      </c>
      <c r="Q552" s="14">
        <f t="shared" si="70"/>
        <v>787.41650000000004</v>
      </c>
      <c r="R552" s="14" t="str">
        <f t="shared" si="71"/>
        <v>Jul</v>
      </c>
    </row>
    <row r="553" spans="1:18" x14ac:dyDescent="0.3">
      <c r="A553" t="s">
        <v>2162</v>
      </c>
      <c r="B553" s="1">
        <v>45222</v>
      </c>
      <c r="C553" t="s">
        <v>616</v>
      </c>
      <c r="D553" t="s">
        <v>1419</v>
      </c>
      <c r="E553" t="s">
        <v>1546</v>
      </c>
      <c r="F553">
        <v>3</v>
      </c>
      <c r="G553" s="14">
        <v>137.77000000000001</v>
      </c>
      <c r="H553" s="17">
        <v>0.26</v>
      </c>
      <c r="I553" t="s">
        <v>1611</v>
      </c>
      <c r="J553" s="14">
        <v>305.84940000000012</v>
      </c>
      <c r="K553" s="14">
        <f t="shared" si="64"/>
        <v>487915.49153188471</v>
      </c>
      <c r="L553" s="14">
        <f t="shared" si="65"/>
        <v>482</v>
      </c>
      <c r="M553" s="14" t="str">
        <f t="shared" si="66"/>
        <v>23-10-2023</v>
      </c>
      <c r="N553" s="14">
        <f t="shared" si="67"/>
        <v>0.15461173843515685</v>
      </c>
      <c r="O553" s="20">
        <f t="shared" si="68"/>
        <v>2.5089253052142904</v>
      </c>
      <c r="P553" s="14">
        <f t="shared" si="69"/>
        <v>476.18013918512605</v>
      </c>
      <c r="Q553" s="14">
        <f t="shared" si="70"/>
        <v>111.71985000000004</v>
      </c>
      <c r="R553" s="14" t="str">
        <f t="shared" si="71"/>
        <v>Oct</v>
      </c>
    </row>
    <row r="554" spans="1:18" x14ac:dyDescent="0.3">
      <c r="A554" t="s">
        <v>2163</v>
      </c>
      <c r="B554" s="1">
        <v>45940</v>
      </c>
      <c r="C554" t="s">
        <v>114</v>
      </c>
      <c r="D554" t="s">
        <v>1517</v>
      </c>
      <c r="E554" t="s">
        <v>1577</v>
      </c>
      <c r="F554">
        <v>3</v>
      </c>
      <c r="G554" s="14">
        <v>862.18</v>
      </c>
      <c r="H554" s="17">
        <v>0.22</v>
      </c>
      <c r="I554" t="s">
        <v>1611</v>
      </c>
      <c r="J554" s="14">
        <v>2017.5011999999999</v>
      </c>
      <c r="K554" s="14">
        <f t="shared" si="64"/>
        <v>487915.49153188471</v>
      </c>
      <c r="L554" s="14">
        <f t="shared" si="65"/>
        <v>482</v>
      </c>
      <c r="M554" s="14" t="str">
        <f t="shared" si="66"/>
        <v>10-10-2025</v>
      </c>
      <c r="N554" s="14">
        <f t="shared" si="67"/>
        <v>0.15453885581996679</v>
      </c>
      <c r="O554" s="20">
        <f t="shared" si="68"/>
        <v>2.5085856961584221</v>
      </c>
      <c r="P554" s="14">
        <f t="shared" si="69"/>
        <v>476.41417109327631</v>
      </c>
      <c r="Q554" s="14">
        <f t="shared" si="70"/>
        <v>720.72529999999995</v>
      </c>
      <c r="R554" s="14" t="str">
        <f t="shared" si="71"/>
        <v>Oct</v>
      </c>
    </row>
    <row r="555" spans="1:18" x14ac:dyDescent="0.3">
      <c r="A555" t="s">
        <v>2164</v>
      </c>
      <c r="B555" s="1">
        <v>45822</v>
      </c>
      <c r="C555" t="s">
        <v>214</v>
      </c>
      <c r="D555" t="s">
        <v>1409</v>
      </c>
      <c r="E555" t="s">
        <v>1584</v>
      </c>
      <c r="F555">
        <v>2</v>
      </c>
      <c r="G555" s="14">
        <v>833.64</v>
      </c>
      <c r="H555" s="17">
        <v>0.24</v>
      </c>
      <c r="I555" t="s">
        <v>1611</v>
      </c>
      <c r="J555" s="14">
        <v>1267.1328000000001</v>
      </c>
      <c r="K555" s="14">
        <f t="shared" si="64"/>
        <v>487915.49153188471</v>
      </c>
      <c r="L555" s="14">
        <f t="shared" si="65"/>
        <v>482</v>
      </c>
      <c r="M555" s="14" t="str">
        <f t="shared" si="66"/>
        <v>14-06-2025</v>
      </c>
      <c r="N555" s="14">
        <f t="shared" si="67"/>
        <v>0.15449355399008441</v>
      </c>
      <c r="O555" s="20">
        <f t="shared" si="68"/>
        <v>2.5082456170554175</v>
      </c>
      <c r="P555" s="14">
        <f t="shared" si="69"/>
        <v>476.14720512171448</v>
      </c>
      <c r="Q555" s="14">
        <f t="shared" si="70"/>
        <v>525.75319999999999</v>
      </c>
      <c r="R555" s="14" t="str">
        <f t="shared" si="71"/>
        <v>Jun</v>
      </c>
    </row>
    <row r="556" spans="1:18" x14ac:dyDescent="0.3">
      <c r="A556" t="s">
        <v>2165</v>
      </c>
      <c r="B556" s="1">
        <v>45752</v>
      </c>
      <c r="C556" t="s">
        <v>860</v>
      </c>
      <c r="D556" t="s">
        <v>1371</v>
      </c>
      <c r="E556" t="s">
        <v>1586</v>
      </c>
      <c r="F556">
        <v>3</v>
      </c>
      <c r="G556" s="14">
        <v>543.22</v>
      </c>
      <c r="H556" s="17">
        <v>0.05</v>
      </c>
      <c r="I556" t="s">
        <v>1614</v>
      </c>
      <c r="J556" s="14">
        <v>1548.1769999999999</v>
      </c>
      <c r="K556" s="14">
        <f t="shared" si="64"/>
        <v>487915.49153188471</v>
      </c>
      <c r="L556" s="14">
        <f t="shared" si="65"/>
        <v>482</v>
      </c>
      <c r="M556" s="14" t="str">
        <f t="shared" si="66"/>
        <v>05-04-2025</v>
      </c>
      <c r="N556" s="14">
        <f t="shared" si="67"/>
        <v>0.15443433899977282</v>
      </c>
      <c r="O556" s="20">
        <f t="shared" si="68"/>
        <v>2.5085975877043483</v>
      </c>
      <c r="P556" s="14">
        <f t="shared" si="69"/>
        <v>475.89963393412575</v>
      </c>
      <c r="Q556" s="14">
        <f t="shared" si="70"/>
        <v>523.61175000000003</v>
      </c>
      <c r="R556" s="14" t="str">
        <f t="shared" si="71"/>
        <v>Apr</v>
      </c>
    </row>
    <row r="557" spans="1:18" x14ac:dyDescent="0.3">
      <c r="A557" t="s">
        <v>2166</v>
      </c>
      <c r="B557" s="1">
        <v>45677</v>
      </c>
      <c r="C557" t="s">
        <v>884</v>
      </c>
      <c r="D557" t="s">
        <v>1509</v>
      </c>
      <c r="E557" t="s">
        <v>1546</v>
      </c>
      <c r="F557">
        <v>3</v>
      </c>
      <c r="G557" s="14">
        <v>691.02</v>
      </c>
      <c r="H557" s="17">
        <v>0.12</v>
      </c>
      <c r="I557" t="s">
        <v>1614</v>
      </c>
      <c r="J557" s="14">
        <v>1824.2927999999999</v>
      </c>
      <c r="K557" s="14">
        <f t="shared" si="64"/>
        <v>487915.49153188471</v>
      </c>
      <c r="L557" s="14">
        <f t="shared" si="65"/>
        <v>482</v>
      </c>
      <c r="M557" s="14" t="str">
        <f t="shared" si="66"/>
        <v>20-01-2025</v>
      </c>
      <c r="N557" s="14">
        <f t="shared" si="67"/>
        <v>0.15450671206907274</v>
      </c>
      <c r="O557" s="20">
        <f t="shared" si="68"/>
        <v>2.5082570454920847</v>
      </c>
      <c r="P557" s="14">
        <f t="shared" si="69"/>
        <v>475.85298087378897</v>
      </c>
      <c r="Q557" s="14">
        <f t="shared" si="70"/>
        <v>629.60820000000001</v>
      </c>
      <c r="R557" s="14" t="str">
        <f t="shared" si="71"/>
        <v>Jan</v>
      </c>
    </row>
    <row r="558" spans="1:18" x14ac:dyDescent="0.3">
      <c r="A558" t="s">
        <v>2167</v>
      </c>
      <c r="B558" s="1">
        <v>45253</v>
      </c>
      <c r="C558" t="s">
        <v>314</v>
      </c>
      <c r="D558" t="s">
        <v>1505</v>
      </c>
      <c r="E558" t="s">
        <v>1592</v>
      </c>
      <c r="F558">
        <v>4</v>
      </c>
      <c r="G558" s="14">
        <v>338.73</v>
      </c>
      <c r="H558" s="17">
        <v>0.18</v>
      </c>
      <c r="I558" t="s">
        <v>1609</v>
      </c>
      <c r="J558" s="14">
        <v>1111.0344</v>
      </c>
      <c r="K558" s="14">
        <f t="shared" si="64"/>
        <v>487915.49153188471</v>
      </c>
      <c r="L558" s="14">
        <f t="shared" si="65"/>
        <v>482</v>
      </c>
      <c r="M558" s="14" t="str">
        <f t="shared" si="66"/>
        <v>23-11-2023</v>
      </c>
      <c r="N558" s="14">
        <f t="shared" si="67"/>
        <v>0.15453064182778917</v>
      </c>
      <c r="O558" s="20">
        <f t="shared" si="68"/>
        <v>2.507916030960526</v>
      </c>
      <c r="P558" s="14">
        <f t="shared" si="69"/>
        <v>475.70376657481108</v>
      </c>
      <c r="Q558" s="14">
        <f t="shared" si="70"/>
        <v>363.48610000000002</v>
      </c>
      <c r="R558" s="14" t="str">
        <f t="shared" si="71"/>
        <v>Nov</v>
      </c>
    </row>
    <row r="559" spans="1:18" x14ac:dyDescent="0.3">
      <c r="A559" t="s">
        <v>2168</v>
      </c>
      <c r="B559" s="1">
        <v>45389</v>
      </c>
      <c r="C559" t="s">
        <v>230</v>
      </c>
      <c r="D559" t="s">
        <v>1501</v>
      </c>
      <c r="E559" t="s">
        <v>1589</v>
      </c>
      <c r="F559">
        <v>3</v>
      </c>
      <c r="G559" s="14">
        <v>366.08</v>
      </c>
      <c r="H559" s="17">
        <v>0.05</v>
      </c>
      <c r="I559" t="s">
        <v>1609</v>
      </c>
      <c r="J559" s="14">
        <v>1043.328</v>
      </c>
      <c r="K559" s="14">
        <f t="shared" si="64"/>
        <v>486804.4571318847</v>
      </c>
      <c r="L559" s="14">
        <f t="shared" si="65"/>
        <v>481</v>
      </c>
      <c r="M559" s="14" t="str">
        <f t="shared" si="66"/>
        <v>07-04-2024</v>
      </c>
      <c r="N559" s="14">
        <f t="shared" si="67"/>
        <v>0.15451296704765574</v>
      </c>
      <c r="O559" s="20">
        <f t="shared" si="68"/>
        <v>2.506880580600332</v>
      </c>
      <c r="P559" s="14">
        <f t="shared" si="69"/>
        <v>475.79882123586225</v>
      </c>
      <c r="Q559" s="14">
        <f t="shared" si="70"/>
        <v>353.11450000000002</v>
      </c>
      <c r="R559" s="14" t="str">
        <f t="shared" si="71"/>
        <v>Apr</v>
      </c>
    </row>
    <row r="560" spans="1:18" x14ac:dyDescent="0.3">
      <c r="A560" t="s">
        <v>2169</v>
      </c>
      <c r="B560" s="1">
        <v>45840</v>
      </c>
      <c r="C560" t="s">
        <v>372</v>
      </c>
      <c r="D560" t="s">
        <v>1359</v>
      </c>
      <c r="E560" t="s">
        <v>1582</v>
      </c>
      <c r="F560">
        <v>4</v>
      </c>
      <c r="G560" s="14">
        <v>539.48</v>
      </c>
      <c r="H560" s="17">
        <v>0.28000000000000003</v>
      </c>
      <c r="I560" t="s">
        <v>1614</v>
      </c>
      <c r="J560" s="14">
        <v>1553.7023999999999</v>
      </c>
      <c r="K560" s="14">
        <f t="shared" si="64"/>
        <v>485761.12913188472</v>
      </c>
      <c r="L560" s="14">
        <f t="shared" si="65"/>
        <v>480</v>
      </c>
      <c r="M560" s="14" t="str">
        <f t="shared" si="66"/>
        <v>02-07-2025</v>
      </c>
      <c r="N560" s="14">
        <f t="shared" si="67"/>
        <v>0.15458554549699441</v>
      </c>
      <c r="O560" s="20">
        <f t="shared" si="68"/>
        <v>2.5065381365590818</v>
      </c>
      <c r="P560" s="14">
        <f t="shared" si="69"/>
        <v>475.8750148617205</v>
      </c>
      <c r="Q560" s="14">
        <f t="shared" si="70"/>
        <v>524.36559999999997</v>
      </c>
      <c r="R560" s="14" t="str">
        <f t="shared" si="71"/>
        <v>Jul</v>
      </c>
    </row>
    <row r="561" spans="1:18" x14ac:dyDescent="0.3">
      <c r="A561" t="s">
        <v>2170</v>
      </c>
      <c r="B561" s="1">
        <v>45256</v>
      </c>
      <c r="C561" t="s">
        <v>1210</v>
      </c>
      <c r="D561" t="s">
        <v>1515</v>
      </c>
      <c r="E561" t="s">
        <v>1589</v>
      </c>
      <c r="F561">
        <v>1</v>
      </c>
      <c r="G561" s="14">
        <v>499.59</v>
      </c>
      <c r="H561" s="17">
        <v>0.03</v>
      </c>
      <c r="I561" t="s">
        <v>1614</v>
      </c>
      <c r="J561" s="14">
        <v>484.60230000000001</v>
      </c>
      <c r="K561" s="14">
        <f t="shared" si="64"/>
        <v>485761.12913188472</v>
      </c>
      <c r="L561" s="14">
        <f t="shared" si="65"/>
        <v>480</v>
      </c>
      <c r="M561" s="14" t="str">
        <f t="shared" si="66"/>
        <v>26-11-2023</v>
      </c>
      <c r="N561" s="14">
        <f t="shared" si="67"/>
        <v>0.15449839160227377</v>
      </c>
      <c r="O561" s="20">
        <f t="shared" si="68"/>
        <v>2.5055002895379279</v>
      </c>
      <c r="P561" s="14">
        <f t="shared" si="69"/>
        <v>475.83081403813588</v>
      </c>
      <c r="Q561" s="14">
        <f t="shared" si="70"/>
        <v>246.30557499999998</v>
      </c>
      <c r="R561" s="14" t="str">
        <f t="shared" si="71"/>
        <v>Nov</v>
      </c>
    </row>
    <row r="562" spans="1:18" x14ac:dyDescent="0.3">
      <c r="A562" t="s">
        <v>2171</v>
      </c>
      <c r="B562" s="1">
        <v>45326</v>
      </c>
      <c r="C562" t="s">
        <v>619</v>
      </c>
      <c r="D562" t="s">
        <v>1393</v>
      </c>
      <c r="E562" t="s">
        <v>1567</v>
      </c>
      <c r="F562">
        <v>3</v>
      </c>
      <c r="G562" s="14">
        <v>330.04</v>
      </c>
      <c r="H562" s="17">
        <v>0.2</v>
      </c>
      <c r="I562" t="s">
        <v>1609</v>
      </c>
      <c r="J562" s="14">
        <v>792.09600000000012</v>
      </c>
      <c r="K562" s="14">
        <f t="shared" si="64"/>
        <v>485761.12913188472</v>
      </c>
      <c r="L562" s="14">
        <f t="shared" si="65"/>
        <v>480</v>
      </c>
      <c r="M562" s="14" t="str">
        <f t="shared" si="66"/>
        <v>04-02-2024</v>
      </c>
      <c r="N562" s="14">
        <f t="shared" si="67"/>
        <v>0.15458496906514044</v>
      </c>
      <c r="O562" s="20">
        <f t="shared" si="68"/>
        <v>2.5065472299339904</v>
      </c>
      <c r="P562" s="14">
        <f t="shared" si="69"/>
        <v>475.81429165568676</v>
      </c>
      <c r="Q562" s="14">
        <f t="shared" si="70"/>
        <v>281.33400000000006</v>
      </c>
      <c r="R562" s="14" t="str">
        <f t="shared" si="71"/>
        <v>Feb</v>
      </c>
    </row>
    <row r="563" spans="1:18" x14ac:dyDescent="0.3">
      <c r="A563" t="s">
        <v>2172</v>
      </c>
      <c r="B563" s="1">
        <v>45459</v>
      </c>
      <c r="C563" t="s">
        <v>601</v>
      </c>
      <c r="D563" t="s">
        <v>1355</v>
      </c>
      <c r="E563" t="s">
        <v>1592</v>
      </c>
      <c r="F563">
        <v>2</v>
      </c>
      <c r="G563" s="14">
        <v>813.01</v>
      </c>
      <c r="H563" s="17">
        <v>0.06</v>
      </c>
      <c r="I563" t="s">
        <v>1611</v>
      </c>
      <c r="J563" s="14">
        <v>1528.4588000000001</v>
      </c>
      <c r="K563" s="14">
        <f t="shared" si="64"/>
        <v>484969.0331318847</v>
      </c>
      <c r="L563" s="14">
        <f t="shared" si="65"/>
        <v>479</v>
      </c>
      <c r="M563" s="14" t="str">
        <f t="shared" si="66"/>
        <v>16-06-2024</v>
      </c>
      <c r="N563" s="14">
        <f t="shared" si="67"/>
        <v>0.15455336500742656</v>
      </c>
      <c r="O563" s="20">
        <f t="shared" si="68"/>
        <v>2.5062038390014458</v>
      </c>
      <c r="P563" s="14">
        <f t="shared" si="69"/>
        <v>475.91573514326899</v>
      </c>
      <c r="Q563" s="14">
        <f t="shared" si="70"/>
        <v>585.88220000000001</v>
      </c>
      <c r="R563" s="14" t="str">
        <f t="shared" si="71"/>
        <v>Jun</v>
      </c>
    </row>
    <row r="564" spans="1:18" x14ac:dyDescent="0.3">
      <c r="A564" t="s">
        <v>2173</v>
      </c>
      <c r="B564" s="1">
        <v>45715</v>
      </c>
      <c r="C564" t="s">
        <v>110</v>
      </c>
      <c r="D564" t="s">
        <v>1331</v>
      </c>
      <c r="E564" t="s">
        <v>1546</v>
      </c>
      <c r="F564">
        <v>4</v>
      </c>
      <c r="G564" s="14">
        <v>204.8</v>
      </c>
      <c r="H564" s="17">
        <v>0.03</v>
      </c>
      <c r="I564" t="s">
        <v>1611</v>
      </c>
      <c r="J564" s="14">
        <v>794.62400000000002</v>
      </c>
      <c r="K564" s="14">
        <f t="shared" si="64"/>
        <v>484969.0331318847</v>
      </c>
      <c r="L564" s="14">
        <f t="shared" si="65"/>
        <v>479</v>
      </c>
      <c r="M564" s="14" t="str">
        <f t="shared" si="66"/>
        <v>27-02-2025</v>
      </c>
      <c r="N564" s="14">
        <f t="shared" si="67"/>
        <v>0.15461920996913089</v>
      </c>
      <c r="O564" s="20">
        <f t="shared" si="68"/>
        <v>2.5065563486386337</v>
      </c>
      <c r="P564" s="14">
        <f t="shared" si="69"/>
        <v>475.68098983348017</v>
      </c>
      <c r="Q564" s="14">
        <f t="shared" si="70"/>
        <v>250.86350000000002</v>
      </c>
      <c r="R564" s="14" t="str">
        <f t="shared" si="71"/>
        <v>Feb</v>
      </c>
    </row>
    <row r="565" spans="1:18" x14ac:dyDescent="0.3">
      <c r="A565" t="s">
        <v>2174</v>
      </c>
      <c r="B565" s="1">
        <v>45223</v>
      </c>
      <c r="C565" t="s">
        <v>55</v>
      </c>
      <c r="D565" t="s">
        <v>1336</v>
      </c>
      <c r="E565" t="s">
        <v>1551</v>
      </c>
      <c r="F565">
        <v>3</v>
      </c>
      <c r="G565" s="14">
        <v>728.32</v>
      </c>
      <c r="H565" s="17">
        <v>0.01</v>
      </c>
      <c r="I565" t="s">
        <v>1609</v>
      </c>
      <c r="J565" s="14">
        <v>2163.1104</v>
      </c>
      <c r="K565" s="14">
        <f t="shared" si="64"/>
        <v>484969.0331318847</v>
      </c>
      <c r="L565" s="14">
        <f t="shared" si="65"/>
        <v>479</v>
      </c>
      <c r="M565" s="14" t="str">
        <f t="shared" si="66"/>
        <v>24-10-2023</v>
      </c>
      <c r="N565" s="14">
        <f t="shared" si="67"/>
        <v>0.15470605262416165</v>
      </c>
      <c r="O565" s="20">
        <f t="shared" si="68"/>
        <v>2.505515621355455</v>
      </c>
      <c r="P565" s="14">
        <f t="shared" si="69"/>
        <v>475.8697570737823</v>
      </c>
      <c r="Q565" s="14">
        <f t="shared" si="70"/>
        <v>723.61009999999999</v>
      </c>
      <c r="R565" s="14" t="str">
        <f t="shared" si="71"/>
        <v>Oct</v>
      </c>
    </row>
    <row r="566" spans="1:18" x14ac:dyDescent="0.3">
      <c r="A566" t="s">
        <v>2175</v>
      </c>
      <c r="B566" s="1">
        <v>45507</v>
      </c>
      <c r="C566" t="s">
        <v>1273</v>
      </c>
      <c r="D566" t="s">
        <v>1451</v>
      </c>
      <c r="E566" t="s">
        <v>1564</v>
      </c>
      <c r="F566">
        <v>3</v>
      </c>
      <c r="G566" s="14">
        <v>836.4</v>
      </c>
      <c r="H566" s="17">
        <v>0.15</v>
      </c>
      <c r="I566" t="s">
        <v>1609</v>
      </c>
      <c r="J566" s="14">
        <v>2509.1999999999998</v>
      </c>
      <c r="K566" s="14">
        <f t="shared" si="64"/>
        <v>482805.92273188476</v>
      </c>
      <c r="L566" s="14">
        <f t="shared" si="65"/>
        <v>478</v>
      </c>
      <c r="M566" s="14" t="str">
        <f t="shared" si="66"/>
        <v>03-08-2024</v>
      </c>
      <c r="N566" s="14">
        <f t="shared" si="67"/>
        <v>0.15480696340005018</v>
      </c>
      <c r="O566" s="20">
        <f t="shared" si="68"/>
        <v>2.5051707926395244</v>
      </c>
      <c r="P566" s="14">
        <f t="shared" si="69"/>
        <v>475.693710879273</v>
      </c>
      <c r="Q566" s="14">
        <f t="shared" si="70"/>
        <v>837.1875</v>
      </c>
      <c r="R566" s="14" t="str">
        <f t="shared" si="71"/>
        <v>Aug</v>
      </c>
    </row>
    <row r="567" spans="1:18" x14ac:dyDescent="0.3">
      <c r="A567" t="s">
        <v>2176</v>
      </c>
      <c r="B567" s="1">
        <v>45843</v>
      </c>
      <c r="C567" t="s">
        <v>502</v>
      </c>
      <c r="D567" t="s">
        <v>1513</v>
      </c>
      <c r="E567" t="s">
        <v>1579</v>
      </c>
      <c r="F567">
        <v>1</v>
      </c>
      <c r="G567" s="14">
        <v>780.16</v>
      </c>
      <c r="H567" s="17">
        <v>0.02</v>
      </c>
      <c r="I567" t="s">
        <v>1614</v>
      </c>
      <c r="J567" s="14">
        <v>764.55679999999995</v>
      </c>
      <c r="K567" s="14">
        <f t="shared" si="64"/>
        <v>480296.72273188474</v>
      </c>
      <c r="L567" s="14">
        <f t="shared" si="65"/>
        <v>477</v>
      </c>
      <c r="M567" s="14" t="str">
        <f t="shared" si="66"/>
        <v>05-07-2025</v>
      </c>
      <c r="N567" s="14">
        <f t="shared" si="67"/>
        <v>0.15481031787555616</v>
      </c>
      <c r="O567" s="20">
        <f t="shared" si="68"/>
        <v>2.5048254826553227</v>
      </c>
      <c r="P567" s="14">
        <f t="shared" si="69"/>
        <v>475.44199679056356</v>
      </c>
      <c r="Q567" s="14">
        <f t="shared" si="70"/>
        <v>386.43419999999998</v>
      </c>
      <c r="R567" s="14" t="str">
        <f t="shared" si="71"/>
        <v>Jul</v>
      </c>
    </row>
    <row r="568" spans="1:18" x14ac:dyDescent="0.3">
      <c r="A568" t="s">
        <v>2177</v>
      </c>
      <c r="B568" s="1">
        <v>45804</v>
      </c>
      <c r="C568" t="s">
        <v>1291</v>
      </c>
      <c r="D568" t="s">
        <v>1425</v>
      </c>
      <c r="E568" t="s">
        <v>1582</v>
      </c>
      <c r="F568">
        <v>4</v>
      </c>
      <c r="G568" s="14">
        <v>354.12</v>
      </c>
      <c r="H568" s="17">
        <v>0.06</v>
      </c>
      <c r="I568" t="s">
        <v>1611</v>
      </c>
      <c r="J568" s="14">
        <v>1331.4911999999999</v>
      </c>
      <c r="K568" s="14">
        <f t="shared" si="64"/>
        <v>480296.72273188474</v>
      </c>
      <c r="L568" s="14">
        <f t="shared" si="65"/>
        <v>477</v>
      </c>
      <c r="M568" s="14" t="str">
        <f t="shared" si="66"/>
        <v>27-05-2025</v>
      </c>
      <c r="N568" s="14">
        <f t="shared" si="67"/>
        <v>0.15490445915898882</v>
      </c>
      <c r="O568" s="20">
        <f t="shared" si="68"/>
        <v>2.5058763384393004</v>
      </c>
      <c r="P568" s="14">
        <f t="shared" si="69"/>
        <v>475.22920488888099</v>
      </c>
      <c r="Q568" s="14">
        <f t="shared" si="70"/>
        <v>422.4178</v>
      </c>
      <c r="R568" s="14" t="str">
        <f t="shared" si="71"/>
        <v>May</v>
      </c>
    </row>
    <row r="569" spans="1:18" x14ac:dyDescent="0.3">
      <c r="A569" t="s">
        <v>2178</v>
      </c>
      <c r="B569" s="1">
        <v>45602</v>
      </c>
      <c r="C569" t="s">
        <v>1273</v>
      </c>
      <c r="D569" t="s">
        <v>1459</v>
      </c>
      <c r="E569" t="s">
        <v>1546</v>
      </c>
      <c r="F569">
        <v>4</v>
      </c>
      <c r="G569" s="14">
        <v>282.48</v>
      </c>
      <c r="H569" s="17">
        <v>0.11</v>
      </c>
      <c r="I569" t="s">
        <v>1611</v>
      </c>
      <c r="J569" s="14">
        <v>1005.6288</v>
      </c>
      <c r="K569" s="14">
        <f t="shared" si="64"/>
        <v>480296.72273188474</v>
      </c>
      <c r="L569" s="14">
        <f t="shared" si="65"/>
        <v>477</v>
      </c>
      <c r="M569" s="14" t="str">
        <f t="shared" si="66"/>
        <v>06-11-2024</v>
      </c>
      <c r="N569" s="14">
        <f t="shared" si="67"/>
        <v>0.15497077953575961</v>
      </c>
      <c r="O569" s="20">
        <f t="shared" si="68"/>
        <v>2.5048322268658825</v>
      </c>
      <c r="P569" s="14">
        <f t="shared" si="69"/>
        <v>475.31383745693751</v>
      </c>
      <c r="Q569" s="14">
        <f t="shared" si="70"/>
        <v>323.05470000000003</v>
      </c>
      <c r="R569" s="14" t="str">
        <f t="shared" si="71"/>
        <v>Nov</v>
      </c>
    </row>
    <row r="570" spans="1:18" x14ac:dyDescent="0.3">
      <c r="A570" t="s">
        <v>2179</v>
      </c>
      <c r="B570" s="1">
        <v>45446</v>
      </c>
      <c r="C570" t="s">
        <v>1032</v>
      </c>
      <c r="D570" t="s">
        <v>1373</v>
      </c>
      <c r="E570" t="s">
        <v>1561</v>
      </c>
      <c r="F570">
        <v>2</v>
      </c>
      <c r="G570" s="14">
        <v>740.68</v>
      </c>
      <c r="H570" s="17">
        <v>0.02</v>
      </c>
      <c r="I570" t="s">
        <v>1611</v>
      </c>
      <c r="J570" s="14">
        <v>1451.7328</v>
      </c>
      <c r="K570" s="14">
        <f t="shared" si="64"/>
        <v>480296.72273188474</v>
      </c>
      <c r="L570" s="14">
        <f t="shared" si="65"/>
        <v>477</v>
      </c>
      <c r="M570" s="14" t="str">
        <f t="shared" si="66"/>
        <v>03-06-2024</v>
      </c>
      <c r="N570" s="14">
        <f t="shared" si="67"/>
        <v>0.15500222763333701</v>
      </c>
      <c r="O570" s="20">
        <f t="shared" si="68"/>
        <v>2.5037866549965577</v>
      </c>
      <c r="P570" s="14">
        <f t="shared" si="69"/>
        <v>475.44868629432</v>
      </c>
      <c r="Q570" s="14">
        <f t="shared" si="70"/>
        <v>548.60820000000001</v>
      </c>
      <c r="R570" s="14" t="str">
        <f t="shared" si="71"/>
        <v>Jun</v>
      </c>
    </row>
    <row r="571" spans="1:18" x14ac:dyDescent="0.3">
      <c r="A571" t="s">
        <v>2180</v>
      </c>
      <c r="B571" s="1">
        <v>45384</v>
      </c>
      <c r="C571" t="s">
        <v>372</v>
      </c>
      <c r="D571" t="s">
        <v>1445</v>
      </c>
      <c r="E571" t="s">
        <v>1571</v>
      </c>
      <c r="F571">
        <v>3</v>
      </c>
      <c r="G571" s="14">
        <v>600.58000000000004</v>
      </c>
      <c r="H571" s="17">
        <v>0.28999999999999998</v>
      </c>
      <c r="I571" t="s">
        <v>1614</v>
      </c>
      <c r="J571" s="14">
        <v>1279.2354</v>
      </c>
      <c r="K571" s="14">
        <f t="shared" si="64"/>
        <v>480296.72273188474</v>
      </c>
      <c r="L571" s="14">
        <f t="shared" si="65"/>
        <v>477</v>
      </c>
      <c r="M571" s="14" t="str">
        <f t="shared" si="66"/>
        <v>02-04-2024</v>
      </c>
      <c r="N571" s="14">
        <f t="shared" si="67"/>
        <v>0.15509670085071514</v>
      </c>
      <c r="O571" s="20">
        <f t="shared" si="68"/>
        <v>2.5041391998915872</v>
      </c>
      <c r="P571" s="14">
        <f t="shared" si="69"/>
        <v>475.26308005659729</v>
      </c>
      <c r="Q571" s="14">
        <f t="shared" si="70"/>
        <v>470.77634999999998</v>
      </c>
      <c r="R571" s="14" t="str">
        <f t="shared" si="71"/>
        <v>Apr</v>
      </c>
    </row>
    <row r="572" spans="1:18" x14ac:dyDescent="0.3">
      <c r="A572" t="s">
        <v>2181</v>
      </c>
      <c r="B572" s="1">
        <v>45348</v>
      </c>
      <c r="C572" t="s">
        <v>1282</v>
      </c>
      <c r="D572" t="s">
        <v>1463</v>
      </c>
      <c r="E572" t="s">
        <v>1551</v>
      </c>
      <c r="F572">
        <v>3</v>
      </c>
      <c r="G572" s="14">
        <v>345.58</v>
      </c>
      <c r="H572" s="17">
        <v>0.22</v>
      </c>
      <c r="I572" t="s">
        <v>1609</v>
      </c>
      <c r="J572" s="14">
        <v>808.65719999999999</v>
      </c>
      <c r="K572" s="14">
        <f t="shared" si="64"/>
        <v>480296.72273188474</v>
      </c>
      <c r="L572" s="14">
        <f t="shared" si="65"/>
        <v>477</v>
      </c>
      <c r="M572" s="14" t="str">
        <f t="shared" si="66"/>
        <v>26-02-2024</v>
      </c>
      <c r="N572" s="14">
        <f t="shared" si="67"/>
        <v>0.15500223075327166</v>
      </c>
      <c r="O572" s="20">
        <f t="shared" si="68"/>
        <v>2.5037919584349284</v>
      </c>
      <c r="P572" s="14">
        <f t="shared" si="69"/>
        <v>475.17532310985825</v>
      </c>
      <c r="Q572" s="14">
        <f t="shared" si="70"/>
        <v>289.36430000000001</v>
      </c>
      <c r="R572" s="14" t="str">
        <f t="shared" si="71"/>
        <v>Feb</v>
      </c>
    </row>
    <row r="573" spans="1:18" x14ac:dyDescent="0.3">
      <c r="A573" t="s">
        <v>2182</v>
      </c>
      <c r="B573" s="1">
        <v>45688</v>
      </c>
      <c r="C573" t="s">
        <v>902</v>
      </c>
      <c r="D573" t="s">
        <v>1369</v>
      </c>
      <c r="E573" t="s">
        <v>1577</v>
      </c>
      <c r="F573">
        <v>1</v>
      </c>
      <c r="G573" s="14">
        <v>974.52</v>
      </c>
      <c r="H573" s="17">
        <v>0.01</v>
      </c>
      <c r="I573" t="s">
        <v>1611</v>
      </c>
      <c r="J573" s="14">
        <v>964.77480000000003</v>
      </c>
      <c r="K573" s="14">
        <f t="shared" si="64"/>
        <v>479488.06553188467</v>
      </c>
      <c r="L573" s="14">
        <f t="shared" si="65"/>
        <v>476</v>
      </c>
      <c r="M573" s="14" t="str">
        <f t="shared" si="66"/>
        <v>31-01-2025</v>
      </c>
      <c r="N573" s="14">
        <f t="shared" si="67"/>
        <v>0.15495668221140291</v>
      </c>
      <c r="O573" s="20">
        <f t="shared" si="68"/>
        <v>2.5034442303048898</v>
      </c>
      <c r="P573" s="14">
        <f t="shared" si="69"/>
        <v>475.266139734322</v>
      </c>
      <c r="Q573" s="14">
        <f t="shared" si="70"/>
        <v>485.07619999999997</v>
      </c>
      <c r="R573" s="14" t="str">
        <f t="shared" si="71"/>
        <v>Jan</v>
      </c>
    </row>
    <row r="574" spans="1:18" x14ac:dyDescent="0.3">
      <c r="A574" t="s">
        <v>2183</v>
      </c>
      <c r="B574" s="1">
        <v>45249</v>
      </c>
      <c r="C574" t="s">
        <v>157</v>
      </c>
      <c r="D574" t="s">
        <v>1367</v>
      </c>
      <c r="E574" t="s">
        <v>1542</v>
      </c>
      <c r="F574">
        <v>3</v>
      </c>
      <c r="G574" s="14">
        <v>282.33</v>
      </c>
      <c r="H574" s="17">
        <v>7.0000000000000007E-2</v>
      </c>
      <c r="I574" t="s">
        <v>1609</v>
      </c>
      <c r="J574" s="14">
        <v>787.70069999999998</v>
      </c>
      <c r="K574" s="14">
        <f t="shared" si="64"/>
        <v>479488.06553188467</v>
      </c>
      <c r="L574" s="14">
        <f t="shared" si="65"/>
        <v>476</v>
      </c>
      <c r="M574" s="14" t="str">
        <f t="shared" si="66"/>
        <v>19-11-2023</v>
      </c>
      <c r="N574" s="14">
        <f t="shared" si="67"/>
        <v>0.15505833486372506</v>
      </c>
      <c r="O574" s="20">
        <f t="shared" si="68"/>
        <v>2.5044985390217938</v>
      </c>
      <c r="P574" s="14">
        <f t="shared" si="69"/>
        <v>474.91603183792262</v>
      </c>
      <c r="Q574" s="14">
        <f t="shared" si="70"/>
        <v>268.27517499999999</v>
      </c>
      <c r="R574" s="14" t="str">
        <f t="shared" si="71"/>
        <v>Nov</v>
      </c>
    </row>
    <row r="575" spans="1:18" x14ac:dyDescent="0.3">
      <c r="A575" t="s">
        <v>2184</v>
      </c>
      <c r="B575" s="1">
        <v>45726</v>
      </c>
      <c r="C575" t="s">
        <v>1193</v>
      </c>
      <c r="D575" t="s">
        <v>1485</v>
      </c>
      <c r="E575" t="s">
        <v>1598</v>
      </c>
      <c r="F575">
        <v>4</v>
      </c>
      <c r="G575" s="14">
        <v>158.46</v>
      </c>
      <c r="H575" s="17">
        <v>0.09</v>
      </c>
      <c r="I575" t="s">
        <v>1611</v>
      </c>
      <c r="J575" s="14">
        <v>576.7944</v>
      </c>
      <c r="K575" s="14">
        <f t="shared" si="64"/>
        <v>478700.36483188468</v>
      </c>
      <c r="L575" s="14">
        <f t="shared" si="65"/>
        <v>475</v>
      </c>
      <c r="M575" s="14" t="str">
        <f t="shared" si="66"/>
        <v>10-03-2025</v>
      </c>
      <c r="N575" s="14">
        <f t="shared" si="67"/>
        <v>0.15511802492327856</v>
      </c>
      <c r="O575" s="20">
        <f t="shared" si="68"/>
        <v>2.5041508186983004</v>
      </c>
      <c r="P575" s="14">
        <f t="shared" si="69"/>
        <v>475.05117993044036</v>
      </c>
      <c r="Q575" s="14">
        <f t="shared" si="70"/>
        <v>184.83609999999999</v>
      </c>
      <c r="R575" s="14" t="str">
        <f t="shared" si="71"/>
        <v>Mar</v>
      </c>
    </row>
    <row r="576" spans="1:18" x14ac:dyDescent="0.3">
      <c r="A576" t="s">
        <v>2185</v>
      </c>
      <c r="B576" s="1">
        <v>45283</v>
      </c>
      <c r="C576" t="s">
        <v>1077</v>
      </c>
      <c r="D576" t="s">
        <v>1443</v>
      </c>
      <c r="E576" t="s">
        <v>1564</v>
      </c>
      <c r="F576">
        <v>2</v>
      </c>
      <c r="G576" s="14">
        <v>778.56</v>
      </c>
      <c r="H576" s="17">
        <v>0.11</v>
      </c>
      <c r="I576" t="s">
        <v>1614</v>
      </c>
      <c r="J576" s="14">
        <v>1385.8368</v>
      </c>
      <c r="K576" s="14">
        <f t="shared" si="64"/>
        <v>478700.36483188468</v>
      </c>
      <c r="L576" s="14">
        <f t="shared" si="65"/>
        <v>475</v>
      </c>
      <c r="M576" s="14" t="str">
        <f t="shared" si="66"/>
        <v>23-12-2023</v>
      </c>
      <c r="N576" s="14">
        <f t="shared" si="67"/>
        <v>0.15516375387336512</v>
      </c>
      <c r="O576" s="20">
        <f t="shared" si="68"/>
        <v>2.5031003628125545</v>
      </c>
      <c r="P576" s="14">
        <f t="shared" si="69"/>
        <v>475.27350519724547</v>
      </c>
      <c r="Q576" s="14">
        <f t="shared" si="70"/>
        <v>541.62670000000003</v>
      </c>
      <c r="R576" s="14" t="str">
        <f t="shared" si="71"/>
        <v>Dec</v>
      </c>
    </row>
    <row r="577" spans="1:18" x14ac:dyDescent="0.3">
      <c r="A577" t="s">
        <v>2186</v>
      </c>
      <c r="B577" s="1">
        <v>45353</v>
      </c>
      <c r="C577" t="s">
        <v>761</v>
      </c>
      <c r="D577" t="s">
        <v>1433</v>
      </c>
      <c r="E577" t="s">
        <v>1598</v>
      </c>
      <c r="F577">
        <v>4</v>
      </c>
      <c r="G577" s="14">
        <v>280.16000000000003</v>
      </c>
      <c r="H577" s="17">
        <v>0.18</v>
      </c>
      <c r="I577" t="s">
        <v>1614</v>
      </c>
      <c r="J577" s="14">
        <v>918.92480000000012</v>
      </c>
      <c r="K577" s="14">
        <f t="shared" si="64"/>
        <v>478700.36483188468</v>
      </c>
      <c r="L577" s="14">
        <f t="shared" si="65"/>
        <v>475</v>
      </c>
      <c r="M577" s="14" t="str">
        <f t="shared" si="66"/>
        <v>02-03-2024</v>
      </c>
      <c r="N577" s="14">
        <f t="shared" si="67"/>
        <v>0.15519549228086574</v>
      </c>
      <c r="O577" s="20">
        <f t="shared" si="68"/>
        <v>2.5034539119079962</v>
      </c>
      <c r="P577" s="14">
        <f t="shared" si="69"/>
        <v>475.06037343701871</v>
      </c>
      <c r="Q577" s="14">
        <f t="shared" si="70"/>
        <v>300.81620000000004</v>
      </c>
      <c r="R577" s="14" t="str">
        <f t="shared" si="71"/>
        <v>Mar</v>
      </c>
    </row>
    <row r="578" spans="1:18" x14ac:dyDescent="0.3">
      <c r="A578" t="s">
        <v>2187</v>
      </c>
      <c r="B578" s="1">
        <v>45592</v>
      </c>
      <c r="C578" t="s">
        <v>911</v>
      </c>
      <c r="D578" t="s">
        <v>1475</v>
      </c>
      <c r="E578" t="s">
        <v>1582</v>
      </c>
      <c r="F578">
        <v>2</v>
      </c>
      <c r="G578" s="14">
        <v>649.54999999999995</v>
      </c>
      <c r="H578" s="17">
        <v>0.28999999999999998</v>
      </c>
      <c r="I578" t="s">
        <v>1611</v>
      </c>
      <c r="J578" s="14">
        <v>922.36099999999988</v>
      </c>
      <c r="K578" s="14">
        <f t="shared" ref="K578:K641" si="72">SUMIF(I578:I2577,"Credit Card",J578:J2577)</f>
        <v>478700.36483188468</v>
      </c>
      <c r="L578" s="14">
        <f t="shared" ref="L578:L641" si="73">COUNTIF(I578:I2577,"Credit Card")</f>
        <v>475</v>
      </c>
      <c r="M578" s="14" t="str">
        <f t="shared" ref="M578:M641" si="74">TEXT(B578:B2577,"dd-mm-yyyy")</f>
        <v>27-10-2024</v>
      </c>
      <c r="N578" s="14">
        <f t="shared" ref="N578:N641" si="75">AVERAGE(H578:H2577)</f>
        <v>0.15517804888584524</v>
      </c>
      <c r="O578" s="20">
        <f t="shared" ref="O578:O641" si="76">AVERAGE(F578:F2577)</f>
        <v>2.5024014884986485</v>
      </c>
      <c r="P578" s="14">
        <f t="shared" ref="P578:P641" si="77">AVERAGE(G578:G2577)</f>
        <v>475.19743417783235</v>
      </c>
      <c r="Q578" s="14">
        <f t="shared" ref="Q578:Q641" si="78">AVERAGE(F578,G578,H578,J578)</f>
        <v>393.55024999999995</v>
      </c>
      <c r="R578" s="14" t="str">
        <f t="shared" ref="R578:R641" si="79">TEXT(M578,"mmm")</f>
        <v>Oct</v>
      </c>
    </row>
    <row r="579" spans="1:18" x14ac:dyDescent="0.3">
      <c r="A579" t="s">
        <v>2188</v>
      </c>
      <c r="B579" s="1">
        <v>45360</v>
      </c>
      <c r="C579" t="s">
        <v>40</v>
      </c>
      <c r="D579" t="s">
        <v>1509</v>
      </c>
      <c r="E579" t="s">
        <v>1546</v>
      </c>
      <c r="F579">
        <v>2</v>
      </c>
      <c r="G579" s="14">
        <v>994.32</v>
      </c>
      <c r="H579" s="17">
        <v>0.27</v>
      </c>
      <c r="I579" t="s">
        <v>1611</v>
      </c>
      <c r="J579" s="14">
        <v>1451.7072000000001</v>
      </c>
      <c r="K579" s="14">
        <f t="shared" si="72"/>
        <v>478700.36483188468</v>
      </c>
      <c r="L579" s="14">
        <f t="shared" si="73"/>
        <v>475</v>
      </c>
      <c r="M579" s="14" t="str">
        <f t="shared" si="74"/>
        <v>09-03-2024</v>
      </c>
      <c r="N579" s="14">
        <f t="shared" si="75"/>
        <v>0.15508317066549748</v>
      </c>
      <c r="O579" s="20">
        <f t="shared" si="76"/>
        <v>2.5027550433814767</v>
      </c>
      <c r="P579" s="14">
        <f t="shared" si="77"/>
        <v>475.07473708717635</v>
      </c>
      <c r="Q579" s="14">
        <f t="shared" si="78"/>
        <v>612.07429999999999</v>
      </c>
      <c r="R579" s="14" t="str">
        <f t="shared" si="79"/>
        <v>Mar</v>
      </c>
    </row>
    <row r="580" spans="1:18" x14ac:dyDescent="0.3">
      <c r="A580" t="s">
        <v>2189</v>
      </c>
      <c r="B580" s="1">
        <v>45649</v>
      </c>
      <c r="C580" t="s">
        <v>722</v>
      </c>
      <c r="D580" t="s">
        <v>1495</v>
      </c>
      <c r="E580" t="s">
        <v>1579</v>
      </c>
      <c r="F580">
        <v>1</v>
      </c>
      <c r="G580" s="14">
        <v>64.94</v>
      </c>
      <c r="H580" s="17">
        <v>0.21</v>
      </c>
      <c r="I580" t="s">
        <v>1611</v>
      </c>
      <c r="J580" s="14">
        <v>51.302599999999998</v>
      </c>
      <c r="K580" s="14">
        <f t="shared" si="72"/>
        <v>478700.36483188468</v>
      </c>
      <c r="L580" s="14">
        <f t="shared" si="73"/>
        <v>475</v>
      </c>
      <c r="M580" s="14" t="str">
        <f t="shared" si="74"/>
        <v>23-12-2024</v>
      </c>
      <c r="N580" s="14">
        <f t="shared" si="75"/>
        <v>0.15500224332089574</v>
      </c>
      <c r="O580" s="20">
        <f t="shared" si="76"/>
        <v>2.5031090962289286</v>
      </c>
      <c r="P580" s="14">
        <f t="shared" si="77"/>
        <v>474.70907140906871</v>
      </c>
      <c r="Q580" s="14">
        <f t="shared" si="78"/>
        <v>29.363149999999997</v>
      </c>
      <c r="R580" s="14" t="str">
        <f t="shared" si="79"/>
        <v>Dec</v>
      </c>
    </row>
    <row r="581" spans="1:18" x14ac:dyDescent="0.3">
      <c r="A581" t="s">
        <v>2190</v>
      </c>
      <c r="B581" s="1">
        <v>45709</v>
      </c>
      <c r="C581" t="s">
        <v>464</v>
      </c>
      <c r="D581" t="s">
        <v>1411</v>
      </c>
      <c r="E581" t="s">
        <v>1564</v>
      </c>
      <c r="F581">
        <v>2</v>
      </c>
      <c r="G581" s="14">
        <v>507.66</v>
      </c>
      <c r="H581" s="17">
        <v>0.15</v>
      </c>
      <c r="I581" t="s">
        <v>1614</v>
      </c>
      <c r="J581" s="14">
        <v>1015.32</v>
      </c>
      <c r="K581" s="14">
        <f t="shared" si="72"/>
        <v>478700.36483188468</v>
      </c>
      <c r="L581" s="14">
        <f t="shared" si="73"/>
        <v>475</v>
      </c>
      <c r="M581" s="14" t="str">
        <f t="shared" si="74"/>
        <v>21-02-2025</v>
      </c>
      <c r="N581" s="14">
        <f t="shared" si="75"/>
        <v>0.15496348521189002</v>
      </c>
      <c r="O581" s="20">
        <f t="shared" si="76"/>
        <v>2.5041683697287374</v>
      </c>
      <c r="P581" s="14">
        <f t="shared" si="77"/>
        <v>474.99784453902578</v>
      </c>
      <c r="Q581" s="14">
        <f t="shared" si="78"/>
        <v>381.28250000000003</v>
      </c>
      <c r="R581" s="14" t="str">
        <f t="shared" si="79"/>
        <v>Feb</v>
      </c>
    </row>
    <row r="582" spans="1:18" x14ac:dyDescent="0.3">
      <c r="A582" t="s">
        <v>2191</v>
      </c>
      <c r="B582" s="1">
        <v>45273</v>
      </c>
      <c r="C582" t="s">
        <v>776</v>
      </c>
      <c r="D582" t="s">
        <v>1495</v>
      </c>
      <c r="E582" t="s">
        <v>1554</v>
      </c>
      <c r="F582">
        <v>4</v>
      </c>
      <c r="G582" s="14">
        <v>968.27</v>
      </c>
      <c r="H582" s="17">
        <v>0.03</v>
      </c>
      <c r="I582" t="s">
        <v>1611</v>
      </c>
      <c r="J582" s="14">
        <v>3756.8876</v>
      </c>
      <c r="K582" s="14">
        <f t="shared" si="72"/>
        <v>478700.36483188468</v>
      </c>
      <c r="L582" s="14">
        <f t="shared" si="73"/>
        <v>475</v>
      </c>
      <c r="M582" s="14" t="str">
        <f t="shared" si="74"/>
        <v>13-12-2023</v>
      </c>
      <c r="N582" s="14">
        <f t="shared" si="75"/>
        <v>0.15496698555407049</v>
      </c>
      <c r="O582" s="20">
        <f t="shared" si="76"/>
        <v>2.5045239186495616</v>
      </c>
      <c r="P582" s="14">
        <f t="shared" si="77"/>
        <v>474.9748105788982</v>
      </c>
      <c r="Q582" s="14">
        <f t="shared" si="78"/>
        <v>1182.2969000000001</v>
      </c>
      <c r="R582" s="14" t="str">
        <f t="shared" si="79"/>
        <v>Dec</v>
      </c>
    </row>
    <row r="583" spans="1:18" x14ac:dyDescent="0.3">
      <c r="A583" t="s">
        <v>2192</v>
      </c>
      <c r="B583" s="1">
        <v>45250</v>
      </c>
      <c r="C583" t="s">
        <v>78</v>
      </c>
      <c r="D583" t="s">
        <v>1509</v>
      </c>
      <c r="E583" t="s">
        <v>1558</v>
      </c>
      <c r="F583">
        <v>4</v>
      </c>
      <c r="G583" s="14">
        <v>510.33</v>
      </c>
      <c r="H583" s="17">
        <v>0.2</v>
      </c>
      <c r="I583" t="s">
        <v>1611</v>
      </c>
      <c r="J583" s="14">
        <v>1633.056</v>
      </c>
      <c r="K583" s="14">
        <f t="shared" si="72"/>
        <v>478700.36483188468</v>
      </c>
      <c r="L583" s="14">
        <f t="shared" si="73"/>
        <v>475</v>
      </c>
      <c r="M583" s="14" t="str">
        <f t="shared" si="74"/>
        <v>20-11-2023</v>
      </c>
      <c r="N583" s="14">
        <f t="shared" si="75"/>
        <v>0.1550551767929936</v>
      </c>
      <c r="O583" s="20">
        <f t="shared" si="76"/>
        <v>2.5034685367996321</v>
      </c>
      <c r="P583" s="14">
        <f t="shared" si="77"/>
        <v>474.62668412200253</v>
      </c>
      <c r="Q583" s="14">
        <f t="shared" si="78"/>
        <v>536.89650000000006</v>
      </c>
      <c r="R583" s="14" t="str">
        <f t="shared" si="79"/>
        <v>Nov</v>
      </c>
    </row>
    <row r="584" spans="1:18" x14ac:dyDescent="0.3">
      <c r="A584" t="s">
        <v>2193</v>
      </c>
      <c r="B584" s="1">
        <v>45539</v>
      </c>
      <c r="C584" t="s">
        <v>55</v>
      </c>
      <c r="D584" t="s">
        <v>1421</v>
      </c>
      <c r="E584" t="s">
        <v>1598</v>
      </c>
      <c r="F584">
        <v>2</v>
      </c>
      <c r="G584" s="14">
        <v>156.72999999999999</v>
      </c>
      <c r="H584" s="17">
        <v>0.18</v>
      </c>
      <c r="I584" t="s">
        <v>1614</v>
      </c>
      <c r="J584" s="14">
        <v>257.03719999999998</v>
      </c>
      <c r="K584" s="14">
        <f t="shared" si="72"/>
        <v>478700.36483188468</v>
      </c>
      <c r="L584" s="14">
        <f t="shared" si="73"/>
        <v>475</v>
      </c>
      <c r="M584" s="14" t="str">
        <f t="shared" si="74"/>
        <v>04-09-2024</v>
      </c>
      <c r="N584" s="14">
        <f t="shared" si="75"/>
        <v>0.15502343609863839</v>
      </c>
      <c r="O584" s="20">
        <f t="shared" si="76"/>
        <v>2.5024116642973717</v>
      </c>
      <c r="P584" s="14">
        <f t="shared" si="77"/>
        <v>474.60146991587396</v>
      </c>
      <c r="Q584" s="14">
        <f t="shared" si="78"/>
        <v>103.98679999999999</v>
      </c>
      <c r="R584" s="14" t="str">
        <f t="shared" si="79"/>
        <v>Sep</v>
      </c>
    </row>
    <row r="585" spans="1:18" x14ac:dyDescent="0.3">
      <c r="A585" t="s">
        <v>2194</v>
      </c>
      <c r="B585" s="1">
        <v>45810</v>
      </c>
      <c r="C585" t="s">
        <v>481</v>
      </c>
      <c r="D585" t="s">
        <v>1531</v>
      </c>
      <c r="E585" t="s">
        <v>1574</v>
      </c>
      <c r="F585">
        <v>3</v>
      </c>
      <c r="G585" s="14">
        <v>53.83</v>
      </c>
      <c r="H585" s="17">
        <v>0.24</v>
      </c>
      <c r="I585" t="s">
        <v>1609</v>
      </c>
      <c r="J585" s="14">
        <v>122.7324</v>
      </c>
      <c r="K585" s="14">
        <f t="shared" si="72"/>
        <v>478700.36483188468</v>
      </c>
      <c r="L585" s="14">
        <f t="shared" si="73"/>
        <v>475</v>
      </c>
      <c r="M585" s="14" t="str">
        <f t="shared" si="74"/>
        <v>02-06-2025</v>
      </c>
      <c r="N585" s="14">
        <f t="shared" si="75"/>
        <v>0.15500578481672928</v>
      </c>
      <c r="O585" s="20">
        <f t="shared" si="76"/>
        <v>2.502766725544225</v>
      </c>
      <c r="P585" s="14">
        <f t="shared" si="77"/>
        <v>474.82611406422444</v>
      </c>
      <c r="Q585" s="14">
        <f t="shared" si="78"/>
        <v>44.950600000000001</v>
      </c>
      <c r="R585" s="14" t="str">
        <f t="shared" si="79"/>
        <v>Jun</v>
      </c>
    </row>
    <row r="586" spans="1:18" x14ac:dyDescent="0.3">
      <c r="A586" t="s">
        <v>2195</v>
      </c>
      <c r="B586" s="1">
        <v>45350</v>
      </c>
      <c r="C586" t="s">
        <v>1178</v>
      </c>
      <c r="D586" t="s">
        <v>1489</v>
      </c>
      <c r="E586" t="s">
        <v>1554</v>
      </c>
      <c r="F586">
        <v>1</v>
      </c>
      <c r="G586" s="14">
        <v>34.71</v>
      </c>
      <c r="H586" s="17">
        <v>0.1</v>
      </c>
      <c r="I586" t="s">
        <v>1614</v>
      </c>
      <c r="J586" s="14">
        <v>31.239000000000001</v>
      </c>
      <c r="K586" s="14">
        <f t="shared" si="72"/>
        <v>478577.6324318847</v>
      </c>
      <c r="L586" s="14">
        <f t="shared" si="73"/>
        <v>474</v>
      </c>
      <c r="M586" s="14" t="str">
        <f t="shared" si="74"/>
        <v>28-02-2024</v>
      </c>
      <c r="N586" s="14">
        <f t="shared" si="75"/>
        <v>0.15494567575365767</v>
      </c>
      <c r="O586" s="20">
        <f t="shared" si="76"/>
        <v>2.5024150754208474</v>
      </c>
      <c r="P586" s="14">
        <f t="shared" si="77"/>
        <v>475.12384823258668</v>
      </c>
      <c r="Q586" s="14">
        <f t="shared" si="78"/>
        <v>16.762250000000002</v>
      </c>
      <c r="R586" s="14" t="str">
        <f t="shared" si="79"/>
        <v>Feb</v>
      </c>
    </row>
    <row r="587" spans="1:18" x14ac:dyDescent="0.3">
      <c r="A587" t="s">
        <v>2196</v>
      </c>
      <c r="B587" s="1">
        <v>45633</v>
      </c>
      <c r="C587" t="s">
        <v>737</v>
      </c>
      <c r="D587" t="s">
        <v>1487</v>
      </c>
      <c r="E587" t="s">
        <v>1542</v>
      </c>
      <c r="F587">
        <v>2</v>
      </c>
      <c r="G587" s="14">
        <v>829.15</v>
      </c>
      <c r="H587" s="17">
        <v>0.11</v>
      </c>
      <c r="I587" t="s">
        <v>1611</v>
      </c>
      <c r="J587" s="14">
        <v>1475.8869999999999</v>
      </c>
      <c r="K587" s="14">
        <f t="shared" si="72"/>
        <v>478577.6324318847</v>
      </c>
      <c r="L587" s="14">
        <f t="shared" si="73"/>
        <v>474</v>
      </c>
      <c r="M587" s="14" t="str">
        <f t="shared" si="74"/>
        <v>07-12-2024</v>
      </c>
      <c r="N587" s="14">
        <f t="shared" si="75"/>
        <v>0.15498456158221655</v>
      </c>
      <c r="O587" s="20">
        <f t="shared" si="76"/>
        <v>2.5034783557290008</v>
      </c>
      <c r="P587" s="14">
        <f t="shared" si="77"/>
        <v>475.43553531555386</v>
      </c>
      <c r="Q587" s="14">
        <f t="shared" si="78"/>
        <v>576.78674999999998</v>
      </c>
      <c r="R587" s="14" t="str">
        <f t="shared" si="79"/>
        <v>Dec</v>
      </c>
    </row>
    <row r="588" spans="1:18" x14ac:dyDescent="0.3">
      <c r="A588" t="s">
        <v>2197</v>
      </c>
      <c r="B588" s="1">
        <v>45798</v>
      </c>
      <c r="C588" t="s">
        <v>842</v>
      </c>
      <c r="D588" t="s">
        <v>1529</v>
      </c>
      <c r="E588" t="s">
        <v>1551</v>
      </c>
      <c r="F588">
        <v>2</v>
      </c>
      <c r="G588" s="14">
        <v>481.86</v>
      </c>
      <c r="H588" s="17">
        <v>0.1</v>
      </c>
      <c r="I588" t="s">
        <v>1614</v>
      </c>
      <c r="J588" s="14">
        <v>867.34800000000007</v>
      </c>
      <c r="K588" s="14">
        <f t="shared" si="72"/>
        <v>478577.6324318847</v>
      </c>
      <c r="L588" s="14">
        <f t="shared" si="73"/>
        <v>474</v>
      </c>
      <c r="M588" s="14" t="str">
        <f t="shared" si="74"/>
        <v>21-05-2025</v>
      </c>
      <c r="N588" s="14">
        <f t="shared" si="75"/>
        <v>0.15501642033687818</v>
      </c>
      <c r="O588" s="20">
        <f t="shared" si="76"/>
        <v>2.5038349268024636</v>
      </c>
      <c r="P588" s="14">
        <f t="shared" si="77"/>
        <v>475.18502932073483</v>
      </c>
      <c r="Q588" s="14">
        <f t="shared" si="78"/>
        <v>337.827</v>
      </c>
      <c r="R588" s="14" t="str">
        <f t="shared" si="79"/>
        <v>May</v>
      </c>
    </row>
    <row r="589" spans="1:18" x14ac:dyDescent="0.3">
      <c r="A589" t="s">
        <v>2198</v>
      </c>
      <c r="B589" s="1">
        <v>45354</v>
      </c>
      <c r="C589" t="s">
        <v>496</v>
      </c>
      <c r="D589" t="s">
        <v>1437</v>
      </c>
      <c r="E589" t="s">
        <v>1564</v>
      </c>
      <c r="F589">
        <v>4</v>
      </c>
      <c r="G589" s="14">
        <v>915.17</v>
      </c>
      <c r="H589" s="17">
        <v>0.19</v>
      </c>
      <c r="I589" t="s">
        <v>1614</v>
      </c>
      <c r="J589" s="14">
        <v>2965.1507999999999</v>
      </c>
      <c r="K589" s="14">
        <f t="shared" si="72"/>
        <v>478577.6324318847</v>
      </c>
      <c r="L589" s="14">
        <f t="shared" si="73"/>
        <v>474</v>
      </c>
      <c r="M589" s="14" t="str">
        <f t="shared" si="74"/>
        <v>03-03-2024</v>
      </c>
      <c r="N589" s="14">
        <f t="shared" si="75"/>
        <v>0.15505541142145426</v>
      </c>
      <c r="O589" s="20">
        <f t="shared" si="76"/>
        <v>2.5041920032920468</v>
      </c>
      <c r="P589" s="14">
        <f t="shared" si="77"/>
        <v>475.18029865405924</v>
      </c>
      <c r="Q589" s="14">
        <f t="shared" si="78"/>
        <v>971.1277</v>
      </c>
      <c r="R589" s="14" t="str">
        <f t="shared" si="79"/>
        <v>Mar</v>
      </c>
    </row>
    <row r="590" spans="1:18" x14ac:dyDescent="0.3">
      <c r="A590" t="s">
        <v>2199</v>
      </c>
      <c r="B590" s="1">
        <v>45357</v>
      </c>
      <c r="C590" t="s">
        <v>696</v>
      </c>
      <c r="D590" t="s">
        <v>1475</v>
      </c>
      <c r="E590" t="s">
        <v>1595</v>
      </c>
      <c r="F590">
        <v>1</v>
      </c>
      <c r="G590" s="14">
        <v>250.95</v>
      </c>
      <c r="H590" s="17">
        <v>0.03</v>
      </c>
      <c r="I590" t="s">
        <v>1611</v>
      </c>
      <c r="J590" s="14">
        <v>243.42150000000001</v>
      </c>
      <c r="K590" s="14">
        <f t="shared" si="72"/>
        <v>478577.6324318847</v>
      </c>
      <c r="L590" s="14">
        <f t="shared" si="73"/>
        <v>474</v>
      </c>
      <c r="M590" s="14" t="str">
        <f t="shared" si="74"/>
        <v>06-03-2024</v>
      </c>
      <c r="N590" s="14">
        <f t="shared" si="75"/>
        <v>0.15503062802529927</v>
      </c>
      <c r="O590" s="20">
        <f t="shared" si="76"/>
        <v>2.5031311465567931</v>
      </c>
      <c r="P590" s="14">
        <f t="shared" si="77"/>
        <v>474.86824922048049</v>
      </c>
      <c r="Q590" s="14">
        <f t="shared" si="78"/>
        <v>123.850375</v>
      </c>
      <c r="R590" s="14" t="str">
        <f t="shared" si="79"/>
        <v>Mar</v>
      </c>
    </row>
    <row r="591" spans="1:18" x14ac:dyDescent="0.3">
      <c r="A591" t="s">
        <v>2200</v>
      </c>
      <c r="B591" s="1">
        <v>45257</v>
      </c>
      <c r="C591" t="s">
        <v>1023</v>
      </c>
      <c r="D591" t="s">
        <v>1525</v>
      </c>
      <c r="E591" t="s">
        <v>1558</v>
      </c>
      <c r="F591">
        <v>3</v>
      </c>
      <c r="G591" s="14">
        <v>882.84</v>
      </c>
      <c r="H591" s="17">
        <v>0.1</v>
      </c>
      <c r="I591" t="s">
        <v>1609</v>
      </c>
      <c r="J591" s="14">
        <v>2383.6680000000001</v>
      </c>
      <c r="K591" s="14">
        <f t="shared" si="72"/>
        <v>478577.6324318847</v>
      </c>
      <c r="L591" s="14">
        <f t="shared" si="73"/>
        <v>474</v>
      </c>
      <c r="M591" s="14" t="str">
        <f t="shared" si="74"/>
        <v>27-11-2023</v>
      </c>
      <c r="N591" s="14">
        <f t="shared" si="75"/>
        <v>0.15511936516371327</v>
      </c>
      <c r="O591" s="20">
        <f t="shared" si="76"/>
        <v>2.5041979536160954</v>
      </c>
      <c r="P591" s="14">
        <f t="shared" si="77"/>
        <v>475.02716919863559</v>
      </c>
      <c r="Q591" s="14">
        <f t="shared" si="78"/>
        <v>817.40200000000004</v>
      </c>
      <c r="R591" s="14" t="str">
        <f t="shared" si="79"/>
        <v>Nov</v>
      </c>
    </row>
    <row r="592" spans="1:18" x14ac:dyDescent="0.3">
      <c r="A592" t="s">
        <v>2201</v>
      </c>
      <c r="B592" s="1">
        <v>45702</v>
      </c>
      <c r="C592" t="s">
        <v>470</v>
      </c>
      <c r="D592" t="s">
        <v>1371</v>
      </c>
      <c r="E592" t="s">
        <v>1595</v>
      </c>
      <c r="F592">
        <v>4</v>
      </c>
      <c r="G592" s="14">
        <v>573.37</v>
      </c>
      <c r="H592" s="17">
        <v>0.04</v>
      </c>
      <c r="I592" t="s">
        <v>1614</v>
      </c>
      <c r="J592" s="14">
        <v>2201.7408</v>
      </c>
      <c r="K592" s="14">
        <f t="shared" si="72"/>
        <v>476193.9644318847</v>
      </c>
      <c r="L592" s="14">
        <f t="shared" si="73"/>
        <v>473</v>
      </c>
      <c r="M592" s="14" t="str">
        <f t="shared" si="74"/>
        <v>14-02-2025</v>
      </c>
      <c r="N592" s="14">
        <f t="shared" si="75"/>
        <v>0.15515851244010792</v>
      </c>
      <c r="O592" s="20">
        <f t="shared" si="76"/>
        <v>2.5038458214808794</v>
      </c>
      <c r="P592" s="14">
        <f t="shared" si="77"/>
        <v>474.73752940403233</v>
      </c>
      <c r="Q592" s="14">
        <f t="shared" si="78"/>
        <v>694.78769999999997</v>
      </c>
      <c r="R592" s="14" t="str">
        <f t="shared" si="79"/>
        <v>Feb</v>
      </c>
    </row>
    <row r="593" spans="1:18" x14ac:dyDescent="0.3">
      <c r="A593" t="s">
        <v>2202</v>
      </c>
      <c r="B593" s="1">
        <v>45318</v>
      </c>
      <c r="C593" t="s">
        <v>218</v>
      </c>
      <c r="D593" t="s">
        <v>1397</v>
      </c>
      <c r="E593" t="s">
        <v>1579</v>
      </c>
      <c r="F593">
        <v>3</v>
      </c>
      <c r="G593" s="14">
        <v>622.72</v>
      </c>
      <c r="H593" s="17">
        <v>0.04</v>
      </c>
      <c r="I593" t="s">
        <v>1609</v>
      </c>
      <c r="J593" s="14">
        <v>1793.4336000000001</v>
      </c>
      <c r="K593" s="14">
        <f t="shared" si="72"/>
        <v>476193.9644318847</v>
      </c>
      <c r="L593" s="14">
        <f t="shared" si="73"/>
        <v>473</v>
      </c>
      <c r="M593" s="14" t="str">
        <f t="shared" si="74"/>
        <v>27-01-2024</v>
      </c>
      <c r="N593" s="14">
        <f t="shared" si="75"/>
        <v>0.15524035928619187</v>
      </c>
      <c r="O593" s="20">
        <f t="shared" si="76"/>
        <v>2.5027824567484562</v>
      </c>
      <c r="P593" s="14">
        <f t="shared" si="77"/>
        <v>474.66742814561303</v>
      </c>
      <c r="Q593" s="14">
        <f t="shared" si="78"/>
        <v>604.79840000000002</v>
      </c>
      <c r="R593" s="14" t="str">
        <f t="shared" si="79"/>
        <v>Jan</v>
      </c>
    </row>
    <row r="594" spans="1:18" x14ac:dyDescent="0.3">
      <c r="A594" t="s">
        <v>2203</v>
      </c>
      <c r="B594" s="1">
        <v>45943</v>
      </c>
      <c r="C594" t="s">
        <v>1209</v>
      </c>
      <c r="D594" t="s">
        <v>1517</v>
      </c>
      <c r="E594" t="s">
        <v>1592</v>
      </c>
      <c r="F594">
        <v>3</v>
      </c>
      <c r="G594" s="14">
        <v>259.74</v>
      </c>
      <c r="H594" s="17">
        <v>0.24</v>
      </c>
      <c r="I594" t="s">
        <v>1609</v>
      </c>
      <c r="J594" s="14">
        <v>592.20720000000006</v>
      </c>
      <c r="K594" s="14">
        <f t="shared" si="72"/>
        <v>474400.53083188465</v>
      </c>
      <c r="L594" s="14">
        <f t="shared" si="73"/>
        <v>472</v>
      </c>
      <c r="M594" s="14" t="str">
        <f t="shared" si="74"/>
        <v>13-10-2025</v>
      </c>
      <c r="N594" s="14">
        <f t="shared" si="75"/>
        <v>0.15532232255737694</v>
      </c>
      <c r="O594" s="20">
        <f t="shared" si="76"/>
        <v>2.5024288169595148</v>
      </c>
      <c r="P594" s="14">
        <f t="shared" si="77"/>
        <v>474.56212759664123</v>
      </c>
      <c r="Q594" s="14">
        <f t="shared" si="78"/>
        <v>213.79680000000002</v>
      </c>
      <c r="R594" s="14" t="str">
        <f t="shared" si="79"/>
        <v>Oct</v>
      </c>
    </row>
    <row r="595" spans="1:18" x14ac:dyDescent="0.3">
      <c r="A595" t="s">
        <v>2204</v>
      </c>
      <c r="B595" s="1">
        <v>45769</v>
      </c>
      <c r="C595" t="s">
        <v>205</v>
      </c>
      <c r="D595" t="s">
        <v>1389</v>
      </c>
      <c r="E595" t="s">
        <v>1582</v>
      </c>
      <c r="F595">
        <v>4</v>
      </c>
      <c r="G595" s="14">
        <v>951.09</v>
      </c>
      <c r="H595" s="17">
        <v>0.14000000000000001</v>
      </c>
      <c r="I595" t="s">
        <v>1614</v>
      </c>
      <c r="J595" s="14">
        <v>3271.7496000000001</v>
      </c>
      <c r="K595" s="14">
        <f t="shared" si="72"/>
        <v>473808.32363188465</v>
      </c>
      <c r="L595" s="14">
        <f t="shared" si="73"/>
        <v>471</v>
      </c>
      <c r="M595" s="14" t="str">
        <f t="shared" si="74"/>
        <v>22-04-2025</v>
      </c>
      <c r="N595" s="14">
        <f t="shared" si="75"/>
        <v>0.15526205374780921</v>
      </c>
      <c r="O595" s="20">
        <f t="shared" si="76"/>
        <v>2.5020746737687389</v>
      </c>
      <c r="P595" s="14">
        <f t="shared" si="77"/>
        <v>474.71502590809786</v>
      </c>
      <c r="Q595" s="14">
        <f t="shared" si="78"/>
        <v>1056.7449000000001</v>
      </c>
      <c r="R595" s="14" t="str">
        <f t="shared" si="79"/>
        <v>Apr</v>
      </c>
    </row>
    <row r="596" spans="1:18" x14ac:dyDescent="0.3">
      <c r="A596" t="s">
        <v>2205</v>
      </c>
      <c r="B596" s="1">
        <v>45765</v>
      </c>
      <c r="C596" t="s">
        <v>651</v>
      </c>
      <c r="D596" t="s">
        <v>1531</v>
      </c>
      <c r="E596" t="s">
        <v>1546</v>
      </c>
      <c r="F596">
        <v>1</v>
      </c>
      <c r="G596" s="14">
        <v>71.709999999999994</v>
      </c>
      <c r="H596" s="17">
        <v>0.23</v>
      </c>
      <c r="I596" t="s">
        <v>1614</v>
      </c>
      <c r="J596" s="14">
        <v>55.216700000000003</v>
      </c>
      <c r="K596" s="14">
        <f t="shared" si="72"/>
        <v>473808.32363188465</v>
      </c>
      <c r="L596" s="14">
        <f t="shared" si="73"/>
        <v>471</v>
      </c>
      <c r="M596" s="14" t="str">
        <f t="shared" si="74"/>
        <v>18-04-2025</v>
      </c>
      <c r="N596" s="14">
        <f t="shared" si="75"/>
        <v>0.15527292415646152</v>
      </c>
      <c r="O596" s="20">
        <f t="shared" si="76"/>
        <v>2.5010077753882323</v>
      </c>
      <c r="P596" s="14">
        <f t="shared" si="77"/>
        <v>474.3757274935025</v>
      </c>
      <c r="Q596" s="14">
        <f t="shared" si="78"/>
        <v>32.039175</v>
      </c>
      <c r="R596" s="14" t="str">
        <f t="shared" si="79"/>
        <v>Apr</v>
      </c>
    </row>
    <row r="597" spans="1:18" x14ac:dyDescent="0.3">
      <c r="A597" t="s">
        <v>2206</v>
      </c>
      <c r="B597" s="1">
        <v>45891</v>
      </c>
      <c r="C597" t="s">
        <v>574</v>
      </c>
      <c r="D597" t="s">
        <v>1373</v>
      </c>
      <c r="E597" t="s">
        <v>1564</v>
      </c>
      <c r="F597">
        <v>4</v>
      </c>
      <c r="G597" s="14">
        <v>894.93</v>
      </c>
      <c r="H597" s="17">
        <v>0.05</v>
      </c>
      <c r="I597" t="s">
        <v>1614</v>
      </c>
      <c r="J597" s="14">
        <v>3400.733999999999</v>
      </c>
      <c r="K597" s="14">
        <f t="shared" si="72"/>
        <v>473808.32363188465</v>
      </c>
      <c r="L597" s="14">
        <f t="shared" si="73"/>
        <v>471</v>
      </c>
      <c r="M597" s="14" t="str">
        <f t="shared" si="74"/>
        <v>22-08-2025</v>
      </c>
      <c r="N597" s="14">
        <f t="shared" si="75"/>
        <v>0.15521966180732144</v>
      </c>
      <c r="O597" s="20">
        <f t="shared" si="76"/>
        <v>2.5020776312509465</v>
      </c>
      <c r="P597" s="14">
        <f t="shared" si="77"/>
        <v>474.66273086306313</v>
      </c>
      <c r="Q597" s="14">
        <f t="shared" si="78"/>
        <v>1074.9284999999998</v>
      </c>
      <c r="R597" s="14" t="str">
        <f t="shared" si="79"/>
        <v>Aug</v>
      </c>
    </row>
    <row r="598" spans="1:18" x14ac:dyDescent="0.3">
      <c r="A598" t="s">
        <v>2207</v>
      </c>
      <c r="B598" s="1">
        <v>45842</v>
      </c>
      <c r="C598" t="s">
        <v>660</v>
      </c>
      <c r="D598" t="s">
        <v>1489</v>
      </c>
      <c r="E598" t="s">
        <v>1567</v>
      </c>
      <c r="F598">
        <v>4</v>
      </c>
      <c r="G598" s="14">
        <v>870.18</v>
      </c>
      <c r="H598" s="17">
        <v>0.13</v>
      </c>
      <c r="I598" t="s">
        <v>1614</v>
      </c>
      <c r="J598" s="14">
        <v>3028.2264</v>
      </c>
      <c r="K598" s="14">
        <f t="shared" si="72"/>
        <v>473808.32363188465</v>
      </c>
      <c r="L598" s="14">
        <f t="shared" si="73"/>
        <v>471</v>
      </c>
      <c r="M598" s="14" t="str">
        <f t="shared" si="74"/>
        <v>04-07-2025</v>
      </c>
      <c r="N598" s="14">
        <f t="shared" si="75"/>
        <v>0.15529471149477314</v>
      </c>
      <c r="O598" s="20">
        <f t="shared" si="76"/>
        <v>2.5010092130136075</v>
      </c>
      <c r="P598" s="14">
        <f t="shared" si="77"/>
        <v>474.36296818892833</v>
      </c>
      <c r="Q598" s="14">
        <f t="shared" si="78"/>
        <v>975.63409999999999</v>
      </c>
      <c r="R598" s="14" t="str">
        <f t="shared" si="79"/>
        <v>Jul</v>
      </c>
    </row>
    <row r="599" spans="1:18" x14ac:dyDescent="0.3">
      <c r="A599" t="s">
        <v>2208</v>
      </c>
      <c r="B599" s="1">
        <v>45382</v>
      </c>
      <c r="C599" t="s">
        <v>884</v>
      </c>
      <c r="D599" t="s">
        <v>1461</v>
      </c>
      <c r="E599" t="s">
        <v>1546</v>
      </c>
      <c r="F599">
        <v>2</v>
      </c>
      <c r="G599" s="14">
        <v>552.72</v>
      </c>
      <c r="H599" s="17">
        <v>0.06</v>
      </c>
      <c r="I599" t="s">
        <v>1611</v>
      </c>
      <c r="J599" s="14">
        <v>1039.1135999999999</v>
      </c>
      <c r="K599" s="14">
        <f t="shared" si="72"/>
        <v>473808.32363188465</v>
      </c>
      <c r="L599" s="14">
        <f t="shared" si="73"/>
        <v>471</v>
      </c>
      <c r="M599" s="14" t="str">
        <f t="shared" si="74"/>
        <v>31-03-2024</v>
      </c>
      <c r="N599" s="14">
        <f t="shared" si="75"/>
        <v>0.1553127662495874</v>
      </c>
      <c r="O599" s="20">
        <f t="shared" si="76"/>
        <v>2.4999392695539453</v>
      </c>
      <c r="P599" s="14">
        <f t="shared" si="77"/>
        <v>474.08044354095472</v>
      </c>
      <c r="Q599" s="14">
        <f t="shared" si="78"/>
        <v>398.47339999999997</v>
      </c>
      <c r="R599" s="14" t="str">
        <f t="shared" si="79"/>
        <v>Mar</v>
      </c>
    </row>
    <row r="600" spans="1:18" x14ac:dyDescent="0.3">
      <c r="A600" t="s">
        <v>2209</v>
      </c>
      <c r="B600" s="1">
        <v>45236</v>
      </c>
      <c r="C600" t="s">
        <v>788</v>
      </c>
      <c r="D600" t="s">
        <v>1411</v>
      </c>
      <c r="E600" t="s">
        <v>1567</v>
      </c>
      <c r="F600">
        <v>3</v>
      </c>
      <c r="G600" s="14">
        <v>700.43</v>
      </c>
      <c r="H600" s="17">
        <v>0.01</v>
      </c>
      <c r="I600" t="s">
        <v>1614</v>
      </c>
      <c r="J600" s="14">
        <v>2080.2770999999998</v>
      </c>
      <c r="K600" s="14">
        <f t="shared" si="72"/>
        <v>473808.32363188465</v>
      </c>
      <c r="L600" s="14">
        <f t="shared" si="73"/>
        <v>471</v>
      </c>
      <c r="M600" s="14" t="str">
        <f t="shared" si="74"/>
        <v>06-11-2023</v>
      </c>
      <c r="N600" s="14">
        <f t="shared" si="75"/>
        <v>0.15538084679690856</v>
      </c>
      <c r="O600" s="20">
        <f t="shared" si="76"/>
        <v>2.5002963690321982</v>
      </c>
      <c r="P600" s="14">
        <f t="shared" si="77"/>
        <v>474.02427242919828</v>
      </c>
      <c r="Q600" s="14">
        <f t="shared" si="78"/>
        <v>695.92927499999996</v>
      </c>
      <c r="R600" s="14" t="str">
        <f t="shared" si="79"/>
        <v>Nov</v>
      </c>
    </row>
    <row r="601" spans="1:18" x14ac:dyDescent="0.3">
      <c r="A601" t="s">
        <v>2210</v>
      </c>
      <c r="B601" s="1">
        <v>45806</v>
      </c>
      <c r="C601" t="s">
        <v>1065</v>
      </c>
      <c r="D601" t="s">
        <v>1350</v>
      </c>
      <c r="E601" t="s">
        <v>1546</v>
      </c>
      <c r="F601">
        <v>2</v>
      </c>
      <c r="G601" s="14">
        <v>823.03</v>
      </c>
      <c r="H601" s="17">
        <v>0.18</v>
      </c>
      <c r="I601" t="s">
        <v>1611</v>
      </c>
      <c r="J601" s="14">
        <v>1349.7692</v>
      </c>
      <c r="K601" s="14">
        <f t="shared" si="72"/>
        <v>473808.32363188465</v>
      </c>
      <c r="L601" s="14">
        <f t="shared" si="73"/>
        <v>471</v>
      </c>
      <c r="M601" s="14" t="str">
        <f t="shared" si="74"/>
        <v>29-05-2025</v>
      </c>
      <c r="N601" s="14">
        <f t="shared" si="75"/>
        <v>0.15548476448582699</v>
      </c>
      <c r="O601" s="20">
        <f t="shared" si="76"/>
        <v>2.4999391827341513</v>
      </c>
      <c r="P601" s="14">
        <f t="shared" si="77"/>
        <v>473.86243845666729</v>
      </c>
      <c r="Q601" s="14">
        <f t="shared" si="78"/>
        <v>543.74479999999994</v>
      </c>
      <c r="R601" s="14" t="str">
        <f t="shared" si="79"/>
        <v>May</v>
      </c>
    </row>
    <row r="602" spans="1:18" x14ac:dyDescent="0.3">
      <c r="A602" t="s">
        <v>2211</v>
      </c>
      <c r="B602" s="1">
        <v>45401</v>
      </c>
      <c r="C602" t="s">
        <v>815</v>
      </c>
      <c r="D602" t="s">
        <v>1517</v>
      </c>
      <c r="E602" t="s">
        <v>1561</v>
      </c>
      <c r="F602">
        <v>1</v>
      </c>
      <c r="G602" s="14">
        <v>117.37</v>
      </c>
      <c r="H602" s="17">
        <v>0.21</v>
      </c>
      <c r="I602" t="s">
        <v>1609</v>
      </c>
      <c r="J602" s="14">
        <v>92.722300000000004</v>
      </c>
      <c r="K602" s="14">
        <f t="shared" si="72"/>
        <v>473808.32363188465</v>
      </c>
      <c r="L602" s="14">
        <f t="shared" si="73"/>
        <v>471</v>
      </c>
      <c r="M602" s="14" t="str">
        <f t="shared" si="74"/>
        <v>19-04-2024</v>
      </c>
      <c r="N602" s="14">
        <f t="shared" si="75"/>
        <v>0.15546722855198283</v>
      </c>
      <c r="O602" s="20">
        <f t="shared" si="76"/>
        <v>2.5002967930222302</v>
      </c>
      <c r="P602" s="14">
        <f t="shared" si="77"/>
        <v>473.61267625241595</v>
      </c>
      <c r="Q602" s="14">
        <f t="shared" si="78"/>
        <v>52.825575000000001</v>
      </c>
      <c r="R602" s="14" t="str">
        <f t="shared" si="79"/>
        <v>Apr</v>
      </c>
    </row>
    <row r="603" spans="1:18" x14ac:dyDescent="0.3">
      <c r="A603" t="s">
        <v>2212</v>
      </c>
      <c r="B603" s="1">
        <v>45716</v>
      </c>
      <c r="C603" t="s">
        <v>369</v>
      </c>
      <c r="D603" t="s">
        <v>1445</v>
      </c>
      <c r="E603" t="s">
        <v>1542</v>
      </c>
      <c r="F603">
        <v>4</v>
      </c>
      <c r="G603" s="14">
        <v>165.37</v>
      </c>
      <c r="H603" s="17">
        <v>0.28999999999999998</v>
      </c>
      <c r="I603" t="s">
        <v>1609</v>
      </c>
      <c r="J603" s="14">
        <v>469.6508</v>
      </c>
      <c r="K603" s="14">
        <f t="shared" si="72"/>
        <v>473715.60133188462</v>
      </c>
      <c r="L603" s="14">
        <f t="shared" si="73"/>
        <v>470</v>
      </c>
      <c r="M603" s="14" t="str">
        <f t="shared" si="74"/>
        <v>28-02-2025</v>
      </c>
      <c r="N603" s="14">
        <f t="shared" si="75"/>
        <v>0.15542819292460411</v>
      </c>
      <c r="O603" s="20">
        <f t="shared" si="76"/>
        <v>2.5013707348926824</v>
      </c>
      <c r="P603" s="14">
        <f t="shared" si="77"/>
        <v>473.867681747228</v>
      </c>
      <c r="Q603" s="14">
        <f t="shared" si="78"/>
        <v>159.82769999999999</v>
      </c>
      <c r="R603" s="14" t="str">
        <f t="shared" si="79"/>
        <v>Feb</v>
      </c>
    </row>
    <row r="604" spans="1:18" x14ac:dyDescent="0.3">
      <c r="A604" t="s">
        <v>2213</v>
      </c>
      <c r="B604" s="1">
        <v>45718</v>
      </c>
      <c r="C604" t="s">
        <v>1181</v>
      </c>
      <c r="D604" t="s">
        <v>1342</v>
      </c>
      <c r="E604" t="s">
        <v>1574</v>
      </c>
      <c r="F604">
        <v>3</v>
      </c>
      <c r="G604" s="14">
        <v>483.06</v>
      </c>
      <c r="H604" s="17">
        <v>0.05</v>
      </c>
      <c r="I604" t="s">
        <v>1609</v>
      </c>
      <c r="J604" s="14">
        <v>1376.721</v>
      </c>
      <c r="K604" s="14">
        <f t="shared" si="72"/>
        <v>473245.95053188462</v>
      </c>
      <c r="L604" s="14">
        <f t="shared" si="73"/>
        <v>469</v>
      </c>
      <c r="M604" s="14" t="str">
        <f t="shared" si="74"/>
        <v>02-03-2025</v>
      </c>
      <c r="N604" s="14">
        <f t="shared" si="75"/>
        <v>0.15533179478199996</v>
      </c>
      <c r="O604" s="20">
        <f t="shared" si="76"/>
        <v>2.500297218227133</v>
      </c>
      <c r="P604" s="14">
        <f t="shared" si="77"/>
        <v>474.08866862527043</v>
      </c>
      <c r="Q604" s="14">
        <f t="shared" si="78"/>
        <v>465.70775000000003</v>
      </c>
      <c r="R604" s="14" t="str">
        <f t="shared" si="79"/>
        <v>Mar</v>
      </c>
    </row>
    <row r="605" spans="1:18" x14ac:dyDescent="0.3">
      <c r="A605" t="s">
        <v>2214</v>
      </c>
      <c r="B605" s="1">
        <v>45379</v>
      </c>
      <c r="C605" t="s">
        <v>929</v>
      </c>
      <c r="D605" t="s">
        <v>1495</v>
      </c>
      <c r="E605" t="s">
        <v>1564</v>
      </c>
      <c r="F605">
        <v>4</v>
      </c>
      <c r="G605" s="14">
        <v>262.05</v>
      </c>
      <c r="H605" s="17">
        <v>0.24</v>
      </c>
      <c r="I605" t="s">
        <v>1611</v>
      </c>
      <c r="J605" s="14">
        <v>796.63200000000006</v>
      </c>
      <c r="K605" s="14">
        <f t="shared" si="72"/>
        <v>471869.22953188466</v>
      </c>
      <c r="L605" s="14">
        <f t="shared" si="73"/>
        <v>468</v>
      </c>
      <c r="M605" s="14" t="str">
        <f t="shared" si="74"/>
        <v>28-03-2024</v>
      </c>
      <c r="N605" s="14">
        <f t="shared" si="75"/>
        <v>0.15540730144492615</v>
      </c>
      <c r="O605" s="20">
        <f t="shared" si="76"/>
        <v>2.499939008347726</v>
      </c>
      <c r="P605" s="14">
        <f t="shared" si="77"/>
        <v>474.08223756335309</v>
      </c>
      <c r="Q605" s="14">
        <f t="shared" si="78"/>
        <v>265.73050000000001</v>
      </c>
      <c r="R605" s="14" t="str">
        <f t="shared" si="79"/>
        <v>Mar</v>
      </c>
    </row>
    <row r="606" spans="1:18" x14ac:dyDescent="0.3">
      <c r="A606" t="s">
        <v>2215</v>
      </c>
      <c r="B606" s="1">
        <v>45635</v>
      </c>
      <c r="C606" t="s">
        <v>1284</v>
      </c>
      <c r="D606" t="s">
        <v>1361</v>
      </c>
      <c r="E606" t="s">
        <v>1584</v>
      </c>
      <c r="F606">
        <v>3</v>
      </c>
      <c r="G606" s="14">
        <v>970.89</v>
      </c>
      <c r="H606" s="17">
        <v>0.11</v>
      </c>
      <c r="I606" t="s">
        <v>1614</v>
      </c>
      <c r="J606" s="14">
        <v>2592.2763</v>
      </c>
      <c r="K606" s="14">
        <f t="shared" si="72"/>
        <v>471869.22953188466</v>
      </c>
      <c r="L606" s="14">
        <f t="shared" si="73"/>
        <v>468</v>
      </c>
      <c r="M606" s="14" t="str">
        <f t="shared" si="74"/>
        <v>09-12-2024</v>
      </c>
      <c r="N606" s="14">
        <f t="shared" si="75"/>
        <v>0.15534661801698132</v>
      </c>
      <c r="O606" s="20">
        <f t="shared" si="76"/>
        <v>2.4988629244225806</v>
      </c>
      <c r="P606" s="14">
        <f t="shared" si="77"/>
        <v>474.23434103362808</v>
      </c>
      <c r="Q606" s="14">
        <f t="shared" si="78"/>
        <v>891.569075</v>
      </c>
      <c r="R606" s="14" t="str">
        <f t="shared" si="79"/>
        <v>Dec</v>
      </c>
    </row>
    <row r="607" spans="1:18" x14ac:dyDescent="0.3">
      <c r="A607" t="s">
        <v>2216</v>
      </c>
      <c r="B607" s="1">
        <v>45222</v>
      </c>
      <c r="C607" t="s">
        <v>702</v>
      </c>
      <c r="D607" t="s">
        <v>1477</v>
      </c>
      <c r="E607" t="s">
        <v>1537</v>
      </c>
      <c r="F607">
        <v>1</v>
      </c>
      <c r="G607" s="14">
        <v>61.11</v>
      </c>
      <c r="H607" s="17">
        <v>0.1</v>
      </c>
      <c r="I607" t="s">
        <v>1611</v>
      </c>
      <c r="J607" s="14">
        <v>54.999000000000002</v>
      </c>
      <c r="K607" s="14">
        <f t="shared" si="72"/>
        <v>471869.22953188466</v>
      </c>
      <c r="L607" s="14">
        <f t="shared" si="73"/>
        <v>468</v>
      </c>
      <c r="M607" s="14" t="str">
        <f t="shared" si="74"/>
        <v>23-10-2023</v>
      </c>
      <c r="N607" s="14">
        <f t="shared" si="75"/>
        <v>0.15537917122445941</v>
      </c>
      <c r="O607" s="20">
        <f t="shared" si="76"/>
        <v>2.4985031705994816</v>
      </c>
      <c r="P607" s="14">
        <f t="shared" si="77"/>
        <v>473.87780430788047</v>
      </c>
      <c r="Q607" s="14">
        <f t="shared" si="78"/>
        <v>29.302250000000001</v>
      </c>
      <c r="R607" s="14" t="str">
        <f t="shared" si="79"/>
        <v>Oct</v>
      </c>
    </row>
    <row r="608" spans="1:18" x14ac:dyDescent="0.3">
      <c r="A608" t="s">
        <v>2217</v>
      </c>
      <c r="B608" s="1">
        <v>45555</v>
      </c>
      <c r="C608" t="s">
        <v>121</v>
      </c>
      <c r="D608" t="s">
        <v>1387</v>
      </c>
      <c r="E608" t="s">
        <v>1567</v>
      </c>
      <c r="F608">
        <v>3</v>
      </c>
      <c r="G608" s="14">
        <v>827.88</v>
      </c>
      <c r="H608" s="17">
        <v>0.19</v>
      </c>
      <c r="I608" t="s">
        <v>1611</v>
      </c>
      <c r="J608" s="14">
        <v>2011.7483999999999</v>
      </c>
      <c r="K608" s="14">
        <f t="shared" si="72"/>
        <v>471869.22953188466</v>
      </c>
      <c r="L608" s="14">
        <f t="shared" si="73"/>
        <v>468</v>
      </c>
      <c r="M608" s="14" t="str">
        <f t="shared" si="74"/>
        <v>20-09-2024</v>
      </c>
      <c r="N608" s="14">
        <f t="shared" si="75"/>
        <v>0.15541895511183332</v>
      </c>
      <c r="O608" s="20">
        <f t="shared" si="76"/>
        <v>2.499579681497901</v>
      </c>
      <c r="P608" s="14">
        <f t="shared" si="77"/>
        <v>474.17433290292928</v>
      </c>
      <c r="Q608" s="14">
        <f t="shared" si="78"/>
        <v>710.70460000000003</v>
      </c>
      <c r="R608" s="14" t="str">
        <f t="shared" si="79"/>
        <v>Sep</v>
      </c>
    </row>
    <row r="609" spans="1:18" x14ac:dyDescent="0.3">
      <c r="A609" t="s">
        <v>2218</v>
      </c>
      <c r="B609" s="1">
        <v>45583</v>
      </c>
      <c r="C609" t="s">
        <v>1251</v>
      </c>
      <c r="D609" t="s">
        <v>1507</v>
      </c>
      <c r="E609" t="s">
        <v>1582</v>
      </c>
      <c r="F609">
        <v>3</v>
      </c>
      <c r="G609" s="14">
        <v>926.85</v>
      </c>
      <c r="H609" s="17">
        <v>0.18</v>
      </c>
      <c r="I609" t="s">
        <v>1614</v>
      </c>
      <c r="J609" s="14">
        <v>2280.0509999999999</v>
      </c>
      <c r="K609" s="14">
        <f t="shared" si="72"/>
        <v>471869.22953188466</v>
      </c>
      <c r="L609" s="14">
        <f t="shared" si="73"/>
        <v>468</v>
      </c>
      <c r="M609" s="14" t="str">
        <f t="shared" si="74"/>
        <v>18-10-2024</v>
      </c>
      <c r="N609" s="14">
        <f t="shared" si="75"/>
        <v>0.1553940945475715</v>
      </c>
      <c r="O609" s="20">
        <f t="shared" si="76"/>
        <v>2.4992199256973961</v>
      </c>
      <c r="P609" s="14">
        <f t="shared" si="77"/>
        <v>473.92005133060928</v>
      </c>
      <c r="Q609" s="14">
        <f t="shared" si="78"/>
        <v>802.52025000000003</v>
      </c>
      <c r="R609" s="14" t="str">
        <f t="shared" si="79"/>
        <v>Oct</v>
      </c>
    </row>
    <row r="610" spans="1:18" x14ac:dyDescent="0.3">
      <c r="A610" t="s">
        <v>2219</v>
      </c>
      <c r="B610" s="1">
        <v>45662</v>
      </c>
      <c r="C610" t="s">
        <v>999</v>
      </c>
      <c r="D610" t="s">
        <v>1353</v>
      </c>
      <c r="E610" t="s">
        <v>1584</v>
      </c>
      <c r="F610">
        <v>1</v>
      </c>
      <c r="G610" s="14">
        <v>874.59</v>
      </c>
      <c r="H610" s="17">
        <v>0.28999999999999998</v>
      </c>
      <c r="I610" t="s">
        <v>1611</v>
      </c>
      <c r="J610" s="14">
        <v>620.95889999999997</v>
      </c>
      <c r="K610" s="14">
        <f t="shared" si="72"/>
        <v>471869.22953188466</v>
      </c>
      <c r="L610" s="14">
        <f t="shared" si="73"/>
        <v>468</v>
      </c>
      <c r="M610" s="14" t="str">
        <f t="shared" si="74"/>
        <v>05-01-2025</v>
      </c>
      <c r="N610" s="14">
        <f t="shared" si="75"/>
        <v>0.15537639245731796</v>
      </c>
      <c r="O610" s="20">
        <f t="shared" si="76"/>
        <v>2.4988596522626465</v>
      </c>
      <c r="P610" s="14">
        <f t="shared" si="77"/>
        <v>473.5942024466745</v>
      </c>
      <c r="Q610" s="14">
        <f t="shared" si="78"/>
        <v>374.20972499999999</v>
      </c>
      <c r="R610" s="14" t="str">
        <f t="shared" si="79"/>
        <v>Jan</v>
      </c>
    </row>
    <row r="611" spans="1:18" x14ac:dyDescent="0.3">
      <c r="A611" t="s">
        <v>2220</v>
      </c>
      <c r="B611" s="1">
        <v>45921</v>
      </c>
      <c r="C611" t="s">
        <v>1291</v>
      </c>
      <c r="D611" t="s">
        <v>1363</v>
      </c>
      <c r="E611" t="s">
        <v>1542</v>
      </c>
      <c r="F611">
        <v>4</v>
      </c>
      <c r="G611" s="14">
        <v>479.11</v>
      </c>
      <c r="H611" s="17">
        <v>0.24</v>
      </c>
      <c r="I611" t="s">
        <v>1611</v>
      </c>
      <c r="J611" s="14">
        <v>1456.4944</v>
      </c>
      <c r="K611" s="14">
        <f t="shared" si="72"/>
        <v>471869.22953188466</v>
      </c>
      <c r="L611" s="14">
        <f t="shared" si="73"/>
        <v>468</v>
      </c>
      <c r="M611" s="14" t="str">
        <f t="shared" si="74"/>
        <v>21-09-2025</v>
      </c>
      <c r="N611" s="14">
        <f t="shared" si="75"/>
        <v>0.15527947121358673</v>
      </c>
      <c r="O611" s="20">
        <f t="shared" si="76"/>
        <v>2.4999387448848656</v>
      </c>
      <c r="P611" s="14">
        <f t="shared" si="77"/>
        <v>473.30550856794633</v>
      </c>
      <c r="Q611" s="14">
        <f t="shared" si="78"/>
        <v>484.96109999999999</v>
      </c>
      <c r="R611" s="14" t="str">
        <f t="shared" si="79"/>
        <v>Sep</v>
      </c>
    </row>
    <row r="612" spans="1:18" x14ac:dyDescent="0.3">
      <c r="A612" t="s">
        <v>2221</v>
      </c>
      <c r="B612" s="1">
        <v>45490</v>
      </c>
      <c r="C612" t="s">
        <v>693</v>
      </c>
      <c r="D612" t="s">
        <v>1397</v>
      </c>
      <c r="E612" t="s">
        <v>1592</v>
      </c>
      <c r="F612">
        <v>3</v>
      </c>
      <c r="G612" s="14">
        <v>182.91</v>
      </c>
      <c r="H612" s="17">
        <v>0.28999999999999998</v>
      </c>
      <c r="I612" t="s">
        <v>1609</v>
      </c>
      <c r="J612" s="14">
        <v>389.59829999999999</v>
      </c>
      <c r="K612" s="14">
        <f t="shared" si="72"/>
        <v>471869.22953188466</v>
      </c>
      <c r="L612" s="14">
        <f t="shared" si="73"/>
        <v>468</v>
      </c>
      <c r="M612" s="14" t="str">
        <f t="shared" si="74"/>
        <v>17-07-2024</v>
      </c>
      <c r="N612" s="14">
        <f t="shared" si="75"/>
        <v>0.15521843336863975</v>
      </c>
      <c r="O612" s="20">
        <f t="shared" si="76"/>
        <v>2.498858009110287</v>
      </c>
      <c r="P612" s="14">
        <f t="shared" si="77"/>
        <v>473.3013266576927</v>
      </c>
      <c r="Q612" s="14">
        <f t="shared" si="78"/>
        <v>143.94957499999998</v>
      </c>
      <c r="R612" s="14" t="str">
        <f t="shared" si="79"/>
        <v>Jul</v>
      </c>
    </row>
    <row r="613" spans="1:18" x14ac:dyDescent="0.3">
      <c r="A613" t="s">
        <v>2222</v>
      </c>
      <c r="B613" s="1">
        <v>45652</v>
      </c>
      <c r="C613" t="s">
        <v>866</v>
      </c>
      <c r="D613" t="s">
        <v>1401</v>
      </c>
      <c r="E613" t="s">
        <v>1558</v>
      </c>
      <c r="F613">
        <v>4</v>
      </c>
      <c r="G613" s="14">
        <v>745.51</v>
      </c>
      <c r="H613" s="17">
        <v>0.05</v>
      </c>
      <c r="I613" t="s">
        <v>1609</v>
      </c>
      <c r="J613" s="14">
        <v>2832.9380000000001</v>
      </c>
      <c r="K613" s="14">
        <f t="shared" si="72"/>
        <v>471479.63123188465</v>
      </c>
      <c r="L613" s="14">
        <f t="shared" si="73"/>
        <v>467</v>
      </c>
      <c r="M613" s="14" t="str">
        <f t="shared" si="74"/>
        <v>26-12-2024</v>
      </c>
      <c r="N613" s="14">
        <f t="shared" si="75"/>
        <v>0.15512125848282046</v>
      </c>
      <c r="O613" s="20">
        <f t="shared" si="76"/>
        <v>2.4984966954903234</v>
      </c>
      <c r="P613" s="14">
        <f t="shared" si="77"/>
        <v>473.51069315131764</v>
      </c>
      <c r="Q613" s="14">
        <f t="shared" si="78"/>
        <v>895.62450000000001</v>
      </c>
      <c r="R613" s="14" t="str">
        <f t="shared" si="79"/>
        <v>Dec</v>
      </c>
    </row>
    <row r="614" spans="1:18" x14ac:dyDescent="0.3">
      <c r="A614" t="s">
        <v>2223</v>
      </c>
      <c r="B614" s="1">
        <v>45598</v>
      </c>
      <c r="C614" t="s">
        <v>1302</v>
      </c>
      <c r="D614" t="s">
        <v>1509</v>
      </c>
      <c r="E614" t="s">
        <v>1586</v>
      </c>
      <c r="F614">
        <v>3</v>
      </c>
      <c r="G614" s="14">
        <v>920.61</v>
      </c>
      <c r="H614" s="17">
        <v>0.04</v>
      </c>
      <c r="I614" t="s">
        <v>1609</v>
      </c>
      <c r="J614" s="14">
        <v>2651.3568</v>
      </c>
      <c r="K614" s="14">
        <f t="shared" si="72"/>
        <v>468646.69323188462</v>
      </c>
      <c r="L614" s="14">
        <f t="shared" si="73"/>
        <v>466</v>
      </c>
      <c r="M614" s="14" t="str">
        <f t="shared" si="74"/>
        <v>02-11-2024</v>
      </c>
      <c r="N614" s="14">
        <f t="shared" si="75"/>
        <v>0.15519710354666086</v>
      </c>
      <c r="O614" s="20">
        <f t="shared" si="76"/>
        <v>2.4974133597727843</v>
      </c>
      <c r="P614" s="14">
        <f t="shared" si="77"/>
        <v>473.3144454551786</v>
      </c>
      <c r="Q614" s="14">
        <f t="shared" si="78"/>
        <v>893.75170000000003</v>
      </c>
      <c r="R614" s="14" t="str">
        <f t="shared" si="79"/>
        <v>Nov</v>
      </c>
    </row>
    <row r="615" spans="1:18" x14ac:dyDescent="0.3">
      <c r="A615" t="s">
        <v>2224</v>
      </c>
      <c r="B615" s="1">
        <v>45772</v>
      </c>
      <c r="C615" t="s">
        <v>1246</v>
      </c>
      <c r="D615" t="s">
        <v>1483</v>
      </c>
      <c r="E615" t="s">
        <v>1574</v>
      </c>
      <c r="F615">
        <v>4</v>
      </c>
      <c r="G615" s="14">
        <v>659.03</v>
      </c>
      <c r="H615" s="17">
        <v>0.15</v>
      </c>
      <c r="I615" t="s">
        <v>1609</v>
      </c>
      <c r="J615" s="14">
        <v>2240.7020000000002</v>
      </c>
      <c r="K615" s="14">
        <f t="shared" si="72"/>
        <v>465995.33643188461</v>
      </c>
      <c r="L615" s="14">
        <f t="shared" si="73"/>
        <v>465</v>
      </c>
      <c r="M615" s="14" t="str">
        <f t="shared" si="74"/>
        <v>25-04-2025</v>
      </c>
      <c r="N615" s="14">
        <f t="shared" si="75"/>
        <v>0.15528027835066568</v>
      </c>
      <c r="O615" s="20">
        <f t="shared" si="76"/>
        <v>2.4970504813321868</v>
      </c>
      <c r="P615" s="14">
        <f t="shared" si="77"/>
        <v>472.99148837608482</v>
      </c>
      <c r="Q615" s="14">
        <f t="shared" si="78"/>
        <v>725.97050000000002</v>
      </c>
      <c r="R615" s="14" t="str">
        <f t="shared" si="79"/>
        <v>Apr</v>
      </c>
    </row>
    <row r="616" spans="1:18" x14ac:dyDescent="0.3">
      <c r="A616" t="s">
        <v>2225</v>
      </c>
      <c r="B616" s="1">
        <v>45338</v>
      </c>
      <c r="C616" t="s">
        <v>1312</v>
      </c>
      <c r="D616" t="s">
        <v>1350</v>
      </c>
      <c r="E616" t="s">
        <v>1546</v>
      </c>
      <c r="F616">
        <v>1</v>
      </c>
      <c r="G616" s="14">
        <v>312.91000000000003</v>
      </c>
      <c r="H616" s="17">
        <v>0.12</v>
      </c>
      <c r="I616" t="s">
        <v>1611</v>
      </c>
      <c r="J616" s="14">
        <v>275.36079999999998</v>
      </c>
      <c r="K616" s="14">
        <f t="shared" si="72"/>
        <v>463754.63443188462</v>
      </c>
      <c r="L616" s="14">
        <f t="shared" si="73"/>
        <v>464</v>
      </c>
      <c r="M616" s="14" t="str">
        <f t="shared" si="74"/>
        <v>16-02-2024</v>
      </c>
      <c r="N616" s="14">
        <f t="shared" si="75"/>
        <v>0.15528409358068782</v>
      </c>
      <c r="O616" s="20">
        <f t="shared" si="76"/>
        <v>2.4959645351481781</v>
      </c>
      <c r="P616" s="14">
        <f t="shared" si="77"/>
        <v>472.8570674861831</v>
      </c>
      <c r="Q616" s="14">
        <f t="shared" si="78"/>
        <v>147.3477</v>
      </c>
      <c r="R616" s="14" t="str">
        <f t="shared" si="79"/>
        <v>Feb</v>
      </c>
    </row>
    <row r="617" spans="1:18" x14ac:dyDescent="0.3">
      <c r="A617" t="s">
        <v>2226</v>
      </c>
      <c r="B617" s="1">
        <v>45524</v>
      </c>
      <c r="C617" t="s">
        <v>735</v>
      </c>
      <c r="D617" t="s">
        <v>1357</v>
      </c>
      <c r="E617" t="s">
        <v>1595</v>
      </c>
      <c r="F617">
        <v>4</v>
      </c>
      <c r="G617" s="14">
        <v>705.64</v>
      </c>
      <c r="H617" s="17">
        <v>0.11</v>
      </c>
      <c r="I617" t="s">
        <v>1611</v>
      </c>
      <c r="J617" s="14">
        <v>2512.0783999999999</v>
      </c>
      <c r="K617" s="14">
        <f t="shared" si="72"/>
        <v>463754.63443188462</v>
      </c>
      <c r="L617" s="14">
        <f t="shared" si="73"/>
        <v>464</v>
      </c>
      <c r="M617" s="14" t="str">
        <f t="shared" si="74"/>
        <v>20-08-2024</v>
      </c>
      <c r="N617" s="14">
        <f t="shared" si="75"/>
        <v>0.1553096063020043</v>
      </c>
      <c r="O617" s="20">
        <f t="shared" si="76"/>
        <v>2.4970462159400424</v>
      </c>
      <c r="P617" s="14">
        <f t="shared" si="77"/>
        <v>472.97271974033066</v>
      </c>
      <c r="Q617" s="14">
        <f t="shared" si="78"/>
        <v>805.45709999999997</v>
      </c>
      <c r="R617" s="14" t="str">
        <f t="shared" si="79"/>
        <v>Aug</v>
      </c>
    </row>
    <row r="618" spans="1:18" x14ac:dyDescent="0.3">
      <c r="A618" t="s">
        <v>2227</v>
      </c>
      <c r="B618" s="1">
        <v>45497</v>
      </c>
      <c r="C618" t="s">
        <v>487</v>
      </c>
      <c r="D618" t="s">
        <v>1350</v>
      </c>
      <c r="E618" t="s">
        <v>1574</v>
      </c>
      <c r="F618">
        <v>4</v>
      </c>
      <c r="G618" s="14">
        <v>386.41</v>
      </c>
      <c r="H618" s="17">
        <v>0.13</v>
      </c>
      <c r="I618" t="s">
        <v>1614</v>
      </c>
      <c r="J618" s="14">
        <v>1344.7067999999999</v>
      </c>
      <c r="K618" s="14">
        <f t="shared" si="72"/>
        <v>463754.63443188462</v>
      </c>
      <c r="L618" s="14">
        <f t="shared" si="73"/>
        <v>464</v>
      </c>
      <c r="M618" s="14" t="str">
        <f t="shared" si="74"/>
        <v>24-07-2024</v>
      </c>
      <c r="N618" s="14">
        <f t="shared" si="75"/>
        <v>0.15534239183478435</v>
      </c>
      <c r="O618" s="20">
        <f t="shared" si="76"/>
        <v>2.495958695112213</v>
      </c>
      <c r="P618" s="14">
        <f t="shared" si="77"/>
        <v>472.80436425533821</v>
      </c>
      <c r="Q618" s="14">
        <f t="shared" si="78"/>
        <v>433.81169999999997</v>
      </c>
      <c r="R618" s="14" t="str">
        <f t="shared" si="79"/>
        <v>Jul</v>
      </c>
    </row>
    <row r="619" spans="1:18" x14ac:dyDescent="0.3">
      <c r="A619" t="s">
        <v>2228</v>
      </c>
      <c r="B619" s="1">
        <v>45534</v>
      </c>
      <c r="C619" t="s">
        <v>121</v>
      </c>
      <c r="D619" t="s">
        <v>1521</v>
      </c>
      <c r="E619" t="s">
        <v>1577</v>
      </c>
      <c r="F619">
        <v>3</v>
      </c>
      <c r="G619" s="14">
        <v>265.89</v>
      </c>
      <c r="H619" s="17">
        <v>0.08</v>
      </c>
      <c r="I619" t="s">
        <v>1614</v>
      </c>
      <c r="J619" s="14">
        <v>733.85640000000001</v>
      </c>
      <c r="K619" s="14">
        <f t="shared" si="72"/>
        <v>463754.63443188462</v>
      </c>
      <c r="L619" s="14">
        <f t="shared" si="73"/>
        <v>464</v>
      </c>
      <c r="M619" s="14" t="str">
        <f t="shared" si="74"/>
        <v>30-08-2024</v>
      </c>
      <c r="N619" s="14">
        <f t="shared" si="75"/>
        <v>0.15536074258919041</v>
      </c>
      <c r="O619" s="20">
        <f t="shared" si="76"/>
        <v>2.494869599308529</v>
      </c>
      <c r="P619" s="14">
        <f t="shared" si="77"/>
        <v>472.86692353430664</v>
      </c>
      <c r="Q619" s="14">
        <f t="shared" si="78"/>
        <v>250.70659999999998</v>
      </c>
      <c r="R619" s="14" t="str">
        <f t="shared" si="79"/>
        <v>Aug</v>
      </c>
    </row>
    <row r="620" spans="1:18" x14ac:dyDescent="0.3">
      <c r="A620" t="s">
        <v>2229</v>
      </c>
      <c r="B620" s="1">
        <v>45925</v>
      </c>
      <c r="C620" t="s">
        <v>275</v>
      </c>
      <c r="D620" t="s">
        <v>1393</v>
      </c>
      <c r="E620" t="s">
        <v>1589</v>
      </c>
      <c r="F620">
        <v>1</v>
      </c>
      <c r="G620" s="14">
        <v>703.16</v>
      </c>
      <c r="H620" s="17">
        <v>0.28999999999999998</v>
      </c>
      <c r="I620" t="s">
        <v>1609</v>
      </c>
      <c r="J620" s="14">
        <v>499.24360000000001</v>
      </c>
      <c r="K620" s="14">
        <f t="shared" si="72"/>
        <v>463754.63443188462</v>
      </c>
      <c r="L620" s="14">
        <f t="shared" si="73"/>
        <v>464</v>
      </c>
      <c r="M620" s="14" t="str">
        <f t="shared" si="74"/>
        <v>25-09-2025</v>
      </c>
      <c r="N620" s="14">
        <f t="shared" si="75"/>
        <v>0.15541535182295069</v>
      </c>
      <c r="O620" s="20">
        <f t="shared" si="76"/>
        <v>2.4945035627862886</v>
      </c>
      <c r="P620" s="14">
        <f t="shared" si="77"/>
        <v>473.01690681223005</v>
      </c>
      <c r="Q620" s="14">
        <f t="shared" si="78"/>
        <v>300.92340000000002</v>
      </c>
      <c r="R620" s="14" t="str">
        <f t="shared" si="79"/>
        <v>Sep</v>
      </c>
    </row>
    <row r="621" spans="1:18" x14ac:dyDescent="0.3">
      <c r="A621" t="s">
        <v>2230</v>
      </c>
      <c r="B621" s="1">
        <v>45765</v>
      </c>
      <c r="C621" t="s">
        <v>1292</v>
      </c>
      <c r="D621" t="s">
        <v>1527</v>
      </c>
      <c r="E621" t="s">
        <v>1582</v>
      </c>
      <c r="F621">
        <v>2</v>
      </c>
      <c r="G621" s="14">
        <v>394.5</v>
      </c>
      <c r="H621" s="17">
        <v>0.28999999999999998</v>
      </c>
      <c r="I621" t="s">
        <v>1614</v>
      </c>
      <c r="J621" s="14">
        <v>560.18999999999994</v>
      </c>
      <c r="K621" s="14">
        <f t="shared" si="72"/>
        <v>463255.39083188458</v>
      </c>
      <c r="L621" s="14">
        <f t="shared" si="73"/>
        <v>463</v>
      </c>
      <c r="M621" s="14" t="str">
        <f t="shared" si="74"/>
        <v>18-04-2025</v>
      </c>
      <c r="N621" s="14">
        <f t="shared" si="75"/>
        <v>0.15531775599396083</v>
      </c>
      <c r="O621" s="20">
        <f t="shared" si="76"/>
        <v>2.4955873217150679</v>
      </c>
      <c r="P621" s="14">
        <f t="shared" si="77"/>
        <v>472.85001551912785</v>
      </c>
      <c r="Q621" s="14">
        <f t="shared" si="78"/>
        <v>239.245</v>
      </c>
      <c r="R621" s="14" t="str">
        <f t="shared" si="79"/>
        <v>Apr</v>
      </c>
    </row>
    <row r="622" spans="1:18" x14ac:dyDescent="0.3">
      <c r="A622" t="s">
        <v>2231</v>
      </c>
      <c r="B622" s="1">
        <v>45882</v>
      </c>
      <c r="C622" t="s">
        <v>408</v>
      </c>
      <c r="D622" t="s">
        <v>1527</v>
      </c>
      <c r="E622" t="s">
        <v>1564</v>
      </c>
      <c r="F622">
        <v>3</v>
      </c>
      <c r="G622" s="14">
        <v>411.25</v>
      </c>
      <c r="H622" s="17">
        <v>0.05</v>
      </c>
      <c r="I622" t="s">
        <v>1609</v>
      </c>
      <c r="J622" s="14">
        <v>1172.0625</v>
      </c>
      <c r="K622" s="14">
        <f t="shared" si="72"/>
        <v>463255.39083188458</v>
      </c>
      <c r="L622" s="14">
        <f t="shared" si="73"/>
        <v>463</v>
      </c>
      <c r="M622" s="14" t="str">
        <f t="shared" si="74"/>
        <v>13-08-2025</v>
      </c>
      <c r="N622" s="14">
        <f t="shared" si="75"/>
        <v>0.15522001851645281</v>
      </c>
      <c r="O622" s="20">
        <f t="shared" si="76"/>
        <v>2.4959469641836565</v>
      </c>
      <c r="P622" s="14">
        <f t="shared" si="77"/>
        <v>472.90687329526656</v>
      </c>
      <c r="Q622" s="14">
        <f t="shared" si="78"/>
        <v>396.59062499999999</v>
      </c>
      <c r="R622" s="14" t="str">
        <f t="shared" si="79"/>
        <v>Aug</v>
      </c>
    </row>
    <row r="623" spans="1:18" x14ac:dyDescent="0.3">
      <c r="A623" t="s">
        <v>2232</v>
      </c>
      <c r="B623" s="1">
        <v>45923</v>
      </c>
      <c r="C623" t="s">
        <v>1107</v>
      </c>
      <c r="D623" t="s">
        <v>1429</v>
      </c>
      <c r="E623" t="s">
        <v>1546</v>
      </c>
      <c r="F623">
        <v>4</v>
      </c>
      <c r="G623" s="14">
        <v>395.45</v>
      </c>
      <c r="H623" s="17">
        <v>0.01</v>
      </c>
      <c r="I623" t="s">
        <v>1609</v>
      </c>
      <c r="J623" s="14">
        <v>1565.982</v>
      </c>
      <c r="K623" s="14">
        <f t="shared" si="72"/>
        <v>462083.32833188464</v>
      </c>
      <c r="L623" s="14">
        <f t="shared" si="73"/>
        <v>462</v>
      </c>
      <c r="M623" s="14" t="str">
        <f t="shared" si="74"/>
        <v>23-09-2025</v>
      </c>
      <c r="N623" s="14">
        <f t="shared" si="75"/>
        <v>0.15529643102082205</v>
      </c>
      <c r="O623" s="20">
        <f t="shared" si="76"/>
        <v>2.4955809125962802</v>
      </c>
      <c r="P623" s="14">
        <f t="shared" si="77"/>
        <v>472.95164952859642</v>
      </c>
      <c r="Q623" s="14">
        <f t="shared" si="78"/>
        <v>491.3605</v>
      </c>
      <c r="R623" s="14" t="str">
        <f t="shared" si="79"/>
        <v>Sep</v>
      </c>
    </row>
    <row r="624" spans="1:18" x14ac:dyDescent="0.3">
      <c r="A624" t="s">
        <v>2233</v>
      </c>
      <c r="B624" s="1">
        <v>45421</v>
      </c>
      <c r="C624" t="s">
        <v>144</v>
      </c>
      <c r="D624" t="s">
        <v>1513</v>
      </c>
      <c r="E624" t="s">
        <v>1558</v>
      </c>
      <c r="F624">
        <v>2</v>
      </c>
      <c r="G624" s="14">
        <v>678.98</v>
      </c>
      <c r="H624" s="17">
        <v>0.23</v>
      </c>
      <c r="I624" t="s">
        <v>1609</v>
      </c>
      <c r="J624" s="14">
        <v>1045.6292000000001</v>
      </c>
      <c r="K624" s="14">
        <f t="shared" si="72"/>
        <v>460517.34633188462</v>
      </c>
      <c r="L624" s="14">
        <f t="shared" si="73"/>
        <v>461</v>
      </c>
      <c r="M624" s="14" t="str">
        <f t="shared" si="74"/>
        <v>09-05-2024</v>
      </c>
      <c r="N624" s="14">
        <f t="shared" si="75"/>
        <v>0.15540202435731976</v>
      </c>
      <c r="O624" s="20">
        <f t="shared" si="76"/>
        <v>2.4944875847711327</v>
      </c>
      <c r="P624" s="14">
        <f t="shared" si="77"/>
        <v>473.00797340180037</v>
      </c>
      <c r="Q624" s="14">
        <f t="shared" si="78"/>
        <v>431.70980000000003</v>
      </c>
      <c r="R624" s="14" t="str">
        <f t="shared" si="79"/>
        <v>May</v>
      </c>
    </row>
    <row r="625" spans="1:18" x14ac:dyDescent="0.3">
      <c r="A625" t="s">
        <v>2234</v>
      </c>
      <c r="B625" s="1">
        <v>45608</v>
      </c>
      <c r="C625" t="s">
        <v>264</v>
      </c>
      <c r="D625" t="s">
        <v>1387</v>
      </c>
      <c r="E625" t="s">
        <v>1584</v>
      </c>
      <c r="F625">
        <v>4</v>
      </c>
      <c r="G625" s="14">
        <v>757.71</v>
      </c>
      <c r="H625" s="17">
        <v>0.26</v>
      </c>
      <c r="I625" t="s">
        <v>1614</v>
      </c>
      <c r="J625" s="14">
        <v>2242.8216000000002</v>
      </c>
      <c r="K625" s="14">
        <f t="shared" si="72"/>
        <v>459471.71713188459</v>
      </c>
      <c r="L625" s="14">
        <f t="shared" si="73"/>
        <v>460</v>
      </c>
      <c r="M625" s="14" t="str">
        <f t="shared" si="74"/>
        <v>12-11-2024</v>
      </c>
      <c r="N625" s="14">
        <f t="shared" si="75"/>
        <v>0.15534777128412508</v>
      </c>
      <c r="O625" s="20">
        <f t="shared" si="76"/>
        <v>2.4948472121055114</v>
      </c>
      <c r="P625" s="14">
        <f t="shared" si="77"/>
        <v>472.85817556427446</v>
      </c>
      <c r="Q625" s="14">
        <f t="shared" si="78"/>
        <v>751.19790000000012</v>
      </c>
      <c r="R625" s="14" t="str">
        <f t="shared" si="79"/>
        <v>Nov</v>
      </c>
    </row>
    <row r="626" spans="1:18" x14ac:dyDescent="0.3">
      <c r="A626" t="s">
        <v>2235</v>
      </c>
      <c r="B626" s="1">
        <v>45644</v>
      </c>
      <c r="C626" t="s">
        <v>221</v>
      </c>
      <c r="D626" t="s">
        <v>1521</v>
      </c>
      <c r="E626" t="s">
        <v>1554</v>
      </c>
      <c r="F626">
        <v>1</v>
      </c>
      <c r="G626" s="14">
        <v>647.86</v>
      </c>
      <c r="H626" s="17">
        <v>0.05</v>
      </c>
      <c r="I626" t="s">
        <v>1614</v>
      </c>
      <c r="J626" s="14">
        <v>615.46699999999998</v>
      </c>
      <c r="K626" s="14">
        <f t="shared" si="72"/>
        <v>459471.71713188459</v>
      </c>
      <c r="L626" s="14">
        <f t="shared" si="73"/>
        <v>460</v>
      </c>
      <c r="M626" s="14" t="str">
        <f t="shared" si="74"/>
        <v>18-12-2024</v>
      </c>
      <c r="N626" s="14">
        <f t="shared" si="75"/>
        <v>0.15527160517880056</v>
      </c>
      <c r="O626" s="20">
        <f t="shared" si="76"/>
        <v>2.4937517588392124</v>
      </c>
      <c r="P626" s="14">
        <f t="shared" si="77"/>
        <v>472.65085982596599</v>
      </c>
      <c r="Q626" s="14">
        <f t="shared" si="78"/>
        <v>316.09424999999999</v>
      </c>
      <c r="R626" s="14" t="str">
        <f t="shared" si="79"/>
        <v>Dec</v>
      </c>
    </row>
    <row r="627" spans="1:18" x14ac:dyDescent="0.3">
      <c r="A627" t="s">
        <v>2236</v>
      </c>
      <c r="B627" s="1">
        <v>45517</v>
      </c>
      <c r="C627" t="s">
        <v>461</v>
      </c>
      <c r="D627" t="s">
        <v>1357</v>
      </c>
      <c r="E627" t="s">
        <v>1561</v>
      </c>
      <c r="F627">
        <v>2</v>
      </c>
      <c r="G627" s="14">
        <v>179.64</v>
      </c>
      <c r="H627" s="17">
        <v>0.1</v>
      </c>
      <c r="I627" t="s">
        <v>1611</v>
      </c>
      <c r="J627" s="14">
        <v>323.35199999999998</v>
      </c>
      <c r="K627" s="14">
        <f t="shared" si="72"/>
        <v>459471.71713188459</v>
      </c>
      <c r="L627" s="14">
        <f t="shared" si="73"/>
        <v>460</v>
      </c>
      <c r="M627" s="14" t="str">
        <f t="shared" si="74"/>
        <v>13-08-2024</v>
      </c>
      <c r="N627" s="14">
        <f t="shared" si="75"/>
        <v>0.15534827787011798</v>
      </c>
      <c r="O627" s="20">
        <f t="shared" si="76"/>
        <v>2.4948397062236549</v>
      </c>
      <c r="P627" s="14">
        <f t="shared" si="77"/>
        <v>472.52324938155664</v>
      </c>
      <c r="Q627" s="14">
        <f t="shared" si="78"/>
        <v>126.273</v>
      </c>
      <c r="R627" s="14" t="str">
        <f t="shared" si="79"/>
        <v>Aug</v>
      </c>
    </row>
    <row r="628" spans="1:18" x14ac:dyDescent="0.3">
      <c r="A628" t="s">
        <v>2237</v>
      </c>
      <c r="B628" s="1">
        <v>45545</v>
      </c>
      <c r="C628" t="s">
        <v>1217</v>
      </c>
      <c r="D628" t="s">
        <v>1457</v>
      </c>
      <c r="E628" t="s">
        <v>1554</v>
      </c>
      <c r="F628">
        <v>3</v>
      </c>
      <c r="G628" s="14">
        <v>392.65</v>
      </c>
      <c r="H628" s="17">
        <v>0.17</v>
      </c>
      <c r="I628" t="s">
        <v>1611</v>
      </c>
      <c r="J628" s="14">
        <v>977.69849999999985</v>
      </c>
      <c r="K628" s="14">
        <f t="shared" si="72"/>
        <v>459471.71713188459</v>
      </c>
      <c r="L628" s="14">
        <f t="shared" si="73"/>
        <v>460</v>
      </c>
      <c r="M628" s="14" t="str">
        <f t="shared" si="74"/>
        <v>10-09-2024</v>
      </c>
      <c r="N628" s="14">
        <f t="shared" si="75"/>
        <v>0.15538861918051894</v>
      </c>
      <c r="O628" s="20">
        <f t="shared" si="76"/>
        <v>2.495200376563468</v>
      </c>
      <c r="P628" s="14">
        <f t="shared" si="77"/>
        <v>472.73672113766565</v>
      </c>
      <c r="Q628" s="14">
        <f t="shared" si="78"/>
        <v>343.37962499999998</v>
      </c>
      <c r="R628" s="14" t="str">
        <f t="shared" si="79"/>
        <v>Sep</v>
      </c>
    </row>
    <row r="629" spans="1:18" x14ac:dyDescent="0.3">
      <c r="A629" t="s">
        <v>2238</v>
      </c>
      <c r="B629" s="1">
        <v>45547</v>
      </c>
      <c r="C629" t="s">
        <v>582</v>
      </c>
      <c r="D629" t="s">
        <v>1515</v>
      </c>
      <c r="E629" t="s">
        <v>1589</v>
      </c>
      <c r="F629">
        <v>4</v>
      </c>
      <c r="G629" s="14">
        <v>969.55</v>
      </c>
      <c r="H629" s="17">
        <v>0.09</v>
      </c>
      <c r="I629" t="s">
        <v>1614</v>
      </c>
      <c r="J629" s="14">
        <v>3529.1619999999998</v>
      </c>
      <c r="K629" s="14">
        <f t="shared" si="72"/>
        <v>459471.71713188459</v>
      </c>
      <c r="L629" s="14">
        <f t="shared" si="73"/>
        <v>460</v>
      </c>
      <c r="M629" s="14" t="str">
        <f t="shared" si="74"/>
        <v>12-09-2024</v>
      </c>
      <c r="N629" s="14">
        <f t="shared" si="75"/>
        <v>0.15537796171821441</v>
      </c>
      <c r="O629" s="20">
        <f t="shared" si="76"/>
        <v>2.4948321784427994</v>
      </c>
      <c r="P629" s="14">
        <f t="shared" si="77"/>
        <v>472.79513595979375</v>
      </c>
      <c r="Q629" s="14">
        <f t="shared" si="78"/>
        <v>1125.7004999999999</v>
      </c>
      <c r="R629" s="14" t="str">
        <f t="shared" si="79"/>
        <v>Sep</v>
      </c>
    </row>
    <row r="630" spans="1:18" x14ac:dyDescent="0.3">
      <c r="A630" t="s">
        <v>2239</v>
      </c>
      <c r="B630" s="1">
        <v>45433</v>
      </c>
      <c r="C630" t="s">
        <v>1283</v>
      </c>
      <c r="D630" t="s">
        <v>1481</v>
      </c>
      <c r="E630" t="s">
        <v>1579</v>
      </c>
      <c r="F630">
        <v>3</v>
      </c>
      <c r="G630" s="14">
        <v>322.94</v>
      </c>
      <c r="H630" s="17">
        <v>0.01</v>
      </c>
      <c r="I630" t="s">
        <v>1609</v>
      </c>
      <c r="J630" s="14">
        <v>959.13179999999988</v>
      </c>
      <c r="K630" s="14">
        <f t="shared" si="72"/>
        <v>459471.71713188459</v>
      </c>
      <c r="L630" s="14">
        <f t="shared" si="73"/>
        <v>460</v>
      </c>
      <c r="M630" s="14" t="str">
        <f t="shared" si="74"/>
        <v>21-05-2024</v>
      </c>
      <c r="N630" s="14">
        <f t="shared" si="75"/>
        <v>0.15542568285815472</v>
      </c>
      <c r="O630" s="20">
        <f t="shared" si="76"/>
        <v>2.4937335157993266</v>
      </c>
      <c r="P630" s="14">
        <f t="shared" si="77"/>
        <v>472.43254116852353</v>
      </c>
      <c r="Q630" s="14">
        <f t="shared" si="78"/>
        <v>321.27044999999998</v>
      </c>
      <c r="R630" s="14" t="str">
        <f t="shared" si="79"/>
        <v>May</v>
      </c>
    </row>
    <row r="631" spans="1:18" x14ac:dyDescent="0.3">
      <c r="A631" t="s">
        <v>2240</v>
      </c>
      <c r="B631" s="1">
        <v>45792</v>
      </c>
      <c r="C631" t="s">
        <v>1133</v>
      </c>
      <c r="D631" t="s">
        <v>1499</v>
      </c>
      <c r="E631" t="s">
        <v>1537</v>
      </c>
      <c r="F631">
        <v>1</v>
      </c>
      <c r="G631" s="14">
        <v>92.83</v>
      </c>
      <c r="H631" s="17">
        <v>0.26</v>
      </c>
      <c r="I631" t="s">
        <v>1611</v>
      </c>
      <c r="J631" s="14">
        <v>68.694199999999995</v>
      </c>
      <c r="K631" s="14">
        <f t="shared" si="72"/>
        <v>458512.58533188462</v>
      </c>
      <c r="L631" s="14">
        <f t="shared" si="73"/>
        <v>459</v>
      </c>
      <c r="M631" s="14" t="str">
        <f t="shared" si="74"/>
        <v>15-05-2025</v>
      </c>
      <c r="N631" s="14">
        <f t="shared" si="75"/>
        <v>0.15553191053007448</v>
      </c>
      <c r="O631" s="20">
        <f t="shared" si="76"/>
        <v>2.4933637082871276</v>
      </c>
      <c r="P631" s="14">
        <f t="shared" si="77"/>
        <v>472.54173951853699</v>
      </c>
      <c r="Q631" s="14">
        <f t="shared" si="78"/>
        <v>40.69605</v>
      </c>
      <c r="R631" s="14" t="str">
        <f t="shared" si="79"/>
        <v>May</v>
      </c>
    </row>
    <row r="632" spans="1:18" x14ac:dyDescent="0.3">
      <c r="A632" t="s">
        <v>2241</v>
      </c>
      <c r="B632" s="1">
        <v>45804</v>
      </c>
      <c r="C632" t="s">
        <v>1241</v>
      </c>
      <c r="D632" t="s">
        <v>1347</v>
      </c>
      <c r="E632" t="s">
        <v>1551</v>
      </c>
      <c r="F632">
        <v>4</v>
      </c>
      <c r="G632" s="14">
        <v>432.29</v>
      </c>
      <c r="H632" s="17">
        <v>0.16</v>
      </c>
      <c r="I632" t="s">
        <v>1614</v>
      </c>
      <c r="J632" s="14">
        <v>1452.4944</v>
      </c>
      <c r="K632" s="14">
        <f t="shared" si="72"/>
        <v>458512.58533188462</v>
      </c>
      <c r="L632" s="14">
        <f t="shared" si="73"/>
        <v>459</v>
      </c>
      <c r="M632" s="14" t="str">
        <f t="shared" si="74"/>
        <v>27-05-2025</v>
      </c>
      <c r="N632" s="14">
        <f t="shared" si="75"/>
        <v>0.15545554496759645</v>
      </c>
      <c r="O632" s="20">
        <f t="shared" si="76"/>
        <v>2.4944553484247645</v>
      </c>
      <c r="P632" s="14">
        <f t="shared" si="77"/>
        <v>472.81930657958861</v>
      </c>
      <c r="Q632" s="14">
        <f t="shared" si="78"/>
        <v>472.23610000000002</v>
      </c>
      <c r="R632" s="14" t="str">
        <f t="shared" si="79"/>
        <v>May</v>
      </c>
    </row>
    <row r="633" spans="1:18" x14ac:dyDescent="0.3">
      <c r="A633" t="s">
        <v>2242</v>
      </c>
      <c r="B633" s="1">
        <v>45311</v>
      </c>
      <c r="C633" t="s">
        <v>292</v>
      </c>
      <c r="D633" t="s">
        <v>1411</v>
      </c>
      <c r="E633" t="s">
        <v>1582</v>
      </c>
      <c r="F633">
        <v>2</v>
      </c>
      <c r="G633" s="14">
        <v>925.78</v>
      </c>
      <c r="H633" s="17">
        <v>0.14000000000000001</v>
      </c>
      <c r="I633" t="s">
        <v>1614</v>
      </c>
      <c r="J633" s="14">
        <v>1592.3416</v>
      </c>
      <c r="K633" s="14">
        <f t="shared" si="72"/>
        <v>458512.58533188462</v>
      </c>
      <c r="L633" s="14">
        <f t="shared" si="73"/>
        <v>459</v>
      </c>
      <c r="M633" s="14" t="str">
        <f t="shared" si="74"/>
        <v>20-01-2024</v>
      </c>
      <c r="N633" s="14">
        <f t="shared" si="75"/>
        <v>0.15545222056742644</v>
      </c>
      <c r="O633" s="20">
        <f t="shared" si="76"/>
        <v>2.4933539990088351</v>
      </c>
      <c r="P633" s="14">
        <f t="shared" si="77"/>
        <v>472.8489549384617</v>
      </c>
      <c r="Q633" s="14">
        <f t="shared" si="78"/>
        <v>630.06539999999995</v>
      </c>
      <c r="R633" s="14" t="str">
        <f t="shared" si="79"/>
        <v>Jan</v>
      </c>
    </row>
    <row r="634" spans="1:18" x14ac:dyDescent="0.3">
      <c r="A634" t="s">
        <v>2243</v>
      </c>
      <c r="B634" s="1">
        <v>45605</v>
      </c>
      <c r="C634" t="s">
        <v>1298</v>
      </c>
      <c r="D634" t="s">
        <v>1383</v>
      </c>
      <c r="E634" t="s">
        <v>1577</v>
      </c>
      <c r="F634">
        <v>2</v>
      </c>
      <c r="G634" s="14">
        <v>151.47</v>
      </c>
      <c r="H634" s="17">
        <v>0.21</v>
      </c>
      <c r="I634" t="s">
        <v>1611</v>
      </c>
      <c r="J634" s="14">
        <v>239.32259999999999</v>
      </c>
      <c r="K634" s="14">
        <f t="shared" si="72"/>
        <v>458512.58533188462</v>
      </c>
      <c r="L634" s="14">
        <f t="shared" si="73"/>
        <v>459</v>
      </c>
      <c r="M634" s="14" t="str">
        <f t="shared" si="74"/>
        <v>09-11-2024</v>
      </c>
      <c r="N634" s="14">
        <f t="shared" si="75"/>
        <v>0.15546353258833967</v>
      </c>
      <c r="O634" s="20">
        <f t="shared" si="76"/>
        <v>2.4937151659187977</v>
      </c>
      <c r="P634" s="14">
        <f t="shared" si="77"/>
        <v>472.5173802349027</v>
      </c>
      <c r="Q634" s="14">
        <f t="shared" si="78"/>
        <v>98.250650000000007</v>
      </c>
      <c r="R634" s="14" t="str">
        <f t="shared" si="79"/>
        <v>Nov</v>
      </c>
    </row>
    <row r="635" spans="1:18" x14ac:dyDescent="0.3">
      <c r="A635" t="s">
        <v>2244</v>
      </c>
      <c r="B635" s="1">
        <v>45338</v>
      </c>
      <c r="C635" t="s">
        <v>1270</v>
      </c>
      <c r="D635" t="s">
        <v>1499</v>
      </c>
      <c r="E635" t="s">
        <v>1574</v>
      </c>
      <c r="F635">
        <v>1</v>
      </c>
      <c r="G635" s="14">
        <v>343.05</v>
      </c>
      <c r="H635" s="17">
        <v>0.28000000000000003</v>
      </c>
      <c r="I635" t="s">
        <v>1611</v>
      </c>
      <c r="J635" s="14">
        <v>246.99600000000001</v>
      </c>
      <c r="K635" s="14">
        <f t="shared" si="72"/>
        <v>458512.58533188462</v>
      </c>
      <c r="L635" s="14">
        <f t="shared" si="73"/>
        <v>459</v>
      </c>
      <c r="M635" s="14" t="str">
        <f t="shared" si="74"/>
        <v>16-02-2024</v>
      </c>
      <c r="N635" s="14">
        <f t="shared" si="75"/>
        <v>0.15542357913236041</v>
      </c>
      <c r="O635" s="20">
        <f t="shared" si="76"/>
        <v>2.4940768620110463</v>
      </c>
      <c r="P635" s="14">
        <f t="shared" si="77"/>
        <v>472.75257978086228</v>
      </c>
      <c r="Q635" s="14">
        <f t="shared" si="78"/>
        <v>147.83150000000001</v>
      </c>
      <c r="R635" s="14" t="str">
        <f t="shared" si="79"/>
        <v>Feb</v>
      </c>
    </row>
    <row r="636" spans="1:18" x14ac:dyDescent="0.3">
      <c r="A636" t="s">
        <v>2245</v>
      </c>
      <c r="B636" s="1">
        <v>45642</v>
      </c>
      <c r="C636" t="s">
        <v>244</v>
      </c>
      <c r="D636" t="s">
        <v>1367</v>
      </c>
      <c r="E636" t="s">
        <v>1554</v>
      </c>
      <c r="F636">
        <v>1</v>
      </c>
      <c r="G636" s="14">
        <v>373.06</v>
      </c>
      <c r="H636" s="17">
        <v>0.11</v>
      </c>
      <c r="I636" t="s">
        <v>1611</v>
      </c>
      <c r="J636" s="14">
        <v>332.02339999999998</v>
      </c>
      <c r="K636" s="14">
        <f t="shared" si="72"/>
        <v>458512.58533188462</v>
      </c>
      <c r="L636" s="14">
        <f t="shared" si="73"/>
        <v>459</v>
      </c>
      <c r="M636" s="14" t="str">
        <f t="shared" si="74"/>
        <v>16-12-2024</v>
      </c>
      <c r="N636" s="14">
        <f t="shared" si="75"/>
        <v>0.15533224744550733</v>
      </c>
      <c r="O636" s="20">
        <f t="shared" si="76"/>
        <v>2.4951722262793825</v>
      </c>
      <c r="P636" s="14">
        <f t="shared" si="77"/>
        <v>472.84766964873683</v>
      </c>
      <c r="Q636" s="14">
        <f t="shared" si="78"/>
        <v>176.54835</v>
      </c>
      <c r="R636" s="14" t="str">
        <f t="shared" si="79"/>
        <v>Dec</v>
      </c>
    </row>
    <row r="637" spans="1:18" x14ac:dyDescent="0.3">
      <c r="A637" t="s">
        <v>2246</v>
      </c>
      <c r="B637" s="1">
        <v>45693</v>
      </c>
      <c r="C637" t="s">
        <v>1232</v>
      </c>
      <c r="D637" t="s">
        <v>1369</v>
      </c>
      <c r="E637" t="s">
        <v>1586</v>
      </c>
      <c r="F637">
        <v>1</v>
      </c>
      <c r="G637" s="14">
        <v>124.98</v>
      </c>
      <c r="H637" s="17">
        <v>7.0000000000000007E-2</v>
      </c>
      <c r="I637" t="s">
        <v>1614</v>
      </c>
      <c r="J637" s="14">
        <v>116.23139999999999</v>
      </c>
      <c r="K637" s="14">
        <f t="shared" si="72"/>
        <v>458512.58533188462</v>
      </c>
      <c r="L637" s="14">
        <f t="shared" si="73"/>
        <v>459</v>
      </c>
      <c r="M637" s="14" t="str">
        <f t="shared" si="74"/>
        <v>05-02-2025</v>
      </c>
      <c r="N637" s="14">
        <f t="shared" si="75"/>
        <v>0.15536550661457957</v>
      </c>
      <c r="O637" s="20">
        <f t="shared" si="76"/>
        <v>2.4962691978320453</v>
      </c>
      <c r="P637" s="14">
        <f t="shared" si="77"/>
        <v>472.92088143864794</v>
      </c>
      <c r="Q637" s="14">
        <f t="shared" si="78"/>
        <v>60.570349999999998</v>
      </c>
      <c r="R637" s="14" t="str">
        <f t="shared" si="79"/>
        <v>Feb</v>
      </c>
    </row>
    <row r="638" spans="1:18" x14ac:dyDescent="0.3">
      <c r="A638" t="s">
        <v>2247</v>
      </c>
      <c r="B638" s="1">
        <v>45763</v>
      </c>
      <c r="C638" t="s">
        <v>866</v>
      </c>
      <c r="D638" t="s">
        <v>1479</v>
      </c>
      <c r="E638" t="s">
        <v>1598</v>
      </c>
      <c r="F638">
        <v>4</v>
      </c>
      <c r="G638" s="14">
        <v>221.49</v>
      </c>
      <c r="H638" s="17">
        <v>0.26</v>
      </c>
      <c r="I638" t="s">
        <v>1611</v>
      </c>
      <c r="J638" s="14">
        <v>655.61040000000003</v>
      </c>
      <c r="K638" s="14">
        <f t="shared" si="72"/>
        <v>458512.58533188462</v>
      </c>
      <c r="L638" s="14">
        <f t="shared" si="73"/>
        <v>459</v>
      </c>
      <c r="M638" s="14" t="str">
        <f t="shared" si="74"/>
        <v>16-04-2025</v>
      </c>
      <c r="N638" s="14">
        <f t="shared" si="75"/>
        <v>0.15542818319799703</v>
      </c>
      <c r="O638" s="20">
        <f t="shared" si="76"/>
        <v>2.4973677802093084</v>
      </c>
      <c r="P638" s="14">
        <f t="shared" si="77"/>
        <v>473.17634464087899</v>
      </c>
      <c r="Q638" s="14">
        <f t="shared" si="78"/>
        <v>220.34010000000001</v>
      </c>
      <c r="R638" s="14" t="str">
        <f t="shared" si="79"/>
        <v>Apr</v>
      </c>
    </row>
    <row r="639" spans="1:18" x14ac:dyDescent="0.3">
      <c r="A639" t="s">
        <v>2248</v>
      </c>
      <c r="B639" s="1">
        <v>45572</v>
      </c>
      <c r="C639" t="s">
        <v>565</v>
      </c>
      <c r="D639" t="s">
        <v>1379</v>
      </c>
      <c r="E639" t="s">
        <v>1586</v>
      </c>
      <c r="F639">
        <v>1</v>
      </c>
      <c r="G639" s="14">
        <v>563.32000000000005</v>
      </c>
      <c r="H639" s="17">
        <v>0.01</v>
      </c>
      <c r="I639" t="s">
        <v>1611</v>
      </c>
      <c r="J639" s="14">
        <v>557.68680000000006</v>
      </c>
      <c r="K639" s="14">
        <f t="shared" si="72"/>
        <v>458512.58533188462</v>
      </c>
      <c r="L639" s="14">
        <f t="shared" si="73"/>
        <v>459</v>
      </c>
      <c r="M639" s="14" t="str">
        <f t="shared" si="74"/>
        <v>07-10-2024</v>
      </c>
      <c r="N639" s="14">
        <f t="shared" si="75"/>
        <v>0.15535134865222039</v>
      </c>
      <c r="O639" s="20">
        <f t="shared" si="76"/>
        <v>2.4962637153894773</v>
      </c>
      <c r="P639" s="14">
        <f t="shared" si="77"/>
        <v>473.36127215347335</v>
      </c>
      <c r="Q639" s="14">
        <f t="shared" si="78"/>
        <v>280.50420000000003</v>
      </c>
      <c r="R639" s="14" t="str">
        <f t="shared" si="79"/>
        <v>Oct</v>
      </c>
    </row>
    <row r="640" spans="1:18" x14ac:dyDescent="0.3">
      <c r="A640" t="s">
        <v>2249</v>
      </c>
      <c r="B640" s="1">
        <v>45338</v>
      </c>
      <c r="C640" t="s">
        <v>1211</v>
      </c>
      <c r="D640" t="s">
        <v>1355</v>
      </c>
      <c r="E640" t="s">
        <v>1537</v>
      </c>
      <c r="F640">
        <v>1</v>
      </c>
      <c r="G640" s="14">
        <v>362.93</v>
      </c>
      <c r="H640" s="17">
        <v>0.27</v>
      </c>
      <c r="I640" t="s">
        <v>1609</v>
      </c>
      <c r="J640" s="14">
        <v>264.93889999999999</v>
      </c>
      <c r="K640" s="14">
        <f t="shared" si="72"/>
        <v>458512.58533188462</v>
      </c>
      <c r="L640" s="14">
        <f t="shared" si="73"/>
        <v>459</v>
      </c>
      <c r="M640" s="14" t="str">
        <f t="shared" si="74"/>
        <v>16-02-2024</v>
      </c>
      <c r="N640" s="14">
        <f t="shared" si="75"/>
        <v>0.15545822464387643</v>
      </c>
      <c r="O640" s="20">
        <f t="shared" si="76"/>
        <v>2.4973639092978512</v>
      </c>
      <c r="P640" s="14">
        <f t="shared" si="77"/>
        <v>473.29512603005674</v>
      </c>
      <c r="Q640" s="14">
        <f t="shared" si="78"/>
        <v>157.28472499999998</v>
      </c>
      <c r="R640" s="14" t="str">
        <f t="shared" si="79"/>
        <v>Feb</v>
      </c>
    </row>
    <row r="641" spans="1:18" x14ac:dyDescent="0.3">
      <c r="A641" t="s">
        <v>2250</v>
      </c>
      <c r="B641" s="1">
        <v>45373</v>
      </c>
      <c r="C641" t="s">
        <v>1056</v>
      </c>
      <c r="D641" t="s">
        <v>1355</v>
      </c>
      <c r="E641" t="s">
        <v>1586</v>
      </c>
      <c r="F641">
        <v>4</v>
      </c>
      <c r="G641" s="14">
        <v>369.22</v>
      </c>
      <c r="H641" s="17">
        <v>0.18</v>
      </c>
      <c r="I641" t="s">
        <v>1614</v>
      </c>
      <c r="J641" s="14">
        <v>1211.0416</v>
      </c>
      <c r="K641" s="14">
        <f t="shared" si="72"/>
        <v>458247.64643188461</v>
      </c>
      <c r="L641" s="14">
        <f t="shared" si="73"/>
        <v>458</v>
      </c>
      <c r="M641" s="14" t="str">
        <f t="shared" si="74"/>
        <v>22-03-2024</v>
      </c>
      <c r="N641" s="14">
        <f t="shared" si="75"/>
        <v>0.15537394077680056</v>
      </c>
      <c r="O641" s="20">
        <f t="shared" si="76"/>
        <v>2.4984657223289757</v>
      </c>
      <c r="P641" s="14">
        <f t="shared" si="77"/>
        <v>473.3763365716535</v>
      </c>
      <c r="Q641" s="14">
        <f t="shared" si="78"/>
        <v>396.11040000000003</v>
      </c>
      <c r="R641" s="14" t="str">
        <f t="shared" si="79"/>
        <v>Mar</v>
      </c>
    </row>
    <row r="642" spans="1:18" x14ac:dyDescent="0.3">
      <c r="A642" t="s">
        <v>2251</v>
      </c>
      <c r="B642" s="1">
        <v>45590</v>
      </c>
      <c r="C642" t="s">
        <v>1231</v>
      </c>
      <c r="D642" t="s">
        <v>1525</v>
      </c>
      <c r="E642" t="s">
        <v>1584</v>
      </c>
      <c r="F642">
        <v>3</v>
      </c>
      <c r="G642" s="14">
        <v>950.83</v>
      </c>
      <c r="H642" s="17">
        <v>0.06</v>
      </c>
      <c r="I642" t="s">
        <v>1611</v>
      </c>
      <c r="J642" s="14">
        <v>2681.3406</v>
      </c>
      <c r="K642" s="14">
        <f t="shared" ref="K642:K705" si="80">SUMIF(I642:I2641,"Credit Card",J642:J2641)</f>
        <v>458247.64643188461</v>
      </c>
      <c r="L642" s="14">
        <f t="shared" ref="L642:L705" si="81">COUNTIF(I642:I2641,"Credit Card")</f>
        <v>458</v>
      </c>
      <c r="M642" s="14" t="str">
        <f t="shared" ref="M642:M705" si="82">TEXT(B642:B2641,"dd-mm-yyyy")</f>
        <v>25-10-2024</v>
      </c>
      <c r="N642" s="14">
        <f t="shared" ref="N642:N705" si="83">AVERAGE(H642:H2641)</f>
        <v>0.1553558067125714</v>
      </c>
      <c r="O642" s="20">
        <f t="shared" ref="O642:O705" si="84">AVERAGE(F642:F2641)</f>
        <v>2.4973600269845937</v>
      </c>
      <c r="P642" s="14">
        <f t="shared" ref="P642:P705" si="85">AVERAGE(G642:G2641)</f>
        <v>473.45303490491676</v>
      </c>
      <c r="Q642" s="14">
        <f t="shared" ref="Q642:Q705" si="86">AVERAGE(F642,G642,H642,J642)</f>
        <v>908.80764999999997</v>
      </c>
      <c r="R642" s="14" t="str">
        <f t="shared" ref="R642:R705" si="87">TEXT(M642,"mmm")</f>
        <v>Oct</v>
      </c>
    </row>
    <row r="643" spans="1:18" x14ac:dyDescent="0.3">
      <c r="A643" t="s">
        <v>2252</v>
      </c>
      <c r="B643" s="1">
        <v>45365</v>
      </c>
      <c r="C643" t="s">
        <v>484</v>
      </c>
      <c r="D643" t="s">
        <v>1407</v>
      </c>
      <c r="E643" t="s">
        <v>1582</v>
      </c>
      <c r="F643">
        <v>3</v>
      </c>
      <c r="G643" s="14">
        <v>338.79</v>
      </c>
      <c r="H643" s="17">
        <v>0.01</v>
      </c>
      <c r="I643" t="s">
        <v>1609</v>
      </c>
      <c r="J643" s="14">
        <v>1006.2063000000001</v>
      </c>
      <c r="K643" s="14">
        <f t="shared" si="80"/>
        <v>458247.64643188461</v>
      </c>
      <c r="L643" s="14">
        <f t="shared" si="81"/>
        <v>458</v>
      </c>
      <c r="M643" s="14" t="str">
        <f t="shared" si="82"/>
        <v>14-03-2024</v>
      </c>
      <c r="N643" s="14">
        <f t="shared" si="83"/>
        <v>0.15542607628273541</v>
      </c>
      <c r="O643" s="20">
        <f t="shared" si="84"/>
        <v>2.4969896216986571</v>
      </c>
      <c r="P643" s="14">
        <f t="shared" si="85"/>
        <v>473.10124642658599</v>
      </c>
      <c r="Q643" s="14">
        <f t="shared" si="86"/>
        <v>337.001575</v>
      </c>
      <c r="R643" s="14" t="str">
        <f t="shared" si="87"/>
        <v>Mar</v>
      </c>
    </row>
    <row r="644" spans="1:18" x14ac:dyDescent="0.3">
      <c r="A644" t="s">
        <v>2253</v>
      </c>
      <c r="B644" s="1">
        <v>45711</v>
      </c>
      <c r="C644" t="s">
        <v>493</v>
      </c>
      <c r="D644" t="s">
        <v>1513</v>
      </c>
      <c r="E644" t="s">
        <v>1542</v>
      </c>
      <c r="F644">
        <v>3</v>
      </c>
      <c r="G644" s="14">
        <v>853.32</v>
      </c>
      <c r="H644" s="17">
        <v>7.0000000000000007E-2</v>
      </c>
      <c r="I644" t="s">
        <v>1614</v>
      </c>
      <c r="J644" s="14">
        <v>2380.7628</v>
      </c>
      <c r="K644" s="14">
        <f t="shared" si="80"/>
        <v>457241.44013188453</v>
      </c>
      <c r="L644" s="14">
        <f t="shared" si="81"/>
        <v>457</v>
      </c>
      <c r="M644" s="14" t="str">
        <f t="shared" si="82"/>
        <v>23-02-2025</v>
      </c>
      <c r="N644" s="14">
        <f t="shared" si="83"/>
        <v>0.15553332265167549</v>
      </c>
      <c r="O644" s="20">
        <f t="shared" si="84"/>
        <v>2.4966186700922406</v>
      </c>
      <c r="P644" s="14">
        <f t="shared" si="85"/>
        <v>473.20029601834597</v>
      </c>
      <c r="Q644" s="14">
        <f t="shared" si="86"/>
        <v>809.28819999999996</v>
      </c>
      <c r="R644" s="14" t="str">
        <f t="shared" si="87"/>
        <v>Feb</v>
      </c>
    </row>
    <row r="645" spans="1:18" x14ac:dyDescent="0.3">
      <c r="A645" t="s">
        <v>2254</v>
      </c>
      <c r="B645" s="1">
        <v>45586</v>
      </c>
      <c r="C645" t="s">
        <v>502</v>
      </c>
      <c r="D645" t="s">
        <v>1485</v>
      </c>
      <c r="E645" t="s">
        <v>1561</v>
      </c>
      <c r="F645">
        <v>3</v>
      </c>
      <c r="G645" s="14">
        <v>89.78</v>
      </c>
      <c r="H645" s="17">
        <v>0.2</v>
      </c>
      <c r="I645" t="s">
        <v>1614</v>
      </c>
      <c r="J645" s="14">
        <v>215.47200000000001</v>
      </c>
      <c r="K645" s="14">
        <f t="shared" si="80"/>
        <v>457241.44013188453</v>
      </c>
      <c r="L645" s="14">
        <f t="shared" si="81"/>
        <v>457</v>
      </c>
      <c r="M645" s="14" t="str">
        <f t="shared" si="82"/>
        <v>21-10-2024</v>
      </c>
      <c r="N645" s="14">
        <f t="shared" si="83"/>
        <v>0.15559644687503466</v>
      </c>
      <c r="O645" s="20">
        <f t="shared" si="84"/>
        <v>2.4962471709557774</v>
      </c>
      <c r="P645" s="14">
        <f t="shared" si="85"/>
        <v>472.91976487149589</v>
      </c>
      <c r="Q645" s="14">
        <f t="shared" si="86"/>
        <v>77.113</v>
      </c>
      <c r="R645" s="14" t="str">
        <f t="shared" si="87"/>
        <v>Oct</v>
      </c>
    </row>
    <row r="646" spans="1:18" x14ac:dyDescent="0.3">
      <c r="A646" t="s">
        <v>2255</v>
      </c>
      <c r="B646" s="1">
        <v>45334</v>
      </c>
      <c r="C646" t="s">
        <v>628</v>
      </c>
      <c r="D646" t="s">
        <v>1443</v>
      </c>
      <c r="E646" t="s">
        <v>1542</v>
      </c>
      <c r="F646">
        <v>1</v>
      </c>
      <c r="G646" s="14">
        <v>172.04</v>
      </c>
      <c r="H646" s="17">
        <v>0.04</v>
      </c>
      <c r="I646" t="s">
        <v>1611</v>
      </c>
      <c r="J646" s="14">
        <v>165.1584</v>
      </c>
      <c r="K646" s="14">
        <f t="shared" si="80"/>
        <v>457241.44013188453</v>
      </c>
      <c r="L646" s="14">
        <f t="shared" si="81"/>
        <v>457</v>
      </c>
      <c r="M646" s="14" t="str">
        <f t="shared" si="82"/>
        <v>12-02-2024</v>
      </c>
      <c r="N646" s="14">
        <f t="shared" si="83"/>
        <v>0.15556365252265283</v>
      </c>
      <c r="O646" s="20">
        <f t="shared" si="84"/>
        <v>2.4958751230761287</v>
      </c>
      <c r="P646" s="14">
        <f t="shared" si="85"/>
        <v>473.20273367863888</v>
      </c>
      <c r="Q646" s="14">
        <f t="shared" si="86"/>
        <v>84.559599999999989</v>
      </c>
      <c r="R646" s="14" t="str">
        <f t="shared" si="87"/>
        <v>Feb</v>
      </c>
    </row>
    <row r="647" spans="1:18" x14ac:dyDescent="0.3">
      <c r="A647" t="s">
        <v>2256</v>
      </c>
      <c r="B647" s="1">
        <v>45333</v>
      </c>
      <c r="C647" t="s">
        <v>1288</v>
      </c>
      <c r="D647" t="s">
        <v>1441</v>
      </c>
      <c r="E647" t="s">
        <v>1542</v>
      </c>
      <c r="F647">
        <v>1</v>
      </c>
      <c r="G647" s="14">
        <v>389.2</v>
      </c>
      <c r="H647" s="17">
        <v>0.05</v>
      </c>
      <c r="I647" t="s">
        <v>1609</v>
      </c>
      <c r="J647" s="14">
        <v>369.74</v>
      </c>
      <c r="K647" s="14">
        <f t="shared" si="80"/>
        <v>457241.44013188453</v>
      </c>
      <c r="L647" s="14">
        <f t="shared" si="81"/>
        <v>457</v>
      </c>
      <c r="M647" s="14" t="str">
        <f t="shared" si="82"/>
        <v>11-02-2024</v>
      </c>
      <c r="N647" s="14">
        <f t="shared" si="83"/>
        <v>0.15564906542178267</v>
      </c>
      <c r="O647" s="20">
        <f t="shared" si="84"/>
        <v>2.4969807218367173</v>
      </c>
      <c r="P647" s="14">
        <f t="shared" si="85"/>
        <v>473.42532254314631</v>
      </c>
      <c r="Q647" s="14">
        <f t="shared" si="86"/>
        <v>189.9975</v>
      </c>
      <c r="R647" s="14" t="str">
        <f t="shared" si="87"/>
        <v>Feb</v>
      </c>
    </row>
    <row r="648" spans="1:18" x14ac:dyDescent="0.3">
      <c r="A648" t="s">
        <v>2257</v>
      </c>
      <c r="B648" s="1">
        <v>45778</v>
      </c>
      <c r="C648" t="s">
        <v>1282</v>
      </c>
      <c r="D648" t="s">
        <v>1487</v>
      </c>
      <c r="E648" t="s">
        <v>1582</v>
      </c>
      <c r="F648">
        <v>3</v>
      </c>
      <c r="G648" s="14">
        <v>865.96</v>
      </c>
      <c r="H648" s="17">
        <v>0.12</v>
      </c>
      <c r="I648" t="s">
        <v>1611</v>
      </c>
      <c r="J648" s="14">
        <v>2286.1343999999999</v>
      </c>
      <c r="K648" s="14">
        <f t="shared" si="80"/>
        <v>456871.70013188454</v>
      </c>
      <c r="L648" s="14">
        <f t="shared" si="81"/>
        <v>456</v>
      </c>
      <c r="M648" s="14" t="str">
        <f t="shared" si="82"/>
        <v>01-05-2025</v>
      </c>
      <c r="N648" s="14">
        <f t="shared" si="83"/>
        <v>0.15572720822165084</v>
      </c>
      <c r="O648" s="20">
        <f t="shared" si="84"/>
        <v>2.4980879560984306</v>
      </c>
      <c r="P648" s="14">
        <f t="shared" si="85"/>
        <v>473.48761937934694</v>
      </c>
      <c r="Q648" s="14">
        <f t="shared" si="86"/>
        <v>788.80359999999996</v>
      </c>
      <c r="R648" s="14" t="str">
        <f t="shared" si="87"/>
        <v>May</v>
      </c>
    </row>
    <row r="649" spans="1:18" x14ac:dyDescent="0.3">
      <c r="A649" t="s">
        <v>2258</v>
      </c>
      <c r="B649" s="1">
        <v>45592</v>
      </c>
      <c r="C649" t="s">
        <v>562</v>
      </c>
      <c r="D649" t="s">
        <v>1371</v>
      </c>
      <c r="E649" t="s">
        <v>1542</v>
      </c>
      <c r="F649">
        <v>3</v>
      </c>
      <c r="G649" s="14">
        <v>79.95</v>
      </c>
      <c r="H649" s="17">
        <v>0.2</v>
      </c>
      <c r="I649" t="s">
        <v>1614</v>
      </c>
      <c r="J649" s="14">
        <v>191.88</v>
      </c>
      <c r="K649" s="14">
        <f t="shared" si="80"/>
        <v>456871.70013188454</v>
      </c>
      <c r="L649" s="14">
        <f t="shared" si="81"/>
        <v>456</v>
      </c>
      <c r="M649" s="14" t="str">
        <f t="shared" si="82"/>
        <v>27-10-2024</v>
      </c>
      <c r="N649" s="14">
        <f t="shared" si="83"/>
        <v>0.15575365323143742</v>
      </c>
      <c r="O649" s="20">
        <f t="shared" si="84"/>
        <v>2.4977164445929523</v>
      </c>
      <c r="P649" s="14">
        <f t="shared" si="85"/>
        <v>473.1971142863635</v>
      </c>
      <c r="Q649" s="14">
        <f t="shared" si="86"/>
        <v>68.757499999999993</v>
      </c>
      <c r="R649" s="14" t="str">
        <f t="shared" si="87"/>
        <v>Oct</v>
      </c>
    </row>
    <row r="650" spans="1:18" x14ac:dyDescent="0.3">
      <c r="A650" t="s">
        <v>2259</v>
      </c>
      <c r="B650" s="1">
        <v>45259</v>
      </c>
      <c r="C650" t="s">
        <v>1190</v>
      </c>
      <c r="D650" t="s">
        <v>1385</v>
      </c>
      <c r="E650" t="s">
        <v>1564</v>
      </c>
      <c r="F650">
        <v>1</v>
      </c>
      <c r="G650" s="14">
        <v>566.5</v>
      </c>
      <c r="H650" s="17">
        <v>0.25</v>
      </c>
      <c r="I650" t="s">
        <v>1614</v>
      </c>
      <c r="J650" s="14">
        <v>424.875</v>
      </c>
      <c r="K650" s="14">
        <f t="shared" si="80"/>
        <v>456871.70013188454</v>
      </c>
      <c r="L650" s="14">
        <f t="shared" si="81"/>
        <v>456</v>
      </c>
      <c r="M650" s="14" t="str">
        <f t="shared" si="82"/>
        <v>29-11-2023</v>
      </c>
      <c r="N650" s="14">
        <f t="shared" si="83"/>
        <v>0.15572087815975699</v>
      </c>
      <c r="O650" s="20">
        <f t="shared" si="84"/>
        <v>2.4973443827000579</v>
      </c>
      <c r="P650" s="14">
        <f t="shared" si="85"/>
        <v>473.48840844509414</v>
      </c>
      <c r="Q650" s="14">
        <f t="shared" si="86"/>
        <v>248.15625</v>
      </c>
      <c r="R650" s="14" t="str">
        <f t="shared" si="87"/>
        <v>Nov</v>
      </c>
    </row>
    <row r="651" spans="1:18" x14ac:dyDescent="0.3">
      <c r="A651" t="s">
        <v>2260</v>
      </c>
      <c r="B651" s="1">
        <v>45801</v>
      </c>
      <c r="C651" t="s">
        <v>1223</v>
      </c>
      <c r="D651" t="s">
        <v>1375</v>
      </c>
      <c r="E651" t="s">
        <v>1537</v>
      </c>
      <c r="F651">
        <v>2</v>
      </c>
      <c r="G651" s="14">
        <v>347.95</v>
      </c>
      <c r="H651" s="17">
        <v>0.13</v>
      </c>
      <c r="I651" t="s">
        <v>1614</v>
      </c>
      <c r="J651" s="14">
        <v>605.43299999999999</v>
      </c>
      <c r="K651" s="14">
        <f t="shared" si="80"/>
        <v>456871.70013188454</v>
      </c>
      <c r="L651" s="14">
        <f t="shared" si="81"/>
        <v>456</v>
      </c>
      <c r="M651" s="14" t="str">
        <f t="shared" si="82"/>
        <v>24-05-2025</v>
      </c>
      <c r="N651" s="14">
        <f t="shared" si="83"/>
        <v>0.15565099000420454</v>
      </c>
      <c r="O651" s="20">
        <f t="shared" si="84"/>
        <v>2.4984543488844171</v>
      </c>
      <c r="P651" s="14">
        <f t="shared" si="85"/>
        <v>473.41945989686951</v>
      </c>
      <c r="Q651" s="14">
        <f t="shared" si="86"/>
        <v>238.87824999999998</v>
      </c>
      <c r="R651" s="14" t="str">
        <f t="shared" si="87"/>
        <v>May</v>
      </c>
    </row>
    <row r="652" spans="1:18" x14ac:dyDescent="0.3">
      <c r="A652" t="s">
        <v>2261</v>
      </c>
      <c r="B652" s="1">
        <v>45347</v>
      </c>
      <c r="C652" t="s">
        <v>681</v>
      </c>
      <c r="D652" t="s">
        <v>1449</v>
      </c>
      <c r="E652" t="s">
        <v>1551</v>
      </c>
      <c r="F652">
        <v>2</v>
      </c>
      <c r="G652" s="14">
        <v>250.83</v>
      </c>
      <c r="H652" s="17">
        <v>0.15</v>
      </c>
      <c r="I652" t="s">
        <v>1611</v>
      </c>
      <c r="J652" s="14">
        <v>426.411</v>
      </c>
      <c r="K652" s="14">
        <f t="shared" si="80"/>
        <v>456871.70013188454</v>
      </c>
      <c r="L652" s="14">
        <f t="shared" si="81"/>
        <v>456</v>
      </c>
      <c r="M652" s="14" t="str">
        <f t="shared" si="82"/>
        <v>25-02-2024</v>
      </c>
      <c r="N652" s="14">
        <f t="shared" si="83"/>
        <v>0.15567001892854002</v>
      </c>
      <c r="O652" s="20">
        <f t="shared" si="84"/>
        <v>2.4988241221402654</v>
      </c>
      <c r="P652" s="14">
        <f t="shared" si="85"/>
        <v>473.51253813121434</v>
      </c>
      <c r="Q652" s="14">
        <f t="shared" si="86"/>
        <v>169.84775000000002</v>
      </c>
      <c r="R652" s="14" t="str">
        <f t="shared" si="87"/>
        <v>Feb</v>
      </c>
    </row>
    <row r="653" spans="1:18" x14ac:dyDescent="0.3">
      <c r="A653" t="s">
        <v>2262</v>
      </c>
      <c r="B653" s="1">
        <v>45721</v>
      </c>
      <c r="C653" t="s">
        <v>502</v>
      </c>
      <c r="D653" t="s">
        <v>1475</v>
      </c>
      <c r="E653" t="s">
        <v>1542</v>
      </c>
      <c r="F653">
        <v>1</v>
      </c>
      <c r="G653" s="14">
        <v>888.05</v>
      </c>
      <c r="H653" s="17">
        <v>0.2</v>
      </c>
      <c r="I653" t="s">
        <v>1611</v>
      </c>
      <c r="J653" s="14">
        <v>710.44</v>
      </c>
      <c r="K653" s="14">
        <f t="shared" si="80"/>
        <v>456871.70013188454</v>
      </c>
      <c r="L653" s="14">
        <f t="shared" si="81"/>
        <v>456</v>
      </c>
      <c r="M653" s="14" t="str">
        <f t="shared" si="82"/>
        <v>05-03-2025</v>
      </c>
      <c r="N653" s="14">
        <f t="shared" si="83"/>
        <v>0.15567422829671265</v>
      </c>
      <c r="O653" s="20">
        <f t="shared" si="84"/>
        <v>2.4991944444284173</v>
      </c>
      <c r="P653" s="14">
        <f t="shared" si="85"/>
        <v>473.67785553146024</v>
      </c>
      <c r="Q653" s="14">
        <f t="shared" si="86"/>
        <v>399.92250000000001</v>
      </c>
      <c r="R653" s="14" t="str">
        <f t="shared" si="87"/>
        <v>Mar</v>
      </c>
    </row>
    <row r="654" spans="1:18" x14ac:dyDescent="0.3">
      <c r="A654" t="s">
        <v>2263</v>
      </c>
      <c r="B654" s="1">
        <v>45531</v>
      </c>
      <c r="C654" t="s">
        <v>36</v>
      </c>
      <c r="D654" t="s">
        <v>1411</v>
      </c>
      <c r="E654" t="s">
        <v>1595</v>
      </c>
      <c r="F654">
        <v>2</v>
      </c>
      <c r="G654" s="14">
        <v>673.02</v>
      </c>
      <c r="H654" s="17">
        <v>0.11</v>
      </c>
      <c r="I654" t="s">
        <v>1611</v>
      </c>
      <c r="J654" s="14">
        <v>1197.9756</v>
      </c>
      <c r="K654" s="14">
        <f t="shared" si="80"/>
        <v>456871.70013188454</v>
      </c>
      <c r="L654" s="14">
        <f t="shared" si="81"/>
        <v>456</v>
      </c>
      <c r="M654" s="14" t="str">
        <f t="shared" si="82"/>
        <v>27-08-2024</v>
      </c>
      <c r="N654" s="14">
        <f t="shared" si="83"/>
        <v>0.15564129681699251</v>
      </c>
      <c r="O654" s="20">
        <f t="shared" si="84"/>
        <v>2.5003082590230896</v>
      </c>
      <c r="P654" s="14">
        <f t="shared" si="85"/>
        <v>473.37000104077049</v>
      </c>
      <c r="Q654" s="14">
        <f t="shared" si="86"/>
        <v>468.27639999999997</v>
      </c>
      <c r="R654" s="14" t="str">
        <f t="shared" si="87"/>
        <v>Aug</v>
      </c>
    </row>
    <row r="655" spans="1:18" x14ac:dyDescent="0.3">
      <c r="A655" t="s">
        <v>2264</v>
      </c>
      <c r="B655" s="1">
        <v>45332</v>
      </c>
      <c r="C655" t="s">
        <v>1261</v>
      </c>
      <c r="D655" t="s">
        <v>1461</v>
      </c>
      <c r="E655" t="s">
        <v>1551</v>
      </c>
      <c r="F655">
        <v>2</v>
      </c>
      <c r="G655" s="14">
        <v>492.62</v>
      </c>
      <c r="H655" s="17">
        <v>0.26</v>
      </c>
      <c r="I655" t="s">
        <v>1614</v>
      </c>
      <c r="J655" s="14">
        <v>729.07759999999996</v>
      </c>
      <c r="K655" s="14">
        <f t="shared" si="80"/>
        <v>456871.70013188454</v>
      </c>
      <c r="L655" s="14">
        <f t="shared" si="81"/>
        <v>456</v>
      </c>
      <c r="M655" s="14" t="str">
        <f t="shared" si="82"/>
        <v>10-02-2024</v>
      </c>
      <c r="N655" s="14">
        <f t="shared" si="83"/>
        <v>0.15567523086667057</v>
      </c>
      <c r="O655" s="20">
        <f t="shared" si="84"/>
        <v>2.5006802354238502</v>
      </c>
      <c r="P655" s="14">
        <f t="shared" si="85"/>
        <v>473.22156237983421</v>
      </c>
      <c r="Q655" s="14">
        <f t="shared" si="86"/>
        <v>305.98939999999999</v>
      </c>
      <c r="R655" s="14" t="str">
        <f t="shared" si="87"/>
        <v>Feb</v>
      </c>
    </row>
    <row r="656" spans="1:18" x14ac:dyDescent="0.3">
      <c r="A656" t="s">
        <v>2265</v>
      </c>
      <c r="B656" s="1">
        <v>45344</v>
      </c>
      <c r="C656" t="s">
        <v>1175</v>
      </c>
      <c r="D656" t="s">
        <v>1503</v>
      </c>
      <c r="E656" t="s">
        <v>1551</v>
      </c>
      <c r="F656">
        <v>4</v>
      </c>
      <c r="G656" s="14">
        <v>986.93</v>
      </c>
      <c r="H656" s="17">
        <v>0.01</v>
      </c>
      <c r="I656" t="s">
        <v>1609</v>
      </c>
      <c r="J656" s="14">
        <v>3908.2428</v>
      </c>
      <c r="K656" s="14">
        <f t="shared" si="80"/>
        <v>456871.70013188454</v>
      </c>
      <c r="L656" s="14">
        <f t="shared" si="81"/>
        <v>456</v>
      </c>
      <c r="M656" s="14" t="str">
        <f t="shared" si="82"/>
        <v>22-02-2024</v>
      </c>
      <c r="N656" s="14">
        <f t="shared" si="83"/>
        <v>0.15559760827058924</v>
      </c>
      <c r="O656" s="20">
        <f t="shared" si="84"/>
        <v>2.5010527653609214</v>
      </c>
      <c r="P656" s="14">
        <f t="shared" si="85"/>
        <v>473.20712901850959</v>
      </c>
      <c r="Q656" s="14">
        <f t="shared" si="86"/>
        <v>1224.7956999999999</v>
      </c>
      <c r="R656" s="14" t="str">
        <f t="shared" si="87"/>
        <v>Feb</v>
      </c>
    </row>
    <row r="657" spans="1:18" x14ac:dyDescent="0.3">
      <c r="A657" t="s">
        <v>2266</v>
      </c>
      <c r="B657" s="1">
        <v>45388</v>
      </c>
      <c r="C657" t="s">
        <v>1300</v>
      </c>
      <c r="D657" t="s">
        <v>1377</v>
      </c>
      <c r="E657" t="s">
        <v>1579</v>
      </c>
      <c r="F657">
        <v>4</v>
      </c>
      <c r="G657" s="14">
        <v>411.68</v>
      </c>
      <c r="H657" s="17">
        <v>0.06</v>
      </c>
      <c r="I657" t="s">
        <v>1611</v>
      </c>
      <c r="J657" s="14">
        <v>1547.9168</v>
      </c>
      <c r="K657" s="14">
        <f t="shared" si="80"/>
        <v>452963.45733188454</v>
      </c>
      <c r="L657" s="14">
        <f t="shared" si="81"/>
        <v>455</v>
      </c>
      <c r="M657" s="14" t="str">
        <f t="shared" si="82"/>
        <v>06-04-2024</v>
      </c>
      <c r="N657" s="14">
        <f t="shared" si="83"/>
        <v>0.15570602048821439</v>
      </c>
      <c r="O657" s="20">
        <f t="shared" si="84"/>
        <v>2.4999366467945481</v>
      </c>
      <c r="P657" s="14">
        <f t="shared" si="85"/>
        <v>472.82461012723536</v>
      </c>
      <c r="Q657" s="14">
        <f t="shared" si="86"/>
        <v>490.91419999999999</v>
      </c>
      <c r="R657" s="14" t="str">
        <f t="shared" si="87"/>
        <v>Apr</v>
      </c>
    </row>
    <row r="658" spans="1:18" x14ac:dyDescent="0.3">
      <c r="A658" t="s">
        <v>2267</v>
      </c>
      <c r="B658" s="1">
        <v>45397</v>
      </c>
      <c r="C658" t="s">
        <v>711</v>
      </c>
      <c r="D658" t="s">
        <v>1405</v>
      </c>
      <c r="E658" t="s">
        <v>1592</v>
      </c>
      <c r="F658">
        <v>2</v>
      </c>
      <c r="G658" s="14">
        <v>637.55999999999995</v>
      </c>
      <c r="H658" s="17">
        <v>0.05</v>
      </c>
      <c r="I658" t="s">
        <v>1614</v>
      </c>
      <c r="J658" s="14">
        <v>1211.364</v>
      </c>
      <c r="K658" s="14">
        <f t="shared" si="80"/>
        <v>452963.45733188454</v>
      </c>
      <c r="L658" s="14">
        <f t="shared" si="81"/>
        <v>455</v>
      </c>
      <c r="M658" s="14" t="str">
        <f t="shared" si="82"/>
        <v>15-04-2024</v>
      </c>
      <c r="N658" s="14">
        <f t="shared" si="83"/>
        <v>0.15577733644983005</v>
      </c>
      <c r="O658" s="20">
        <f t="shared" si="84"/>
        <v>2.4988188648622041</v>
      </c>
      <c r="P658" s="14">
        <f t="shared" si="85"/>
        <v>472.87017242986366</v>
      </c>
      <c r="Q658" s="14">
        <f t="shared" si="86"/>
        <v>462.74349999999998</v>
      </c>
      <c r="R658" s="14" t="str">
        <f t="shared" si="87"/>
        <v>Apr</v>
      </c>
    </row>
    <row r="659" spans="1:18" x14ac:dyDescent="0.3">
      <c r="A659" t="s">
        <v>2268</v>
      </c>
      <c r="B659" s="1">
        <v>45633</v>
      </c>
      <c r="C659" t="s">
        <v>67</v>
      </c>
      <c r="D659" t="s">
        <v>1359</v>
      </c>
      <c r="E659" t="s">
        <v>1551</v>
      </c>
      <c r="F659">
        <v>3</v>
      </c>
      <c r="G659" s="14">
        <v>706.87</v>
      </c>
      <c r="H659" s="17">
        <v>0.27</v>
      </c>
      <c r="I659" t="s">
        <v>1609</v>
      </c>
      <c r="J659" s="14">
        <v>1548.0453</v>
      </c>
      <c r="K659" s="14">
        <f t="shared" si="80"/>
        <v>452963.45733188454</v>
      </c>
      <c r="L659" s="14">
        <f t="shared" si="81"/>
        <v>455</v>
      </c>
      <c r="M659" s="14" t="str">
        <f t="shared" si="82"/>
        <v>07-12-2024</v>
      </c>
      <c r="N659" s="14">
        <f t="shared" si="83"/>
        <v>0.15585621589535564</v>
      </c>
      <c r="O659" s="20">
        <f t="shared" si="84"/>
        <v>2.499190840152929</v>
      </c>
      <c r="P659" s="14">
        <f t="shared" si="85"/>
        <v>472.74736122362185</v>
      </c>
      <c r="Q659" s="14">
        <f t="shared" si="86"/>
        <v>564.54632500000002</v>
      </c>
      <c r="R659" s="14" t="str">
        <f t="shared" si="87"/>
        <v>Dec</v>
      </c>
    </row>
    <row r="660" spans="1:18" x14ac:dyDescent="0.3">
      <c r="A660" t="s">
        <v>2269</v>
      </c>
      <c r="B660" s="1">
        <v>45629</v>
      </c>
      <c r="C660" t="s">
        <v>208</v>
      </c>
      <c r="D660" t="s">
        <v>1363</v>
      </c>
      <c r="E660" t="s">
        <v>1561</v>
      </c>
      <c r="F660">
        <v>2</v>
      </c>
      <c r="G660" s="14">
        <v>884.48</v>
      </c>
      <c r="H660" s="17">
        <v>0.15</v>
      </c>
      <c r="I660" t="s">
        <v>1614</v>
      </c>
      <c r="J660" s="14">
        <v>1768.96</v>
      </c>
      <c r="K660" s="14">
        <f t="shared" si="80"/>
        <v>451415.4120318846</v>
      </c>
      <c r="L660" s="14">
        <f t="shared" si="81"/>
        <v>454</v>
      </c>
      <c r="M660" s="14" t="str">
        <f t="shared" si="82"/>
        <v>03-12-2024</v>
      </c>
      <c r="N660" s="14">
        <f t="shared" si="83"/>
        <v>0.15577103396691935</v>
      </c>
      <c r="O660" s="20">
        <f t="shared" si="84"/>
        <v>2.4988171019739385</v>
      </c>
      <c r="P660" s="14">
        <f t="shared" si="85"/>
        <v>472.57264283647527</v>
      </c>
      <c r="Q660" s="14">
        <f t="shared" si="86"/>
        <v>663.89750000000004</v>
      </c>
      <c r="R660" s="14" t="str">
        <f t="shared" si="87"/>
        <v>Dec</v>
      </c>
    </row>
    <row r="661" spans="1:18" x14ac:dyDescent="0.3">
      <c r="A661" t="s">
        <v>2270</v>
      </c>
      <c r="B661" s="1">
        <v>45291</v>
      </c>
      <c r="C661" t="s">
        <v>181</v>
      </c>
      <c r="D661" t="s">
        <v>1517</v>
      </c>
      <c r="E661" t="s">
        <v>1554</v>
      </c>
      <c r="F661">
        <v>3</v>
      </c>
      <c r="G661" s="14">
        <v>718.23</v>
      </c>
      <c r="H661" s="17">
        <v>0.19</v>
      </c>
      <c r="I661" t="s">
        <v>1611</v>
      </c>
      <c r="J661" s="14">
        <v>1745.2989</v>
      </c>
      <c r="K661" s="14">
        <f t="shared" si="80"/>
        <v>451415.4120318846</v>
      </c>
      <c r="L661" s="14">
        <f t="shared" si="81"/>
        <v>454</v>
      </c>
      <c r="M661" s="14" t="str">
        <f t="shared" si="82"/>
        <v>31-12-2023</v>
      </c>
      <c r="N661" s="14">
        <f t="shared" si="83"/>
        <v>0.15577534392507239</v>
      </c>
      <c r="O661" s="20">
        <f t="shared" si="84"/>
        <v>2.4991896315497217</v>
      </c>
      <c r="P661" s="14">
        <f t="shared" si="85"/>
        <v>472.2650197168611</v>
      </c>
      <c r="Q661" s="14">
        <f t="shared" si="86"/>
        <v>616.67972499999996</v>
      </c>
      <c r="R661" s="14" t="str">
        <f t="shared" si="87"/>
        <v>Dec</v>
      </c>
    </row>
    <row r="662" spans="1:18" x14ac:dyDescent="0.3">
      <c r="A662" t="s">
        <v>2271</v>
      </c>
      <c r="B662" s="1">
        <v>45914</v>
      </c>
      <c r="C662" t="s">
        <v>595</v>
      </c>
      <c r="D662" t="s">
        <v>1513</v>
      </c>
      <c r="E662" t="s">
        <v>1595</v>
      </c>
      <c r="F662">
        <v>3</v>
      </c>
      <c r="G662" s="14">
        <v>107.44</v>
      </c>
      <c r="H662" s="17">
        <v>0.27</v>
      </c>
      <c r="I662" t="s">
        <v>1611</v>
      </c>
      <c r="J662" s="14">
        <v>235.2936</v>
      </c>
      <c r="K662" s="14">
        <f t="shared" si="80"/>
        <v>451415.4120318846</v>
      </c>
      <c r="L662" s="14">
        <f t="shared" si="81"/>
        <v>454</v>
      </c>
      <c r="M662" s="14" t="str">
        <f t="shared" si="82"/>
        <v>14-09-2025</v>
      </c>
      <c r="N662" s="14">
        <f t="shared" si="83"/>
        <v>0.15574976495939602</v>
      </c>
      <c r="O662" s="20">
        <f t="shared" si="84"/>
        <v>2.4988153338154544</v>
      </c>
      <c r="P662" s="14">
        <f t="shared" si="85"/>
        <v>472.08118938780041</v>
      </c>
      <c r="Q662" s="14">
        <f t="shared" si="86"/>
        <v>86.500900000000001</v>
      </c>
      <c r="R662" s="14" t="str">
        <f t="shared" si="87"/>
        <v>Sep</v>
      </c>
    </row>
    <row r="663" spans="1:18" x14ac:dyDescent="0.3">
      <c r="A663" t="s">
        <v>2272</v>
      </c>
      <c r="B663" s="1">
        <v>45673</v>
      </c>
      <c r="C663" t="s">
        <v>211</v>
      </c>
      <c r="D663" t="s">
        <v>1425</v>
      </c>
      <c r="E663" t="s">
        <v>1551</v>
      </c>
      <c r="F663">
        <v>4</v>
      </c>
      <c r="G663" s="14">
        <v>608.97</v>
      </c>
      <c r="H663" s="17">
        <v>0.14000000000000001</v>
      </c>
      <c r="I663" t="s">
        <v>1614</v>
      </c>
      <c r="J663" s="14">
        <v>2094.8568</v>
      </c>
      <c r="K663" s="14">
        <f t="shared" si="80"/>
        <v>451415.4120318846</v>
      </c>
      <c r="L663" s="14">
        <f t="shared" si="81"/>
        <v>454</v>
      </c>
      <c r="M663" s="14" t="str">
        <f t="shared" si="82"/>
        <v>16-01-2025</v>
      </c>
      <c r="N663" s="14">
        <f t="shared" si="83"/>
        <v>0.15566431227798944</v>
      </c>
      <c r="O663" s="20">
        <f t="shared" si="84"/>
        <v>2.4984404761743289</v>
      </c>
      <c r="P663" s="14">
        <f t="shared" si="85"/>
        <v>472.35392026991536</v>
      </c>
      <c r="Q663" s="14">
        <f t="shared" si="86"/>
        <v>676.99170000000004</v>
      </c>
      <c r="R663" s="14" t="str">
        <f t="shared" si="87"/>
        <v>Jan</v>
      </c>
    </row>
    <row r="664" spans="1:18" x14ac:dyDescent="0.3">
      <c r="A664" t="s">
        <v>2273</v>
      </c>
      <c r="B664" s="1">
        <v>45689</v>
      </c>
      <c r="C664" t="s">
        <v>1109</v>
      </c>
      <c r="D664" t="s">
        <v>1455</v>
      </c>
      <c r="E664" t="s">
        <v>1561</v>
      </c>
      <c r="F664">
        <v>3</v>
      </c>
      <c r="G664" s="14">
        <v>260.45999999999998</v>
      </c>
      <c r="H664" s="17">
        <v>0.09</v>
      </c>
      <c r="I664" t="s">
        <v>1609</v>
      </c>
      <c r="J664" s="14">
        <v>711.05579999999986</v>
      </c>
      <c r="K664" s="14">
        <f t="shared" si="80"/>
        <v>451415.4120318846</v>
      </c>
      <c r="L664" s="14">
        <f t="shared" si="81"/>
        <v>454</v>
      </c>
      <c r="M664" s="14" t="str">
        <f t="shared" si="82"/>
        <v>01-02-2025</v>
      </c>
      <c r="N664" s="14">
        <f t="shared" si="83"/>
        <v>0.15567603706262867</v>
      </c>
      <c r="O664" s="20">
        <f t="shared" si="84"/>
        <v>2.497316554375058</v>
      </c>
      <c r="P664" s="14">
        <f t="shared" si="85"/>
        <v>472.25166272520732</v>
      </c>
      <c r="Q664" s="14">
        <f t="shared" si="86"/>
        <v>243.65144999999995</v>
      </c>
      <c r="R664" s="14" t="str">
        <f t="shared" si="87"/>
        <v>Feb</v>
      </c>
    </row>
    <row r="665" spans="1:18" x14ac:dyDescent="0.3">
      <c r="A665" t="s">
        <v>2274</v>
      </c>
      <c r="B665" s="1">
        <v>45646</v>
      </c>
      <c r="C665" t="s">
        <v>425</v>
      </c>
      <c r="D665" t="s">
        <v>1377</v>
      </c>
      <c r="E665" t="s">
        <v>1561</v>
      </c>
      <c r="F665">
        <v>1</v>
      </c>
      <c r="G665" s="14">
        <v>747.03</v>
      </c>
      <c r="H665" s="17">
        <v>0.01</v>
      </c>
      <c r="I665" t="s">
        <v>1609</v>
      </c>
      <c r="J665" s="14">
        <v>739.55970000000002</v>
      </c>
      <c r="K665" s="14">
        <f t="shared" si="80"/>
        <v>450704.35623188462</v>
      </c>
      <c r="L665" s="14">
        <f t="shared" si="81"/>
        <v>453</v>
      </c>
      <c r="M665" s="14" t="str">
        <f t="shared" si="82"/>
        <v>20-12-2024</v>
      </c>
      <c r="N665" s="14">
        <f t="shared" si="83"/>
        <v>0.1557252325960089</v>
      </c>
      <c r="O665" s="20">
        <f t="shared" si="84"/>
        <v>2.4969400124682228</v>
      </c>
      <c r="P665" s="14">
        <f t="shared" si="85"/>
        <v>472.41030816545094</v>
      </c>
      <c r="Q665" s="14">
        <f t="shared" si="86"/>
        <v>371.899925</v>
      </c>
      <c r="R665" s="14" t="str">
        <f t="shared" si="87"/>
        <v>Dec</v>
      </c>
    </row>
    <row r="666" spans="1:18" x14ac:dyDescent="0.3">
      <c r="A666" t="s">
        <v>2275</v>
      </c>
      <c r="B666" s="1">
        <v>45475</v>
      </c>
      <c r="C666" t="s">
        <v>1225</v>
      </c>
      <c r="D666" t="s">
        <v>1365</v>
      </c>
      <c r="E666" t="s">
        <v>1567</v>
      </c>
      <c r="F666">
        <v>4</v>
      </c>
      <c r="G666" s="14">
        <v>700.88</v>
      </c>
      <c r="H666" s="17">
        <v>0.23</v>
      </c>
      <c r="I666" t="s">
        <v>1611</v>
      </c>
      <c r="J666" s="14">
        <v>2158.7103999999999</v>
      </c>
      <c r="K666" s="14">
        <f t="shared" si="80"/>
        <v>449964.79653188464</v>
      </c>
      <c r="L666" s="14">
        <f t="shared" si="81"/>
        <v>452</v>
      </c>
      <c r="M666" s="14" t="str">
        <f t="shared" si="82"/>
        <v>02-07-2024</v>
      </c>
      <c r="N666" s="14">
        <f t="shared" si="83"/>
        <v>0.15583447190080352</v>
      </c>
      <c r="O666" s="20">
        <f t="shared" si="84"/>
        <v>2.4980621564056054</v>
      </c>
      <c r="P666" s="14">
        <f t="shared" si="85"/>
        <v>472.20444632749394</v>
      </c>
      <c r="Q666" s="14">
        <f t="shared" si="86"/>
        <v>715.95510000000002</v>
      </c>
      <c r="R666" s="14" t="str">
        <f t="shared" si="87"/>
        <v>Jul</v>
      </c>
    </row>
    <row r="667" spans="1:18" x14ac:dyDescent="0.3">
      <c r="A667" t="s">
        <v>2276</v>
      </c>
      <c r="B667" s="1">
        <v>45781</v>
      </c>
      <c r="C667" t="s">
        <v>185</v>
      </c>
      <c r="D667" t="s">
        <v>1523</v>
      </c>
      <c r="E667" t="s">
        <v>1584</v>
      </c>
      <c r="F667">
        <v>4</v>
      </c>
      <c r="G667" s="14">
        <v>20.09</v>
      </c>
      <c r="H667" s="17">
        <v>0.16</v>
      </c>
      <c r="I667" t="s">
        <v>1611</v>
      </c>
      <c r="J667" s="14">
        <v>67.502399999999994</v>
      </c>
      <c r="K667" s="14">
        <f t="shared" si="80"/>
        <v>449964.79653188464</v>
      </c>
      <c r="L667" s="14">
        <f t="shared" si="81"/>
        <v>452</v>
      </c>
      <c r="M667" s="14" t="str">
        <f t="shared" si="82"/>
        <v>04-05-2025</v>
      </c>
      <c r="N667" s="14">
        <f t="shared" si="83"/>
        <v>0.15577883384521521</v>
      </c>
      <c r="O667" s="20">
        <f t="shared" si="84"/>
        <v>2.4969354213391428</v>
      </c>
      <c r="P667" s="14">
        <f t="shared" si="85"/>
        <v>472.03289677485139</v>
      </c>
      <c r="Q667" s="14">
        <f t="shared" si="86"/>
        <v>22.938099999999999</v>
      </c>
      <c r="R667" s="14" t="str">
        <f t="shared" si="87"/>
        <v>May</v>
      </c>
    </row>
    <row r="668" spans="1:18" x14ac:dyDescent="0.3">
      <c r="A668" t="s">
        <v>2277</v>
      </c>
      <c r="B668" s="1">
        <v>45654</v>
      </c>
      <c r="C668" t="s">
        <v>230</v>
      </c>
      <c r="D668" t="s">
        <v>1407</v>
      </c>
      <c r="E668" t="s">
        <v>1577</v>
      </c>
      <c r="F668">
        <v>3</v>
      </c>
      <c r="G668" s="14">
        <v>917.64</v>
      </c>
      <c r="H668" s="17">
        <v>0.24</v>
      </c>
      <c r="I668" t="s">
        <v>1611</v>
      </c>
      <c r="J668" s="14">
        <v>2092.2192</v>
      </c>
      <c r="K668" s="14">
        <f t="shared" si="80"/>
        <v>449964.79653188464</v>
      </c>
      <c r="L668" s="14">
        <f t="shared" si="81"/>
        <v>452</v>
      </c>
      <c r="M668" s="14" t="str">
        <f t="shared" si="82"/>
        <v>28-12-2024</v>
      </c>
      <c r="N668" s="14">
        <f t="shared" si="83"/>
        <v>0.15577566480155547</v>
      </c>
      <c r="O668" s="20">
        <f t="shared" si="84"/>
        <v>2.4958069944782868</v>
      </c>
      <c r="P668" s="14">
        <f t="shared" si="85"/>
        <v>472.37219324390156</v>
      </c>
      <c r="Q668" s="14">
        <f t="shared" si="86"/>
        <v>753.27480000000003</v>
      </c>
      <c r="R668" s="14" t="str">
        <f t="shared" si="87"/>
        <v>Dec</v>
      </c>
    </row>
    <row r="669" spans="1:18" x14ac:dyDescent="0.3">
      <c r="A669" t="s">
        <v>2278</v>
      </c>
      <c r="B669" s="1">
        <v>45594</v>
      </c>
      <c r="C669" t="s">
        <v>195</v>
      </c>
      <c r="D669" t="s">
        <v>1375</v>
      </c>
      <c r="E669" t="s">
        <v>1537</v>
      </c>
      <c r="F669">
        <v>1</v>
      </c>
      <c r="G669" s="14">
        <v>242.08</v>
      </c>
      <c r="H669" s="17">
        <v>0.18</v>
      </c>
      <c r="I669" t="s">
        <v>1611</v>
      </c>
      <c r="J669" s="14">
        <v>198.50559999999999</v>
      </c>
      <c r="K669" s="14">
        <f t="shared" si="80"/>
        <v>449964.79653188464</v>
      </c>
      <c r="L669" s="14">
        <f t="shared" si="81"/>
        <v>452</v>
      </c>
      <c r="M669" s="14" t="str">
        <f t="shared" si="82"/>
        <v>29-10-2024</v>
      </c>
      <c r="N669" s="14">
        <f t="shared" si="83"/>
        <v>0.15571238581192479</v>
      </c>
      <c r="O669" s="20">
        <f t="shared" si="84"/>
        <v>2.4954281868107273</v>
      </c>
      <c r="P669" s="14">
        <f t="shared" si="85"/>
        <v>472.03765695032075</v>
      </c>
      <c r="Q669" s="14">
        <f t="shared" si="86"/>
        <v>110.4414</v>
      </c>
      <c r="R669" s="14" t="str">
        <f t="shared" si="87"/>
        <v>Oct</v>
      </c>
    </row>
    <row r="670" spans="1:18" x14ac:dyDescent="0.3">
      <c r="A670" t="s">
        <v>2279</v>
      </c>
      <c r="B670" s="1">
        <v>45581</v>
      </c>
      <c r="C670" t="s">
        <v>214</v>
      </c>
      <c r="D670" t="s">
        <v>1459</v>
      </c>
      <c r="E670" t="s">
        <v>1564</v>
      </c>
      <c r="F670">
        <v>1</v>
      </c>
      <c r="G670" s="14">
        <v>536.67999999999995</v>
      </c>
      <c r="H670" s="17">
        <v>0.27</v>
      </c>
      <c r="I670" t="s">
        <v>1609</v>
      </c>
      <c r="J670" s="14">
        <v>391.77640000000002</v>
      </c>
      <c r="K670" s="14">
        <f t="shared" si="80"/>
        <v>449964.79653188464</v>
      </c>
      <c r="L670" s="14">
        <f t="shared" si="81"/>
        <v>452</v>
      </c>
      <c r="M670" s="14" t="str">
        <f t="shared" si="82"/>
        <v>16-10-2024</v>
      </c>
      <c r="N670" s="14">
        <f t="shared" si="83"/>
        <v>0.15569412444787359</v>
      </c>
      <c r="O670" s="20">
        <f t="shared" si="84"/>
        <v>2.4965525689060737</v>
      </c>
      <c r="P670" s="14">
        <f t="shared" si="85"/>
        <v>472.21055744426849</v>
      </c>
      <c r="Q670" s="14">
        <f t="shared" si="86"/>
        <v>232.4316</v>
      </c>
      <c r="R670" s="14" t="str">
        <f t="shared" si="87"/>
        <v>Oct</v>
      </c>
    </row>
    <row r="671" spans="1:18" x14ac:dyDescent="0.3">
      <c r="A671" t="s">
        <v>2280</v>
      </c>
      <c r="B671" s="1">
        <v>45748</v>
      </c>
      <c r="C671" t="s">
        <v>338</v>
      </c>
      <c r="D671" t="s">
        <v>1391</v>
      </c>
      <c r="E671" t="s">
        <v>1554</v>
      </c>
      <c r="F671">
        <v>2</v>
      </c>
      <c r="G671" s="14">
        <v>145.18</v>
      </c>
      <c r="H671" s="17">
        <v>0.26</v>
      </c>
      <c r="I671" t="s">
        <v>1611</v>
      </c>
      <c r="J671" s="14">
        <v>214.8664</v>
      </c>
      <c r="K671" s="14">
        <f t="shared" si="80"/>
        <v>449573.02013188461</v>
      </c>
      <c r="L671" s="14">
        <f t="shared" si="81"/>
        <v>451</v>
      </c>
      <c r="M671" s="14" t="str">
        <f t="shared" si="82"/>
        <v>01-04-2025</v>
      </c>
      <c r="N671" s="14">
        <f t="shared" si="83"/>
        <v>0.15560811551216847</v>
      </c>
      <c r="O671" s="20">
        <f t="shared" si="84"/>
        <v>2.4976786430737983</v>
      </c>
      <c r="P671" s="14">
        <f t="shared" si="85"/>
        <v>472.1620477057013</v>
      </c>
      <c r="Q671" s="14">
        <f t="shared" si="86"/>
        <v>90.576599999999999</v>
      </c>
      <c r="R671" s="14" t="str">
        <f t="shared" si="87"/>
        <v>Apr</v>
      </c>
    </row>
    <row r="672" spans="1:18" x14ac:dyDescent="0.3">
      <c r="A672" t="s">
        <v>2281</v>
      </c>
      <c r="B672" s="1">
        <v>45369</v>
      </c>
      <c r="C672" t="s">
        <v>716</v>
      </c>
      <c r="D672" t="s">
        <v>1467</v>
      </c>
      <c r="E672" t="s">
        <v>1554</v>
      </c>
      <c r="F672">
        <v>2</v>
      </c>
      <c r="G672" s="14">
        <v>132.77000000000001</v>
      </c>
      <c r="H672" s="17">
        <v>0.13</v>
      </c>
      <c r="I672" t="s">
        <v>1614</v>
      </c>
      <c r="J672" s="14">
        <v>231.0198</v>
      </c>
      <c r="K672" s="14">
        <f t="shared" si="80"/>
        <v>449573.02013188461</v>
      </c>
      <c r="L672" s="14">
        <f t="shared" si="81"/>
        <v>451</v>
      </c>
      <c r="M672" s="14" t="str">
        <f t="shared" si="82"/>
        <v>18-03-2024</v>
      </c>
      <c r="N672" s="14">
        <f t="shared" si="83"/>
        <v>0.15552950716541558</v>
      </c>
      <c r="O672" s="20">
        <f t="shared" si="84"/>
        <v>2.4980534010881605</v>
      </c>
      <c r="P672" s="14">
        <f t="shared" si="85"/>
        <v>472.40826912716636</v>
      </c>
      <c r="Q672" s="14">
        <f t="shared" si="86"/>
        <v>91.479950000000002</v>
      </c>
      <c r="R672" s="14" t="str">
        <f t="shared" si="87"/>
        <v>Mar</v>
      </c>
    </row>
    <row r="673" spans="1:18" x14ac:dyDescent="0.3">
      <c r="A673" t="s">
        <v>2282</v>
      </c>
      <c r="B673" s="1">
        <v>45701</v>
      </c>
      <c r="C673" t="s">
        <v>63</v>
      </c>
      <c r="D673" t="s">
        <v>1415</v>
      </c>
      <c r="E673" t="s">
        <v>1571</v>
      </c>
      <c r="F673">
        <v>4</v>
      </c>
      <c r="G673" s="14">
        <v>682.11</v>
      </c>
      <c r="H673" s="17">
        <v>0.14000000000000001</v>
      </c>
      <c r="I673" t="s">
        <v>1609</v>
      </c>
      <c r="J673" s="14">
        <v>2346.4584</v>
      </c>
      <c r="K673" s="14">
        <f t="shared" si="80"/>
        <v>449573.02013188461</v>
      </c>
      <c r="L673" s="14">
        <f t="shared" si="81"/>
        <v>451</v>
      </c>
      <c r="M673" s="14" t="str">
        <f t="shared" si="82"/>
        <v>13-02-2025</v>
      </c>
      <c r="N673" s="14">
        <f t="shared" si="83"/>
        <v>0.15554874567872787</v>
      </c>
      <c r="O673" s="20">
        <f t="shared" si="84"/>
        <v>2.4984287239224399</v>
      </c>
      <c r="P673" s="14">
        <f t="shared" si="85"/>
        <v>472.66421356509187</v>
      </c>
      <c r="Q673" s="14">
        <f t="shared" si="86"/>
        <v>758.1771</v>
      </c>
      <c r="R673" s="14" t="str">
        <f t="shared" si="87"/>
        <v>Feb</v>
      </c>
    </row>
    <row r="674" spans="1:18" x14ac:dyDescent="0.3">
      <c r="A674" t="s">
        <v>2283</v>
      </c>
      <c r="B674" s="1">
        <v>45510</v>
      </c>
      <c r="C674" t="s">
        <v>1307</v>
      </c>
      <c r="D674" t="s">
        <v>1413</v>
      </c>
      <c r="E674" t="s">
        <v>1592</v>
      </c>
      <c r="F674">
        <v>4</v>
      </c>
      <c r="G674" s="14">
        <v>502.95</v>
      </c>
      <c r="H674" s="17">
        <v>0.14000000000000001</v>
      </c>
      <c r="I674" t="s">
        <v>1614</v>
      </c>
      <c r="J674" s="14">
        <v>1730.1479999999999</v>
      </c>
      <c r="K674" s="14">
        <f t="shared" si="80"/>
        <v>447226.56173188472</v>
      </c>
      <c r="L674" s="14">
        <f t="shared" si="81"/>
        <v>450</v>
      </c>
      <c r="M674" s="14" t="str">
        <f t="shared" si="82"/>
        <v>06-08-2024</v>
      </c>
      <c r="N674" s="14">
        <f t="shared" si="83"/>
        <v>0.15556047173127593</v>
      </c>
      <c r="O674" s="20">
        <f t="shared" si="84"/>
        <v>2.4972963172285656</v>
      </c>
      <c r="P674" s="14">
        <f t="shared" si="85"/>
        <v>472.50626048331594</v>
      </c>
      <c r="Q674" s="14">
        <f t="shared" si="86"/>
        <v>559.30949999999996</v>
      </c>
      <c r="R674" s="14" t="str">
        <f t="shared" si="87"/>
        <v>Aug</v>
      </c>
    </row>
    <row r="675" spans="1:18" x14ac:dyDescent="0.3">
      <c r="A675" t="s">
        <v>2284</v>
      </c>
      <c r="B675" s="1">
        <v>45538</v>
      </c>
      <c r="C675" t="s">
        <v>752</v>
      </c>
      <c r="D675" t="s">
        <v>1407</v>
      </c>
      <c r="E675" t="s">
        <v>1589</v>
      </c>
      <c r="F675">
        <v>2</v>
      </c>
      <c r="G675" s="14">
        <v>472.08</v>
      </c>
      <c r="H675" s="17">
        <v>7.0000000000000007E-2</v>
      </c>
      <c r="I675" t="s">
        <v>1609</v>
      </c>
      <c r="J675" s="14">
        <v>878.0687999999999</v>
      </c>
      <c r="K675" s="14">
        <f t="shared" si="80"/>
        <v>447226.56173188472</v>
      </c>
      <c r="L675" s="14">
        <f t="shared" si="81"/>
        <v>450</v>
      </c>
      <c r="M675" s="14" t="str">
        <f t="shared" si="82"/>
        <v>03-09-2024</v>
      </c>
      <c r="N675" s="14">
        <f t="shared" si="83"/>
        <v>0.15557221548352593</v>
      </c>
      <c r="O675" s="20">
        <f t="shared" si="84"/>
        <v>2.4961622012415683</v>
      </c>
      <c r="P675" s="14">
        <f t="shared" si="85"/>
        <v>472.4832840761336</v>
      </c>
      <c r="Q675" s="14">
        <f t="shared" si="86"/>
        <v>338.05469999999997</v>
      </c>
      <c r="R675" s="14" t="str">
        <f t="shared" si="87"/>
        <v>Sep</v>
      </c>
    </row>
    <row r="676" spans="1:18" x14ac:dyDescent="0.3">
      <c r="A676" t="s">
        <v>2285</v>
      </c>
      <c r="B676" s="1">
        <v>45665</v>
      </c>
      <c r="C676" t="s">
        <v>1294</v>
      </c>
      <c r="D676" t="s">
        <v>1447</v>
      </c>
      <c r="E676" t="s">
        <v>1592</v>
      </c>
      <c r="F676">
        <v>2</v>
      </c>
      <c r="G676" s="14">
        <v>218.11</v>
      </c>
      <c r="H676" s="17">
        <v>0.02</v>
      </c>
      <c r="I676" t="s">
        <v>1614</v>
      </c>
      <c r="J676" s="14">
        <v>427.49560000000002</v>
      </c>
      <c r="K676" s="14">
        <f t="shared" si="80"/>
        <v>446348.49293188471</v>
      </c>
      <c r="L676" s="14">
        <f t="shared" si="81"/>
        <v>449</v>
      </c>
      <c r="M676" s="14" t="str">
        <f t="shared" si="82"/>
        <v>08-01-2025</v>
      </c>
      <c r="N676" s="14">
        <f t="shared" si="83"/>
        <v>0.15563684706621742</v>
      </c>
      <c r="O676" s="20">
        <f t="shared" si="84"/>
        <v>2.4965369461065547</v>
      </c>
      <c r="P676" s="14">
        <f t="shared" si="85"/>
        <v>472.48358867135721</v>
      </c>
      <c r="Q676" s="14">
        <f t="shared" si="86"/>
        <v>161.90640000000002</v>
      </c>
      <c r="R676" s="14" t="str">
        <f t="shared" si="87"/>
        <v>Jan</v>
      </c>
    </row>
    <row r="677" spans="1:18" x14ac:dyDescent="0.3">
      <c r="A677" t="s">
        <v>2286</v>
      </c>
      <c r="B677" s="1">
        <v>45859</v>
      </c>
      <c r="C677" t="s">
        <v>214</v>
      </c>
      <c r="D677" t="s">
        <v>1331</v>
      </c>
      <c r="E677" t="s">
        <v>1561</v>
      </c>
      <c r="F677">
        <v>4</v>
      </c>
      <c r="G677" s="14">
        <v>845.58</v>
      </c>
      <c r="H677" s="17">
        <v>0.06</v>
      </c>
      <c r="I677" t="s">
        <v>1611</v>
      </c>
      <c r="J677" s="14">
        <v>3179.3807999999999</v>
      </c>
      <c r="K677" s="14">
        <f t="shared" si="80"/>
        <v>446348.49293188471</v>
      </c>
      <c r="L677" s="14">
        <f t="shared" si="81"/>
        <v>449</v>
      </c>
      <c r="M677" s="14" t="str">
        <f t="shared" si="82"/>
        <v>21-07-2025</v>
      </c>
      <c r="N677" s="14">
        <f t="shared" si="83"/>
        <v>0.15573936924842924</v>
      </c>
      <c r="O677" s="20">
        <f t="shared" si="84"/>
        <v>2.496912257479273</v>
      </c>
      <c r="P677" s="14">
        <f t="shared" si="85"/>
        <v>472.67585895757895</v>
      </c>
      <c r="Q677" s="14">
        <f t="shared" si="86"/>
        <v>1007.2551999999999</v>
      </c>
      <c r="R677" s="14" t="str">
        <f t="shared" si="87"/>
        <v>Jul</v>
      </c>
    </row>
    <row r="678" spans="1:18" x14ac:dyDescent="0.3">
      <c r="A678" t="s">
        <v>2287</v>
      </c>
      <c r="B678" s="1">
        <v>45255</v>
      </c>
      <c r="C678" t="s">
        <v>441</v>
      </c>
      <c r="D678" t="s">
        <v>1493</v>
      </c>
      <c r="E678" t="s">
        <v>1546</v>
      </c>
      <c r="F678">
        <v>2</v>
      </c>
      <c r="G678" s="14">
        <v>111.28</v>
      </c>
      <c r="H678" s="17">
        <v>0.14000000000000001</v>
      </c>
      <c r="I678" t="s">
        <v>1609</v>
      </c>
      <c r="J678" s="14">
        <v>191.4016</v>
      </c>
      <c r="K678" s="14">
        <f t="shared" si="80"/>
        <v>446348.49293188471</v>
      </c>
      <c r="L678" s="14">
        <f t="shared" si="81"/>
        <v>449</v>
      </c>
      <c r="M678" s="14" t="str">
        <f t="shared" si="82"/>
        <v>25-11-2023</v>
      </c>
      <c r="N678" s="14">
        <f t="shared" si="83"/>
        <v>0.15581178934619658</v>
      </c>
      <c r="O678" s="20">
        <f t="shared" si="84"/>
        <v>2.4957752773412087</v>
      </c>
      <c r="P678" s="14">
        <f t="shared" si="85"/>
        <v>472.39378320792508</v>
      </c>
      <c r="Q678" s="14">
        <f t="shared" si="86"/>
        <v>76.205399999999997</v>
      </c>
      <c r="R678" s="14" t="str">
        <f t="shared" si="87"/>
        <v>Nov</v>
      </c>
    </row>
    <row r="679" spans="1:18" x14ac:dyDescent="0.3">
      <c r="A679" t="s">
        <v>2288</v>
      </c>
      <c r="B679" s="1">
        <v>45842</v>
      </c>
      <c r="C679" t="s">
        <v>585</v>
      </c>
      <c r="D679" t="s">
        <v>1451</v>
      </c>
      <c r="E679" t="s">
        <v>1584</v>
      </c>
      <c r="F679">
        <v>2</v>
      </c>
      <c r="G679" s="14">
        <v>37.21</v>
      </c>
      <c r="H679" s="17">
        <v>0.19</v>
      </c>
      <c r="I679" t="s">
        <v>1609</v>
      </c>
      <c r="J679" s="14">
        <v>60.280200000000008</v>
      </c>
      <c r="K679" s="14">
        <f t="shared" si="80"/>
        <v>446157.09133188467</v>
      </c>
      <c r="L679" s="14">
        <f t="shared" si="81"/>
        <v>448</v>
      </c>
      <c r="M679" s="14" t="str">
        <f t="shared" si="82"/>
        <v>04-07-2025</v>
      </c>
      <c r="N679" s="14">
        <f t="shared" si="83"/>
        <v>0.15582375890664035</v>
      </c>
      <c r="O679" s="20">
        <f t="shared" si="84"/>
        <v>2.4961505803520656</v>
      </c>
      <c r="P679" s="14">
        <f t="shared" si="85"/>
        <v>472.66714716190535</v>
      </c>
      <c r="Q679" s="14">
        <f t="shared" si="86"/>
        <v>24.920050000000003</v>
      </c>
      <c r="R679" s="14" t="str">
        <f t="shared" si="87"/>
        <v>Jul</v>
      </c>
    </row>
    <row r="680" spans="1:18" x14ac:dyDescent="0.3">
      <c r="A680" t="s">
        <v>2289</v>
      </c>
      <c r="B680" s="1">
        <v>45220</v>
      </c>
      <c r="C680" t="s">
        <v>1238</v>
      </c>
      <c r="D680" t="s">
        <v>1457</v>
      </c>
      <c r="E680" t="s">
        <v>1582</v>
      </c>
      <c r="F680">
        <v>1</v>
      </c>
      <c r="G680" s="14">
        <v>331.73</v>
      </c>
      <c r="H680" s="17">
        <v>0.04</v>
      </c>
      <c r="I680" t="s">
        <v>1609</v>
      </c>
      <c r="J680" s="14">
        <v>318.46080000000001</v>
      </c>
      <c r="K680" s="14">
        <f t="shared" si="80"/>
        <v>446096.81113188469</v>
      </c>
      <c r="L680" s="14">
        <f t="shared" si="81"/>
        <v>447</v>
      </c>
      <c r="M680" s="14" t="str">
        <f t="shared" si="82"/>
        <v>21-10-2023</v>
      </c>
      <c r="N680" s="14">
        <f t="shared" si="83"/>
        <v>0.15579786781490293</v>
      </c>
      <c r="O680" s="20">
        <f t="shared" si="84"/>
        <v>2.4965264520038475</v>
      </c>
      <c r="P680" s="14">
        <f t="shared" si="85"/>
        <v>472.9970389400583</v>
      </c>
      <c r="Q680" s="14">
        <f t="shared" si="86"/>
        <v>162.80770000000001</v>
      </c>
      <c r="R680" s="14" t="str">
        <f t="shared" si="87"/>
        <v>Oct</v>
      </c>
    </row>
    <row r="681" spans="1:18" x14ac:dyDescent="0.3">
      <c r="A681" t="s">
        <v>2290</v>
      </c>
      <c r="B681" s="1">
        <v>45273</v>
      </c>
      <c r="C681" t="s">
        <v>1139</v>
      </c>
      <c r="D681" t="s">
        <v>1473</v>
      </c>
      <c r="E681" t="s">
        <v>1579</v>
      </c>
      <c r="F681">
        <v>3</v>
      </c>
      <c r="G681" s="14">
        <v>306.70999999999998</v>
      </c>
      <c r="H681" s="17">
        <v>0.09</v>
      </c>
      <c r="I681" t="s">
        <v>1611</v>
      </c>
      <c r="J681" s="14">
        <v>837.31829999999991</v>
      </c>
      <c r="K681" s="14">
        <f t="shared" si="80"/>
        <v>445778.35033188469</v>
      </c>
      <c r="L681" s="14">
        <f t="shared" si="81"/>
        <v>446</v>
      </c>
      <c r="M681" s="14" t="str">
        <f t="shared" si="82"/>
        <v>13-12-2023</v>
      </c>
      <c r="N681" s="14">
        <f t="shared" si="83"/>
        <v>0.15588565998155562</v>
      </c>
      <c r="O681" s="20">
        <f t="shared" si="84"/>
        <v>2.4976610437036229</v>
      </c>
      <c r="P681" s="14">
        <f t="shared" si="85"/>
        <v>473.104140561696</v>
      </c>
      <c r="Q681" s="14">
        <f t="shared" si="86"/>
        <v>286.77957499999997</v>
      </c>
      <c r="R681" s="14" t="str">
        <f t="shared" si="87"/>
        <v>Dec</v>
      </c>
    </row>
    <row r="682" spans="1:18" x14ac:dyDescent="0.3">
      <c r="A682" t="s">
        <v>2291</v>
      </c>
      <c r="B682" s="1">
        <v>45456</v>
      </c>
      <c r="C682" t="s">
        <v>860</v>
      </c>
      <c r="D682" t="s">
        <v>1383</v>
      </c>
      <c r="E682" t="s">
        <v>1561</v>
      </c>
      <c r="F682">
        <v>4</v>
      </c>
      <c r="G682" s="14">
        <v>484.92</v>
      </c>
      <c r="H682" s="17">
        <v>0.28000000000000003</v>
      </c>
      <c r="I682" t="s">
        <v>1611</v>
      </c>
      <c r="J682" s="14">
        <v>1396.5696</v>
      </c>
      <c r="K682" s="14">
        <f t="shared" si="80"/>
        <v>445778.35033188469</v>
      </c>
      <c r="L682" s="14">
        <f t="shared" si="81"/>
        <v>446</v>
      </c>
      <c r="M682" s="14" t="str">
        <f t="shared" si="82"/>
        <v>13-06-2024</v>
      </c>
      <c r="N682" s="14">
        <f t="shared" si="83"/>
        <v>0.15593564910142024</v>
      </c>
      <c r="O682" s="20">
        <f t="shared" si="84"/>
        <v>2.4972799064074951</v>
      </c>
      <c r="P682" s="14">
        <f t="shared" si="85"/>
        <v>473.23038801280507</v>
      </c>
      <c r="Q682" s="14">
        <f t="shared" si="86"/>
        <v>471.44240000000002</v>
      </c>
      <c r="R682" s="14" t="str">
        <f t="shared" si="87"/>
        <v>Jun</v>
      </c>
    </row>
    <row r="683" spans="1:18" x14ac:dyDescent="0.3">
      <c r="A683" t="s">
        <v>2292</v>
      </c>
      <c r="B683" s="1">
        <v>45292</v>
      </c>
      <c r="C683" t="s">
        <v>168</v>
      </c>
      <c r="D683" t="s">
        <v>1433</v>
      </c>
      <c r="E683" t="s">
        <v>1558</v>
      </c>
      <c r="F683">
        <v>2</v>
      </c>
      <c r="G683" s="14">
        <v>42.04</v>
      </c>
      <c r="H683" s="17">
        <v>7.0000000000000007E-2</v>
      </c>
      <c r="I683" t="s">
        <v>1609</v>
      </c>
      <c r="J683" s="14">
        <v>78.194399999999987</v>
      </c>
      <c r="K683" s="14">
        <f t="shared" si="80"/>
        <v>445778.35033188469</v>
      </c>
      <c r="L683" s="14">
        <f t="shared" si="81"/>
        <v>446</v>
      </c>
      <c r="M683" s="14" t="str">
        <f t="shared" si="82"/>
        <v>01-01-2024</v>
      </c>
      <c r="N683" s="14">
        <f t="shared" si="83"/>
        <v>0.1558414468607987</v>
      </c>
      <c r="O683" s="20">
        <f t="shared" si="84"/>
        <v>2.4961388888724971</v>
      </c>
      <c r="P683" s="14">
        <f t="shared" si="85"/>
        <v>473.22151207355893</v>
      </c>
      <c r="Q683" s="14">
        <f t="shared" si="86"/>
        <v>30.576099999999997</v>
      </c>
      <c r="R683" s="14" t="str">
        <f t="shared" si="87"/>
        <v>Jan</v>
      </c>
    </row>
    <row r="684" spans="1:18" x14ac:dyDescent="0.3">
      <c r="A684" t="s">
        <v>2293</v>
      </c>
      <c r="B684" s="1">
        <v>45278</v>
      </c>
      <c r="C684" t="s">
        <v>893</v>
      </c>
      <c r="D684" t="s">
        <v>1443</v>
      </c>
      <c r="E684" t="s">
        <v>1561</v>
      </c>
      <c r="F684">
        <v>3</v>
      </c>
      <c r="G684" s="14">
        <v>599.48</v>
      </c>
      <c r="H684" s="17">
        <v>0.22</v>
      </c>
      <c r="I684" t="s">
        <v>1611</v>
      </c>
      <c r="J684" s="14">
        <v>1402.7832000000001</v>
      </c>
      <c r="K684" s="14">
        <f t="shared" si="80"/>
        <v>445700.15593188471</v>
      </c>
      <c r="L684" s="14">
        <f t="shared" si="81"/>
        <v>445</v>
      </c>
      <c r="M684" s="14" t="str">
        <f t="shared" si="82"/>
        <v>18-12-2023</v>
      </c>
      <c r="N684" s="14">
        <f t="shared" si="83"/>
        <v>0.15590667592376284</v>
      </c>
      <c r="O684" s="20">
        <f t="shared" si="84"/>
        <v>2.4965158941072025</v>
      </c>
      <c r="P684" s="14">
        <f t="shared" si="85"/>
        <v>473.54915759945067</v>
      </c>
      <c r="Q684" s="14">
        <f t="shared" si="86"/>
        <v>501.37080000000003</v>
      </c>
      <c r="R684" s="14" t="str">
        <f t="shared" si="87"/>
        <v>Dec</v>
      </c>
    </row>
    <row r="685" spans="1:18" x14ac:dyDescent="0.3">
      <c r="A685" t="s">
        <v>2294</v>
      </c>
      <c r="B685" s="1">
        <v>45232</v>
      </c>
      <c r="C685" t="s">
        <v>1118</v>
      </c>
      <c r="D685" t="s">
        <v>1367</v>
      </c>
      <c r="E685" t="s">
        <v>1542</v>
      </c>
      <c r="F685">
        <v>3</v>
      </c>
      <c r="G685" s="14">
        <v>401.42</v>
      </c>
      <c r="H685" s="17">
        <v>0.01</v>
      </c>
      <c r="I685" t="s">
        <v>1614</v>
      </c>
      <c r="J685" s="14">
        <v>1192.2174</v>
      </c>
      <c r="K685" s="14">
        <f t="shared" si="80"/>
        <v>445700.15593188471</v>
      </c>
      <c r="L685" s="14">
        <f t="shared" si="81"/>
        <v>445</v>
      </c>
      <c r="M685" s="14" t="str">
        <f t="shared" si="82"/>
        <v>02-11-2023</v>
      </c>
      <c r="N685" s="14">
        <f t="shared" si="83"/>
        <v>0.15585793575336265</v>
      </c>
      <c r="O685" s="20">
        <f t="shared" si="84"/>
        <v>2.4961330164601359</v>
      </c>
      <c r="P685" s="14">
        <f t="shared" si="85"/>
        <v>473.45339270028666</v>
      </c>
      <c r="Q685" s="14">
        <f t="shared" si="86"/>
        <v>399.16185000000002</v>
      </c>
      <c r="R685" s="14" t="str">
        <f t="shared" si="87"/>
        <v>Nov</v>
      </c>
    </row>
    <row r="686" spans="1:18" x14ac:dyDescent="0.3">
      <c r="A686" t="s">
        <v>2295</v>
      </c>
      <c r="B686" s="1">
        <v>45907</v>
      </c>
      <c r="C686" t="s">
        <v>631</v>
      </c>
      <c r="D686" t="s">
        <v>1425</v>
      </c>
      <c r="E686" t="s">
        <v>1567</v>
      </c>
      <c r="F686">
        <v>4</v>
      </c>
      <c r="G686" s="14">
        <v>442.54</v>
      </c>
      <c r="H686" s="17">
        <v>0.06</v>
      </c>
      <c r="I686" t="s">
        <v>1609</v>
      </c>
      <c r="J686" s="14">
        <v>1663.9503999999999</v>
      </c>
      <c r="K686" s="14">
        <f t="shared" si="80"/>
        <v>445700.15593188471</v>
      </c>
      <c r="L686" s="14">
        <f t="shared" si="81"/>
        <v>445</v>
      </c>
      <c r="M686" s="14" t="str">
        <f t="shared" si="82"/>
        <v>07-09-2025</v>
      </c>
      <c r="N686" s="14">
        <f t="shared" si="83"/>
        <v>0.15596893874860873</v>
      </c>
      <c r="O686" s="20">
        <f t="shared" si="84"/>
        <v>2.4957495560464826</v>
      </c>
      <c r="P686" s="14">
        <f t="shared" si="85"/>
        <v>473.5082126338487</v>
      </c>
      <c r="Q686" s="14">
        <f t="shared" si="86"/>
        <v>527.63760000000002</v>
      </c>
      <c r="R686" s="14" t="str">
        <f t="shared" si="87"/>
        <v>Sep</v>
      </c>
    </row>
    <row r="687" spans="1:18" x14ac:dyDescent="0.3">
      <c r="A687" t="s">
        <v>2296</v>
      </c>
      <c r="B687" s="1">
        <v>45270</v>
      </c>
      <c r="C687" t="s">
        <v>1277</v>
      </c>
      <c r="D687" t="s">
        <v>1509</v>
      </c>
      <c r="E687" t="s">
        <v>1582</v>
      </c>
      <c r="F687">
        <v>4</v>
      </c>
      <c r="G687" s="14">
        <v>451.41</v>
      </c>
      <c r="H687" s="17">
        <v>0.06</v>
      </c>
      <c r="I687" t="s">
        <v>1611</v>
      </c>
      <c r="J687" s="14">
        <v>1697.3016</v>
      </c>
      <c r="K687" s="14">
        <f t="shared" si="80"/>
        <v>444036.20553188474</v>
      </c>
      <c r="L687" s="14">
        <f t="shared" si="81"/>
        <v>444</v>
      </c>
      <c r="M687" s="14" t="str">
        <f t="shared" si="82"/>
        <v>10-12-2023</v>
      </c>
      <c r="N687" s="14">
        <f t="shared" si="83"/>
        <v>0.15604203009571355</v>
      </c>
      <c r="O687" s="20">
        <f t="shared" si="84"/>
        <v>2.4946038969117126</v>
      </c>
      <c r="P687" s="14">
        <f t="shared" si="85"/>
        <v>473.53179847743877</v>
      </c>
      <c r="Q687" s="14">
        <f t="shared" si="86"/>
        <v>538.19290000000001</v>
      </c>
      <c r="R687" s="14" t="str">
        <f t="shared" si="87"/>
        <v>Dec</v>
      </c>
    </row>
    <row r="688" spans="1:18" x14ac:dyDescent="0.3">
      <c r="A688" t="s">
        <v>2297</v>
      </c>
      <c r="B688" s="1">
        <v>45942</v>
      </c>
      <c r="C688" t="s">
        <v>846</v>
      </c>
      <c r="D688" t="s">
        <v>1515</v>
      </c>
      <c r="E688" t="s">
        <v>1571</v>
      </c>
      <c r="F688">
        <v>4</v>
      </c>
      <c r="G688" s="14">
        <v>547.21</v>
      </c>
      <c r="H688" s="17">
        <v>0.25</v>
      </c>
      <c r="I688" t="s">
        <v>1609</v>
      </c>
      <c r="J688" s="14">
        <v>1641.63</v>
      </c>
      <c r="K688" s="14">
        <f t="shared" si="80"/>
        <v>444036.20553188474</v>
      </c>
      <c r="L688" s="14">
        <f t="shared" si="81"/>
        <v>444</v>
      </c>
      <c r="M688" s="14" t="str">
        <f t="shared" si="82"/>
        <v>12-10-2025</v>
      </c>
      <c r="N688" s="14">
        <f t="shared" si="83"/>
        <v>0.1561152328625548</v>
      </c>
      <c r="O688" s="20">
        <f t="shared" si="84"/>
        <v>2.4934564913453343</v>
      </c>
      <c r="P688" s="14">
        <f t="shared" si="85"/>
        <v>473.54865960432704</v>
      </c>
      <c r="Q688" s="14">
        <f t="shared" si="86"/>
        <v>548.27250000000004</v>
      </c>
      <c r="R688" s="14" t="str">
        <f t="shared" si="87"/>
        <v>Oct</v>
      </c>
    </row>
    <row r="689" spans="1:18" x14ac:dyDescent="0.3">
      <c r="A689" t="s">
        <v>2298</v>
      </c>
      <c r="B689" s="1">
        <v>45750</v>
      </c>
      <c r="C689" t="s">
        <v>663</v>
      </c>
      <c r="D689" t="s">
        <v>1507</v>
      </c>
      <c r="E689" t="s">
        <v>1554</v>
      </c>
      <c r="F689">
        <v>1</v>
      </c>
      <c r="G689" s="14">
        <v>979.28</v>
      </c>
      <c r="H689" s="17">
        <v>0.2</v>
      </c>
      <c r="I689" t="s">
        <v>1611</v>
      </c>
      <c r="J689" s="14">
        <v>783.42399999999998</v>
      </c>
      <c r="K689" s="14">
        <f t="shared" si="80"/>
        <v>442394.57553188474</v>
      </c>
      <c r="L689" s="14">
        <f t="shared" si="81"/>
        <v>443</v>
      </c>
      <c r="M689" s="14" t="str">
        <f t="shared" si="82"/>
        <v>03-04-2025</v>
      </c>
      <c r="N689" s="14">
        <f t="shared" si="83"/>
        <v>0.15604361976786565</v>
      </c>
      <c r="O689" s="20">
        <f t="shared" si="84"/>
        <v>2.4923073353509371</v>
      </c>
      <c r="P689" s="14">
        <f t="shared" si="85"/>
        <v>473.49247246443718</v>
      </c>
      <c r="Q689" s="14">
        <f t="shared" si="86"/>
        <v>440.976</v>
      </c>
      <c r="R689" s="14" t="str">
        <f t="shared" si="87"/>
        <v>Apr</v>
      </c>
    </row>
    <row r="690" spans="1:18" x14ac:dyDescent="0.3">
      <c r="A690" t="s">
        <v>2299</v>
      </c>
      <c r="B690" s="1">
        <v>45300</v>
      </c>
      <c r="C690" t="s">
        <v>1285</v>
      </c>
      <c r="D690" t="s">
        <v>1445</v>
      </c>
      <c r="E690" t="s">
        <v>1564</v>
      </c>
      <c r="F690">
        <v>4</v>
      </c>
      <c r="G690" s="14">
        <v>263.58999999999997</v>
      </c>
      <c r="H690" s="17">
        <v>0.04</v>
      </c>
      <c r="I690" t="s">
        <v>1609</v>
      </c>
      <c r="J690" s="14">
        <v>1012.1856</v>
      </c>
      <c r="K690" s="14">
        <f t="shared" si="80"/>
        <v>442394.57553188474</v>
      </c>
      <c r="L690" s="14">
        <f t="shared" si="81"/>
        <v>443</v>
      </c>
      <c r="M690" s="14" t="str">
        <f t="shared" si="82"/>
        <v>09-01-2024</v>
      </c>
      <c r="N690" s="14">
        <f t="shared" si="83"/>
        <v>0.15601006527913883</v>
      </c>
      <c r="O690" s="20">
        <f t="shared" si="84"/>
        <v>2.4934465012557845</v>
      </c>
      <c r="P690" s="14">
        <f t="shared" si="85"/>
        <v>473.10637511517336</v>
      </c>
      <c r="Q690" s="14">
        <f t="shared" si="86"/>
        <v>319.95389999999998</v>
      </c>
      <c r="R690" s="14" t="str">
        <f t="shared" si="87"/>
        <v>Jan</v>
      </c>
    </row>
    <row r="691" spans="1:18" x14ac:dyDescent="0.3">
      <c r="A691" t="s">
        <v>2300</v>
      </c>
      <c r="B691" s="1">
        <v>45876</v>
      </c>
      <c r="C691" t="s">
        <v>20</v>
      </c>
      <c r="D691" t="s">
        <v>1441</v>
      </c>
      <c r="E691" t="s">
        <v>1558</v>
      </c>
      <c r="F691">
        <v>1</v>
      </c>
      <c r="G691" s="14">
        <v>692.75</v>
      </c>
      <c r="H691" s="17">
        <v>0.11</v>
      </c>
      <c r="I691" t="s">
        <v>1614</v>
      </c>
      <c r="J691" s="14">
        <v>616.54750000000001</v>
      </c>
      <c r="K691" s="14">
        <f t="shared" si="80"/>
        <v>441382.38993188471</v>
      </c>
      <c r="L691" s="14">
        <f t="shared" si="81"/>
        <v>442</v>
      </c>
      <c r="M691" s="14" t="str">
        <f t="shared" si="82"/>
        <v>07-08-2025</v>
      </c>
      <c r="N691" s="14">
        <f t="shared" si="83"/>
        <v>0.15609869023351558</v>
      </c>
      <c r="O691" s="20">
        <f t="shared" si="84"/>
        <v>2.4922955818526189</v>
      </c>
      <c r="P691" s="14">
        <f t="shared" si="85"/>
        <v>473.2664334613271</v>
      </c>
      <c r="Q691" s="14">
        <f t="shared" si="86"/>
        <v>327.60187500000001</v>
      </c>
      <c r="R691" s="14" t="str">
        <f t="shared" si="87"/>
        <v>Aug</v>
      </c>
    </row>
    <row r="692" spans="1:18" x14ac:dyDescent="0.3">
      <c r="A692" t="s">
        <v>2301</v>
      </c>
      <c r="B692" s="1">
        <v>45301</v>
      </c>
      <c r="C692" t="s">
        <v>544</v>
      </c>
      <c r="D692" t="s">
        <v>1459</v>
      </c>
      <c r="E692" t="s">
        <v>1551</v>
      </c>
      <c r="F692">
        <v>3</v>
      </c>
      <c r="G692" s="14">
        <v>142.83000000000001</v>
      </c>
      <c r="H692" s="17">
        <v>0.01</v>
      </c>
      <c r="I692" t="s">
        <v>1609</v>
      </c>
      <c r="J692" s="14">
        <v>424.20510000000002</v>
      </c>
      <c r="K692" s="14">
        <f t="shared" si="80"/>
        <v>441382.38993188471</v>
      </c>
      <c r="L692" s="14">
        <f t="shared" si="81"/>
        <v>442</v>
      </c>
      <c r="M692" s="14" t="str">
        <f t="shared" si="82"/>
        <v>10-01-2024</v>
      </c>
      <c r="N692" s="14">
        <f t="shared" si="83"/>
        <v>0.15613393388048311</v>
      </c>
      <c r="O692" s="20">
        <f t="shared" si="84"/>
        <v>2.4934364806155029</v>
      </c>
      <c r="P692" s="14">
        <f t="shared" si="85"/>
        <v>473.09863256947801</v>
      </c>
      <c r="Q692" s="14">
        <f t="shared" si="86"/>
        <v>142.51127500000001</v>
      </c>
      <c r="R692" s="14" t="str">
        <f t="shared" si="87"/>
        <v>Jan</v>
      </c>
    </row>
    <row r="693" spans="1:18" x14ac:dyDescent="0.3">
      <c r="A693" t="s">
        <v>2302</v>
      </c>
      <c r="B693" s="1">
        <v>45857</v>
      </c>
      <c r="C693" t="s">
        <v>428</v>
      </c>
      <c r="D693" t="s">
        <v>1377</v>
      </c>
      <c r="E693" t="s">
        <v>1546</v>
      </c>
      <c r="F693">
        <v>2</v>
      </c>
      <c r="G693" s="14">
        <v>419.25</v>
      </c>
      <c r="H693" s="17">
        <v>0.17</v>
      </c>
      <c r="I693" t="s">
        <v>1611</v>
      </c>
      <c r="J693" s="14">
        <v>695.95499999999993</v>
      </c>
      <c r="K693" s="14">
        <f t="shared" si="80"/>
        <v>440958.18483188469</v>
      </c>
      <c r="L693" s="14">
        <f t="shared" si="81"/>
        <v>441</v>
      </c>
      <c r="M693" s="14" t="str">
        <f t="shared" si="82"/>
        <v>19-07-2025</v>
      </c>
      <c r="N693" s="14">
        <f t="shared" si="83"/>
        <v>0.15624574255215906</v>
      </c>
      <c r="O693" s="20">
        <f t="shared" si="84"/>
        <v>2.4930489033244667</v>
      </c>
      <c r="P693" s="14">
        <f t="shared" si="85"/>
        <v>473.35132471375454</v>
      </c>
      <c r="Q693" s="14">
        <f t="shared" si="86"/>
        <v>279.34375</v>
      </c>
      <c r="R693" s="14" t="str">
        <f t="shared" si="87"/>
        <v>Jul</v>
      </c>
    </row>
    <row r="694" spans="1:18" x14ac:dyDescent="0.3">
      <c r="A694" t="s">
        <v>2303</v>
      </c>
      <c r="B694" s="1">
        <v>45650</v>
      </c>
      <c r="C694" t="s">
        <v>770</v>
      </c>
      <c r="D694" t="s">
        <v>1385</v>
      </c>
      <c r="E694" t="s">
        <v>1598</v>
      </c>
      <c r="F694">
        <v>2</v>
      </c>
      <c r="G694" s="14">
        <v>800.84</v>
      </c>
      <c r="H694" s="17">
        <v>0.27</v>
      </c>
      <c r="I694" t="s">
        <v>1614</v>
      </c>
      <c r="J694" s="14">
        <v>1169.2264</v>
      </c>
      <c r="K694" s="14">
        <f t="shared" si="80"/>
        <v>440958.18483188469</v>
      </c>
      <c r="L694" s="14">
        <f t="shared" si="81"/>
        <v>441</v>
      </c>
      <c r="M694" s="14" t="str">
        <f t="shared" si="82"/>
        <v>24-12-2024</v>
      </c>
      <c r="N694" s="14">
        <f t="shared" si="83"/>
        <v>0.15623521096146392</v>
      </c>
      <c r="O694" s="20">
        <f t="shared" si="84"/>
        <v>2.4934264292841331</v>
      </c>
      <c r="P694" s="14">
        <f t="shared" si="85"/>
        <v>473.39274992410196</v>
      </c>
      <c r="Q694" s="14">
        <f t="shared" si="86"/>
        <v>493.08410000000003</v>
      </c>
      <c r="R694" s="14" t="str">
        <f t="shared" si="87"/>
        <v>Dec</v>
      </c>
    </row>
    <row r="695" spans="1:18" x14ac:dyDescent="0.3">
      <c r="A695" t="s">
        <v>2304</v>
      </c>
      <c r="B695" s="1">
        <v>45520</v>
      </c>
      <c r="C695" t="s">
        <v>14</v>
      </c>
      <c r="D695" t="s">
        <v>1429</v>
      </c>
      <c r="E695" t="s">
        <v>1546</v>
      </c>
      <c r="F695">
        <v>1</v>
      </c>
      <c r="G695" s="14">
        <v>301.24</v>
      </c>
      <c r="H695" s="17">
        <v>0.11</v>
      </c>
      <c r="I695" t="s">
        <v>1611</v>
      </c>
      <c r="J695" s="14">
        <v>268.10359999999997</v>
      </c>
      <c r="K695" s="14">
        <f t="shared" si="80"/>
        <v>440958.18483188469</v>
      </c>
      <c r="L695" s="14">
        <f t="shared" si="81"/>
        <v>441</v>
      </c>
      <c r="M695" s="14" t="str">
        <f t="shared" si="82"/>
        <v>16-08-2024</v>
      </c>
      <c r="N695" s="14">
        <f t="shared" si="83"/>
        <v>0.15614803487790949</v>
      </c>
      <c r="O695" s="20">
        <f t="shared" si="84"/>
        <v>2.493804533827646</v>
      </c>
      <c r="P695" s="14">
        <f t="shared" si="85"/>
        <v>473.14183249109357</v>
      </c>
      <c r="Q695" s="14">
        <f t="shared" si="86"/>
        <v>142.61340000000001</v>
      </c>
      <c r="R695" s="14" t="str">
        <f t="shared" si="87"/>
        <v>Aug</v>
      </c>
    </row>
    <row r="696" spans="1:18" x14ac:dyDescent="0.3">
      <c r="A696" t="s">
        <v>2305</v>
      </c>
      <c r="B696" s="1">
        <v>45497</v>
      </c>
      <c r="C696" t="s">
        <v>914</v>
      </c>
      <c r="D696" t="s">
        <v>1503</v>
      </c>
      <c r="E696" t="s">
        <v>1558</v>
      </c>
      <c r="F696">
        <v>2</v>
      </c>
      <c r="G696" s="14">
        <v>701.49</v>
      </c>
      <c r="H696" s="17">
        <v>0.09</v>
      </c>
      <c r="I696" t="s">
        <v>1611</v>
      </c>
      <c r="J696" s="14">
        <v>1276.7118</v>
      </c>
      <c r="K696" s="14">
        <f t="shared" si="80"/>
        <v>440958.18483188469</v>
      </c>
      <c r="L696" s="14">
        <f t="shared" si="81"/>
        <v>441</v>
      </c>
      <c r="M696" s="14" t="str">
        <f t="shared" si="82"/>
        <v>24-07-2024</v>
      </c>
      <c r="N696" s="14">
        <f t="shared" si="83"/>
        <v>0.1561834244752085</v>
      </c>
      <c r="O696" s="20">
        <f t="shared" si="84"/>
        <v>2.4949500894517467</v>
      </c>
      <c r="P696" s="14">
        <f t="shared" si="85"/>
        <v>473.27365904975238</v>
      </c>
      <c r="Q696" s="14">
        <f t="shared" si="86"/>
        <v>495.07294999999999</v>
      </c>
      <c r="R696" s="14" t="str">
        <f t="shared" si="87"/>
        <v>Jul</v>
      </c>
    </row>
    <row r="697" spans="1:18" x14ac:dyDescent="0.3">
      <c r="A697" t="s">
        <v>2306</v>
      </c>
      <c r="B697" s="1">
        <v>45615</v>
      </c>
      <c r="C697" t="s">
        <v>1101</v>
      </c>
      <c r="D697" t="s">
        <v>1385</v>
      </c>
      <c r="E697" t="s">
        <v>1574</v>
      </c>
      <c r="F697">
        <v>4</v>
      </c>
      <c r="G697" s="14">
        <v>413.48</v>
      </c>
      <c r="H697" s="17">
        <v>0.02</v>
      </c>
      <c r="I697" t="s">
        <v>1611</v>
      </c>
      <c r="J697" s="14">
        <v>1620.8416</v>
      </c>
      <c r="K697" s="14">
        <f t="shared" si="80"/>
        <v>440958.18483188469</v>
      </c>
      <c r="L697" s="14">
        <f t="shared" si="81"/>
        <v>441</v>
      </c>
      <c r="M697" s="14" t="str">
        <f t="shared" si="82"/>
        <v>19-11-2024</v>
      </c>
      <c r="N697" s="14">
        <f t="shared" si="83"/>
        <v>0.15623421758685485</v>
      </c>
      <c r="O697" s="20">
        <f t="shared" si="84"/>
        <v>2.4953299437030529</v>
      </c>
      <c r="P697" s="14">
        <f t="shared" si="85"/>
        <v>473.09851220328261</v>
      </c>
      <c r="Q697" s="14">
        <f t="shared" si="86"/>
        <v>509.58539999999999</v>
      </c>
      <c r="R697" s="14" t="str">
        <f t="shared" si="87"/>
        <v>Nov</v>
      </c>
    </row>
    <row r="698" spans="1:18" x14ac:dyDescent="0.3">
      <c r="A698" t="s">
        <v>2307</v>
      </c>
      <c r="B698" s="1">
        <v>45365</v>
      </c>
      <c r="C698" t="s">
        <v>646</v>
      </c>
      <c r="D698" t="s">
        <v>1347</v>
      </c>
      <c r="E698" t="s">
        <v>1542</v>
      </c>
      <c r="F698">
        <v>4</v>
      </c>
      <c r="G698" s="14">
        <v>167.83</v>
      </c>
      <c r="H698" s="17">
        <v>0.15</v>
      </c>
      <c r="I698" t="s">
        <v>1609</v>
      </c>
      <c r="J698" s="14">
        <v>570.62200000000007</v>
      </c>
      <c r="K698" s="14">
        <f t="shared" si="80"/>
        <v>440958.18483188469</v>
      </c>
      <c r="L698" s="14">
        <f t="shared" si="81"/>
        <v>441</v>
      </c>
      <c r="M698" s="14" t="str">
        <f t="shared" si="82"/>
        <v>14-03-2024</v>
      </c>
      <c r="N698" s="14">
        <f t="shared" si="83"/>
        <v>0.1563388521625744</v>
      </c>
      <c r="O698" s="20">
        <f t="shared" si="84"/>
        <v>2.4941742831375406</v>
      </c>
      <c r="P698" s="14">
        <f t="shared" si="85"/>
        <v>473.14430215121132</v>
      </c>
      <c r="Q698" s="14">
        <f t="shared" si="86"/>
        <v>185.65050000000002</v>
      </c>
      <c r="R698" s="14" t="str">
        <f t="shared" si="87"/>
        <v>Mar</v>
      </c>
    </row>
    <row r="699" spans="1:18" x14ac:dyDescent="0.3">
      <c r="A699" t="s">
        <v>2308</v>
      </c>
      <c r="B699" s="1">
        <v>45832</v>
      </c>
      <c r="C699" t="s">
        <v>472</v>
      </c>
      <c r="D699" t="s">
        <v>1363</v>
      </c>
      <c r="E699" t="s">
        <v>1595</v>
      </c>
      <c r="F699">
        <v>2</v>
      </c>
      <c r="G699" s="14">
        <v>669.12</v>
      </c>
      <c r="H699" s="17">
        <v>0.22</v>
      </c>
      <c r="I699" t="s">
        <v>1609</v>
      </c>
      <c r="J699" s="14">
        <v>1043.8271999999999</v>
      </c>
      <c r="K699" s="14">
        <f t="shared" si="80"/>
        <v>440387.56283188472</v>
      </c>
      <c r="L699" s="14">
        <f t="shared" si="81"/>
        <v>440</v>
      </c>
      <c r="M699" s="14" t="str">
        <f t="shared" si="82"/>
        <v>24-06-2025</v>
      </c>
      <c r="N699" s="14">
        <f t="shared" si="83"/>
        <v>0.15634372445478237</v>
      </c>
      <c r="O699" s="20">
        <f t="shared" si="84"/>
        <v>2.4930168459992914</v>
      </c>
      <c r="P699" s="14">
        <f t="shared" si="85"/>
        <v>473.3789787862238</v>
      </c>
      <c r="Q699" s="14">
        <f t="shared" si="86"/>
        <v>428.79179999999997</v>
      </c>
      <c r="R699" s="14" t="str">
        <f t="shared" si="87"/>
        <v>Jun</v>
      </c>
    </row>
    <row r="700" spans="1:18" x14ac:dyDescent="0.3">
      <c r="A700" t="s">
        <v>2309</v>
      </c>
      <c r="B700" s="1">
        <v>45530</v>
      </c>
      <c r="C700" t="s">
        <v>153</v>
      </c>
      <c r="D700" t="s">
        <v>1407</v>
      </c>
      <c r="E700" t="s">
        <v>1564</v>
      </c>
      <c r="F700">
        <v>3</v>
      </c>
      <c r="G700" s="14">
        <v>346.77</v>
      </c>
      <c r="H700" s="17">
        <v>0.18</v>
      </c>
      <c r="I700" t="s">
        <v>1611</v>
      </c>
      <c r="J700" s="14">
        <v>853.05420000000004</v>
      </c>
      <c r="K700" s="14">
        <f t="shared" si="80"/>
        <v>439343.73563188477</v>
      </c>
      <c r="L700" s="14">
        <f t="shared" si="81"/>
        <v>439</v>
      </c>
      <c r="M700" s="14" t="str">
        <f t="shared" si="82"/>
        <v>26-08-2024</v>
      </c>
      <c r="N700" s="14">
        <f t="shared" si="83"/>
        <v>0.15629475808897836</v>
      </c>
      <c r="O700" s="20">
        <f t="shared" si="84"/>
        <v>2.4933960897269829</v>
      </c>
      <c r="P700" s="14">
        <f t="shared" si="85"/>
        <v>473.22840876990551</v>
      </c>
      <c r="Q700" s="14">
        <f t="shared" si="86"/>
        <v>300.75105000000002</v>
      </c>
      <c r="R700" s="14" t="str">
        <f t="shared" si="87"/>
        <v>Aug</v>
      </c>
    </row>
    <row r="701" spans="1:18" x14ac:dyDescent="0.3">
      <c r="A701" t="s">
        <v>2310</v>
      </c>
      <c r="B701" s="1">
        <v>45939</v>
      </c>
      <c r="C701" t="s">
        <v>221</v>
      </c>
      <c r="D701" t="s">
        <v>1379</v>
      </c>
      <c r="E701" t="s">
        <v>1598</v>
      </c>
      <c r="F701">
        <v>3</v>
      </c>
      <c r="G701" s="14">
        <v>648.33000000000004</v>
      </c>
      <c r="H701" s="17">
        <v>0.2</v>
      </c>
      <c r="I701" t="s">
        <v>1614</v>
      </c>
      <c r="J701" s="14">
        <v>1555.992</v>
      </c>
      <c r="K701" s="14">
        <f t="shared" si="80"/>
        <v>439343.73563188477</v>
      </c>
      <c r="L701" s="14">
        <f t="shared" si="81"/>
        <v>439</v>
      </c>
      <c r="M701" s="14" t="str">
        <f t="shared" si="82"/>
        <v>09-10-2025</v>
      </c>
      <c r="N701" s="14">
        <f t="shared" si="83"/>
        <v>0.15627650924993985</v>
      </c>
      <c r="O701" s="20">
        <f t="shared" si="84"/>
        <v>2.4930060944149948</v>
      </c>
      <c r="P701" s="14">
        <f t="shared" si="85"/>
        <v>473.325759354024</v>
      </c>
      <c r="Q701" s="14">
        <f t="shared" si="86"/>
        <v>551.88049999999998</v>
      </c>
      <c r="R701" s="14" t="str">
        <f t="shared" si="87"/>
        <v>Oct</v>
      </c>
    </row>
    <row r="702" spans="1:18" x14ac:dyDescent="0.3">
      <c r="A702" t="s">
        <v>2311</v>
      </c>
      <c r="B702" s="1">
        <v>45401</v>
      </c>
      <c r="C702" t="s">
        <v>905</v>
      </c>
      <c r="D702" t="s">
        <v>1342</v>
      </c>
      <c r="E702" t="s">
        <v>1546</v>
      </c>
      <c r="F702">
        <v>4</v>
      </c>
      <c r="G702" s="14">
        <v>254.94</v>
      </c>
      <c r="H702" s="17">
        <v>0.06</v>
      </c>
      <c r="I702" t="s">
        <v>1611</v>
      </c>
      <c r="J702" s="14">
        <v>958.57439999999997</v>
      </c>
      <c r="K702" s="14">
        <f t="shared" si="80"/>
        <v>439343.73563188477</v>
      </c>
      <c r="L702" s="14">
        <f t="shared" si="81"/>
        <v>439</v>
      </c>
      <c r="M702" s="14" t="str">
        <f t="shared" si="82"/>
        <v>19-04-2024</v>
      </c>
      <c r="N702" s="14">
        <f t="shared" si="83"/>
        <v>0.15624282397201222</v>
      </c>
      <c r="O702" s="20">
        <f t="shared" si="84"/>
        <v>2.4926154981857302</v>
      </c>
      <c r="P702" s="14">
        <f t="shared" si="85"/>
        <v>473.19093328264819</v>
      </c>
      <c r="Q702" s="14">
        <f t="shared" si="86"/>
        <v>304.39359999999999</v>
      </c>
      <c r="R702" s="14" t="str">
        <f t="shared" si="87"/>
        <v>Apr</v>
      </c>
    </row>
    <row r="703" spans="1:18" x14ac:dyDescent="0.3">
      <c r="A703" t="s">
        <v>2312</v>
      </c>
      <c r="B703" s="1">
        <v>45420</v>
      </c>
      <c r="C703" t="s">
        <v>1062</v>
      </c>
      <c r="D703" t="s">
        <v>1495</v>
      </c>
      <c r="E703" t="s">
        <v>1554</v>
      </c>
      <c r="F703">
        <v>1</v>
      </c>
      <c r="G703" s="14">
        <v>445.5</v>
      </c>
      <c r="H703" s="17">
        <v>0.28000000000000003</v>
      </c>
      <c r="I703" t="s">
        <v>1609</v>
      </c>
      <c r="J703" s="14">
        <v>320.76</v>
      </c>
      <c r="K703" s="14">
        <f t="shared" si="80"/>
        <v>439343.73563188477</v>
      </c>
      <c r="L703" s="14">
        <f t="shared" si="81"/>
        <v>439</v>
      </c>
      <c r="M703" s="14" t="str">
        <f t="shared" si="82"/>
        <v>08-05-2024</v>
      </c>
      <c r="N703" s="14">
        <f t="shared" si="83"/>
        <v>0.15631702815394899</v>
      </c>
      <c r="O703" s="20">
        <f t="shared" si="84"/>
        <v>2.4914532896261203</v>
      </c>
      <c r="P703" s="14">
        <f t="shared" si="85"/>
        <v>473.35920693976658</v>
      </c>
      <c r="Q703" s="14">
        <f t="shared" si="86"/>
        <v>191.88499999999999</v>
      </c>
      <c r="R703" s="14" t="str">
        <f t="shared" si="87"/>
        <v>May</v>
      </c>
    </row>
    <row r="704" spans="1:18" x14ac:dyDescent="0.3">
      <c r="A704" t="s">
        <v>2313</v>
      </c>
      <c r="B704" s="1">
        <v>45459</v>
      </c>
      <c r="C704" t="s">
        <v>716</v>
      </c>
      <c r="D704" t="s">
        <v>1513</v>
      </c>
      <c r="E704" t="s">
        <v>1554</v>
      </c>
      <c r="F704">
        <v>1</v>
      </c>
      <c r="G704" s="14">
        <v>900.94</v>
      </c>
      <c r="H704" s="17">
        <v>0.1</v>
      </c>
      <c r="I704" t="s">
        <v>1609</v>
      </c>
      <c r="J704" s="14">
        <v>810.84600000000012</v>
      </c>
      <c r="K704" s="14">
        <f t="shared" si="80"/>
        <v>439022.97563188476</v>
      </c>
      <c r="L704" s="14">
        <f t="shared" si="81"/>
        <v>438</v>
      </c>
      <c r="M704" s="14" t="str">
        <f t="shared" si="82"/>
        <v>16-06-2024</v>
      </c>
      <c r="N704" s="14">
        <f t="shared" si="83"/>
        <v>0.15622159376209249</v>
      </c>
      <c r="O704" s="20">
        <f t="shared" si="84"/>
        <v>2.4926041023495973</v>
      </c>
      <c r="P704" s="14">
        <f t="shared" si="85"/>
        <v>473.38070324141756</v>
      </c>
      <c r="Q704" s="14">
        <f t="shared" si="86"/>
        <v>428.22150000000005</v>
      </c>
      <c r="R704" s="14" t="str">
        <f t="shared" si="87"/>
        <v>Jun</v>
      </c>
    </row>
    <row r="705" spans="1:18" x14ac:dyDescent="0.3">
      <c r="A705" t="s">
        <v>2314</v>
      </c>
      <c r="B705" s="1">
        <v>45429</v>
      </c>
      <c r="C705" t="s">
        <v>643</v>
      </c>
      <c r="D705" t="s">
        <v>1363</v>
      </c>
      <c r="E705" t="s">
        <v>1589</v>
      </c>
      <c r="F705">
        <v>3</v>
      </c>
      <c r="G705" s="14">
        <v>262.69</v>
      </c>
      <c r="H705" s="17">
        <v>0.04</v>
      </c>
      <c r="I705" t="s">
        <v>1611</v>
      </c>
      <c r="J705" s="14">
        <v>756.54719999999986</v>
      </c>
      <c r="K705" s="14">
        <f t="shared" si="80"/>
        <v>438212.1296318848</v>
      </c>
      <c r="L705" s="14">
        <f t="shared" si="81"/>
        <v>437</v>
      </c>
      <c r="M705" s="14" t="str">
        <f t="shared" si="82"/>
        <v>17-05-2024</v>
      </c>
      <c r="N705" s="14">
        <f t="shared" si="83"/>
        <v>0.15626500812020994</v>
      </c>
      <c r="O705" s="20">
        <f t="shared" si="84"/>
        <v>2.4937566923900216</v>
      </c>
      <c r="P705" s="14">
        <f t="shared" si="85"/>
        <v>473.05054162229902</v>
      </c>
      <c r="Q705" s="14">
        <f t="shared" si="86"/>
        <v>255.56929999999997</v>
      </c>
      <c r="R705" s="14" t="str">
        <f t="shared" si="87"/>
        <v>May</v>
      </c>
    </row>
    <row r="706" spans="1:18" x14ac:dyDescent="0.3">
      <c r="A706" t="s">
        <v>2315</v>
      </c>
      <c r="B706" s="1">
        <v>45386</v>
      </c>
      <c r="C706" t="s">
        <v>1303</v>
      </c>
      <c r="D706" t="s">
        <v>1469</v>
      </c>
      <c r="E706" t="s">
        <v>1546</v>
      </c>
      <c r="F706">
        <v>3</v>
      </c>
      <c r="G706" s="14">
        <v>212.72</v>
      </c>
      <c r="H706" s="17">
        <v>0.22</v>
      </c>
      <c r="I706" t="s">
        <v>1611</v>
      </c>
      <c r="J706" s="14">
        <v>497.76479999999998</v>
      </c>
      <c r="K706" s="14">
        <f t="shared" ref="K706:K769" si="88">SUMIF(I706:I2705,"Credit Card",J706:J2705)</f>
        <v>438212.1296318848</v>
      </c>
      <c r="L706" s="14">
        <f t="shared" ref="L706:L769" si="89">COUNTIF(I706:I2705,"Credit Card")</f>
        <v>437</v>
      </c>
      <c r="M706" s="14" t="str">
        <f t="shared" ref="M706:M769" si="90">TEXT(B706:B2705,"dd-mm-yyyy")</f>
        <v>04-04-2024</v>
      </c>
      <c r="N706" s="14">
        <f t="shared" ref="N706:N769" si="91">AVERAGE(H706:H2705)</f>
        <v>0.15635485743096744</v>
      </c>
      <c r="O706" s="20">
        <f t="shared" ref="O706:O769" si="92">AVERAGE(F706:F2705)</f>
        <v>2.4933654688138165</v>
      </c>
      <c r="P706" s="14">
        <f t="shared" ref="P706:P769" si="93">AVERAGE(G706:G2705)</f>
        <v>473.2131077286532</v>
      </c>
      <c r="Q706" s="14">
        <f t="shared" ref="Q706:Q769" si="94">AVERAGE(F706,G706,H706,J706)</f>
        <v>178.42619999999999</v>
      </c>
      <c r="R706" s="14" t="str">
        <f t="shared" ref="R706:R769" si="95">TEXT(M706,"mmm")</f>
        <v>Apr</v>
      </c>
    </row>
    <row r="707" spans="1:18" x14ac:dyDescent="0.3">
      <c r="A707" t="s">
        <v>2316</v>
      </c>
      <c r="B707" s="1">
        <v>45803</v>
      </c>
      <c r="C707" t="s">
        <v>508</v>
      </c>
      <c r="D707" t="s">
        <v>1381</v>
      </c>
      <c r="E707" t="s">
        <v>1595</v>
      </c>
      <c r="F707">
        <v>4</v>
      </c>
      <c r="G707" s="14">
        <v>757.9</v>
      </c>
      <c r="H707" s="17">
        <v>0.22</v>
      </c>
      <c r="I707" t="s">
        <v>1611</v>
      </c>
      <c r="J707" s="14">
        <v>2364.6480000000001</v>
      </c>
      <c r="K707" s="14">
        <f t="shared" si="88"/>
        <v>438212.1296318848</v>
      </c>
      <c r="L707" s="14">
        <f t="shared" si="89"/>
        <v>437</v>
      </c>
      <c r="M707" s="14" t="str">
        <f t="shared" si="90"/>
        <v>26-05-2025</v>
      </c>
      <c r="N707" s="14">
        <f t="shared" si="91"/>
        <v>0.15630563458288621</v>
      </c>
      <c r="O707" s="20">
        <f t="shared" si="92"/>
        <v>2.4929736400967348</v>
      </c>
      <c r="P707" s="14">
        <f t="shared" si="93"/>
        <v>473.41457184909302</v>
      </c>
      <c r="Q707" s="14">
        <f t="shared" si="94"/>
        <v>781.69200000000001</v>
      </c>
      <c r="R707" s="14" t="str">
        <f t="shared" si="95"/>
        <v>May</v>
      </c>
    </row>
    <row r="708" spans="1:18" x14ac:dyDescent="0.3">
      <c r="A708" t="s">
        <v>2317</v>
      </c>
      <c r="B708" s="1">
        <v>45346</v>
      </c>
      <c r="C708" t="s">
        <v>78</v>
      </c>
      <c r="D708" t="s">
        <v>1493</v>
      </c>
      <c r="E708" t="s">
        <v>1592</v>
      </c>
      <c r="F708">
        <v>1</v>
      </c>
      <c r="G708" s="14">
        <v>846.04</v>
      </c>
      <c r="H708" s="17">
        <v>0.08</v>
      </c>
      <c r="I708" t="s">
        <v>1611</v>
      </c>
      <c r="J708" s="14">
        <v>778.35680000000002</v>
      </c>
      <c r="K708" s="14">
        <f t="shared" si="88"/>
        <v>438212.1296318848</v>
      </c>
      <c r="L708" s="14">
        <f t="shared" si="89"/>
        <v>437</v>
      </c>
      <c r="M708" s="14" t="str">
        <f t="shared" si="90"/>
        <v>24-02-2024</v>
      </c>
      <c r="N708" s="14">
        <f t="shared" si="91"/>
        <v>0.15625633553844573</v>
      </c>
      <c r="O708" s="20">
        <f t="shared" si="92"/>
        <v>2.4918072110256029</v>
      </c>
      <c r="P708" s="14">
        <f t="shared" si="93"/>
        <v>473.19438188922391</v>
      </c>
      <c r="Q708" s="14">
        <f t="shared" si="94"/>
        <v>406.36919999999998</v>
      </c>
      <c r="R708" s="14" t="str">
        <f t="shared" si="95"/>
        <v>Feb</v>
      </c>
    </row>
    <row r="709" spans="1:18" x14ac:dyDescent="0.3">
      <c r="A709" t="s">
        <v>2318</v>
      </c>
      <c r="B709" s="1">
        <v>45267</v>
      </c>
      <c r="C709" t="s">
        <v>532</v>
      </c>
      <c r="D709" t="s">
        <v>1409</v>
      </c>
      <c r="E709" t="s">
        <v>1564</v>
      </c>
      <c r="F709">
        <v>3</v>
      </c>
      <c r="G709" s="14">
        <v>179.7</v>
      </c>
      <c r="H709" s="17">
        <v>0.17</v>
      </c>
      <c r="I709" t="s">
        <v>1614</v>
      </c>
      <c r="J709" s="14">
        <v>447.45299999999992</v>
      </c>
      <c r="K709" s="14">
        <f t="shared" si="88"/>
        <v>438212.1296318848</v>
      </c>
      <c r="L709" s="14">
        <f t="shared" si="89"/>
        <v>437</v>
      </c>
      <c r="M709" s="14" t="str">
        <f t="shared" si="90"/>
        <v>07-12-2023</v>
      </c>
      <c r="N709" s="14">
        <f t="shared" si="91"/>
        <v>0.15631540318797202</v>
      </c>
      <c r="O709" s="20">
        <f t="shared" si="92"/>
        <v>2.4929627549535853</v>
      </c>
      <c r="P709" s="14">
        <f t="shared" si="93"/>
        <v>472.90557815714743</v>
      </c>
      <c r="Q709" s="14">
        <f t="shared" si="94"/>
        <v>157.58074999999997</v>
      </c>
      <c r="R709" s="14" t="str">
        <f t="shared" si="95"/>
        <v>Dec</v>
      </c>
    </row>
    <row r="710" spans="1:18" x14ac:dyDescent="0.3">
      <c r="A710" t="s">
        <v>2319</v>
      </c>
      <c r="B710" s="1">
        <v>45572</v>
      </c>
      <c r="C710" t="s">
        <v>1267</v>
      </c>
      <c r="D710" t="s">
        <v>1395</v>
      </c>
      <c r="E710" t="s">
        <v>1554</v>
      </c>
      <c r="F710">
        <v>4</v>
      </c>
      <c r="G710" s="14">
        <v>681.08</v>
      </c>
      <c r="H710" s="17">
        <v>0.15</v>
      </c>
      <c r="I710" t="s">
        <v>1611</v>
      </c>
      <c r="J710" s="14">
        <v>2724.32</v>
      </c>
      <c r="K710" s="14">
        <f t="shared" si="88"/>
        <v>438212.1296318848</v>
      </c>
      <c r="L710" s="14">
        <f t="shared" si="89"/>
        <v>437</v>
      </c>
      <c r="M710" s="14" t="str">
        <f t="shared" si="90"/>
        <v>07-10-2024</v>
      </c>
      <c r="N710" s="14">
        <f t="shared" si="91"/>
        <v>0.15630479497338903</v>
      </c>
      <c r="O710" s="20">
        <f t="shared" si="92"/>
        <v>2.4925697028256426</v>
      </c>
      <c r="P710" s="14">
        <f t="shared" si="93"/>
        <v>473.13286930300563</v>
      </c>
      <c r="Q710" s="14">
        <f t="shared" si="94"/>
        <v>852.38750000000005</v>
      </c>
      <c r="R710" s="14" t="str">
        <f t="shared" si="95"/>
        <v>Oct</v>
      </c>
    </row>
    <row r="711" spans="1:18" x14ac:dyDescent="0.3">
      <c r="A711" t="s">
        <v>2320</v>
      </c>
      <c r="B711" s="1">
        <v>45252</v>
      </c>
      <c r="C711" t="s">
        <v>1224</v>
      </c>
      <c r="D711" t="s">
        <v>1338</v>
      </c>
      <c r="E711" t="s">
        <v>1564</v>
      </c>
      <c r="F711">
        <v>4</v>
      </c>
      <c r="G711" s="14">
        <v>723.44</v>
      </c>
      <c r="H711" s="17">
        <v>0.14000000000000001</v>
      </c>
      <c r="I711" t="s">
        <v>1611</v>
      </c>
      <c r="J711" s="14">
        <v>2488.6336000000001</v>
      </c>
      <c r="K711" s="14">
        <f t="shared" si="88"/>
        <v>438212.1296318848</v>
      </c>
      <c r="L711" s="14">
        <f t="shared" si="89"/>
        <v>437</v>
      </c>
      <c r="M711" s="14" t="str">
        <f t="shared" si="90"/>
        <v>22-11-2023</v>
      </c>
      <c r="N711" s="14">
        <f t="shared" si="91"/>
        <v>0.15630968620300378</v>
      </c>
      <c r="O711" s="20">
        <f t="shared" si="92"/>
        <v>2.4914002456517288</v>
      </c>
      <c r="P711" s="14">
        <f t="shared" si="93"/>
        <v>472.9715449192222</v>
      </c>
      <c r="Q711" s="14">
        <f t="shared" si="94"/>
        <v>804.05340000000001</v>
      </c>
      <c r="R711" s="14" t="str">
        <f t="shared" si="95"/>
        <v>Nov</v>
      </c>
    </row>
    <row r="712" spans="1:18" x14ac:dyDescent="0.3">
      <c r="A712" t="s">
        <v>2321</v>
      </c>
      <c r="B712" s="1">
        <v>45939</v>
      </c>
      <c r="C712" t="s">
        <v>435</v>
      </c>
      <c r="D712" t="s">
        <v>1395</v>
      </c>
      <c r="E712" t="s">
        <v>1584</v>
      </c>
      <c r="F712">
        <v>4</v>
      </c>
      <c r="G712" s="14">
        <v>471.89</v>
      </c>
      <c r="H712" s="17">
        <v>0.12</v>
      </c>
      <c r="I712" t="s">
        <v>1614</v>
      </c>
      <c r="J712" s="14">
        <v>1661.0527999999999</v>
      </c>
      <c r="K712" s="14">
        <f t="shared" si="88"/>
        <v>438212.1296318848</v>
      </c>
      <c r="L712" s="14">
        <f t="shared" si="89"/>
        <v>437</v>
      </c>
      <c r="M712" s="14" t="str">
        <f t="shared" si="90"/>
        <v>09-10-2025</v>
      </c>
      <c r="N712" s="14">
        <f t="shared" si="91"/>
        <v>0.1563223490028508</v>
      </c>
      <c r="O712" s="20">
        <f t="shared" si="92"/>
        <v>2.4902289725505269</v>
      </c>
      <c r="P712" s="14">
        <f t="shared" si="93"/>
        <v>472.77708183297926</v>
      </c>
      <c r="Q712" s="14">
        <f t="shared" si="94"/>
        <v>534.26569999999992</v>
      </c>
      <c r="R712" s="14" t="str">
        <f t="shared" si="95"/>
        <v>Oct</v>
      </c>
    </row>
    <row r="713" spans="1:18" x14ac:dyDescent="0.3">
      <c r="A713" t="s">
        <v>2322</v>
      </c>
      <c r="B713" s="1">
        <v>45559</v>
      </c>
      <c r="C713" t="s">
        <v>1145</v>
      </c>
      <c r="D713" t="s">
        <v>1475</v>
      </c>
      <c r="E713" t="s">
        <v>1592</v>
      </c>
      <c r="F713">
        <v>1</v>
      </c>
      <c r="G713" s="14">
        <v>613.17999999999995</v>
      </c>
      <c r="H713" s="17">
        <v>0.14000000000000001</v>
      </c>
      <c r="I713" t="s">
        <v>1614</v>
      </c>
      <c r="J713" s="14">
        <v>527.33479999999997</v>
      </c>
      <c r="K713" s="14">
        <f t="shared" si="88"/>
        <v>438212.1296318848</v>
      </c>
      <c r="L713" s="14">
        <f t="shared" si="89"/>
        <v>437</v>
      </c>
      <c r="M713" s="14" t="str">
        <f t="shared" si="90"/>
        <v>24-09-2024</v>
      </c>
      <c r="N713" s="14">
        <f t="shared" si="91"/>
        <v>0.15635057149624851</v>
      </c>
      <c r="O713" s="20">
        <f t="shared" si="92"/>
        <v>2.4890558792891051</v>
      </c>
      <c r="P713" s="14">
        <f t="shared" si="93"/>
        <v>472.77777109625282</v>
      </c>
      <c r="Q713" s="14">
        <f t="shared" si="94"/>
        <v>285.41369999999995</v>
      </c>
      <c r="R713" s="14" t="str">
        <f t="shared" si="95"/>
        <v>Sep</v>
      </c>
    </row>
    <row r="714" spans="1:18" x14ac:dyDescent="0.3">
      <c r="A714" t="s">
        <v>2323</v>
      </c>
      <c r="B714" s="1">
        <v>45229</v>
      </c>
      <c r="C714" t="s">
        <v>195</v>
      </c>
      <c r="D714" t="s">
        <v>1419</v>
      </c>
      <c r="E714" t="s">
        <v>1554</v>
      </c>
      <c r="F714">
        <v>1</v>
      </c>
      <c r="G714" s="14">
        <v>651.30999999999995</v>
      </c>
      <c r="H714" s="17">
        <v>0.24</v>
      </c>
      <c r="I714" t="s">
        <v>1611</v>
      </c>
      <c r="J714" s="14">
        <v>494.99560000000002</v>
      </c>
      <c r="K714" s="14">
        <f t="shared" si="88"/>
        <v>438212.1296318848</v>
      </c>
      <c r="L714" s="14">
        <f t="shared" si="89"/>
        <v>437</v>
      </c>
      <c r="M714" s="14" t="str">
        <f t="shared" si="90"/>
        <v>30-10-2023</v>
      </c>
      <c r="N714" s="14">
        <f t="shared" si="91"/>
        <v>0.15636328578201544</v>
      </c>
      <c r="O714" s="20">
        <f t="shared" si="92"/>
        <v>2.490213776551383</v>
      </c>
      <c r="P714" s="14">
        <f t="shared" si="93"/>
        <v>472.66859362432137</v>
      </c>
      <c r="Q714" s="14">
        <f t="shared" si="94"/>
        <v>286.88639999999998</v>
      </c>
      <c r="R714" s="14" t="str">
        <f t="shared" si="95"/>
        <v>Oct</v>
      </c>
    </row>
    <row r="715" spans="1:18" x14ac:dyDescent="0.3">
      <c r="A715" t="s">
        <v>2324</v>
      </c>
      <c r="B715" s="1">
        <v>45333</v>
      </c>
      <c r="C715" t="s">
        <v>103</v>
      </c>
      <c r="D715" t="s">
        <v>1336</v>
      </c>
      <c r="E715" t="s">
        <v>1561</v>
      </c>
      <c r="F715">
        <v>2</v>
      </c>
      <c r="G715" s="14">
        <v>635.14</v>
      </c>
      <c r="H715" s="17">
        <v>0.1</v>
      </c>
      <c r="I715" t="s">
        <v>1614</v>
      </c>
      <c r="J715" s="14">
        <v>1143.252</v>
      </c>
      <c r="K715" s="14">
        <f t="shared" si="88"/>
        <v>438212.1296318848</v>
      </c>
      <c r="L715" s="14">
        <f t="shared" si="89"/>
        <v>437</v>
      </c>
      <c r="M715" s="14" t="str">
        <f t="shared" si="90"/>
        <v>11-02-2024</v>
      </c>
      <c r="N715" s="14">
        <f t="shared" si="91"/>
        <v>0.15629819884488083</v>
      </c>
      <c r="O715" s="20">
        <f t="shared" si="92"/>
        <v>2.4913734759883877</v>
      </c>
      <c r="P715" s="14">
        <f t="shared" si="93"/>
        <v>472.52957307461276</v>
      </c>
      <c r="Q715" s="14">
        <f t="shared" si="94"/>
        <v>445.12299999999999</v>
      </c>
      <c r="R715" s="14" t="str">
        <f t="shared" si="95"/>
        <v>Feb</v>
      </c>
    </row>
    <row r="716" spans="1:18" x14ac:dyDescent="0.3">
      <c r="A716" t="s">
        <v>2325</v>
      </c>
      <c r="B716" s="1">
        <v>45752</v>
      </c>
      <c r="C716" t="s">
        <v>1187</v>
      </c>
      <c r="D716" t="s">
        <v>1529</v>
      </c>
      <c r="E716" t="s">
        <v>1584</v>
      </c>
      <c r="F716">
        <v>4</v>
      </c>
      <c r="G716" s="14">
        <v>912.61</v>
      </c>
      <c r="H716" s="17">
        <v>0.14000000000000001</v>
      </c>
      <c r="I716" t="s">
        <v>1609</v>
      </c>
      <c r="J716" s="14">
        <v>3139.3784000000001</v>
      </c>
      <c r="K716" s="14">
        <f t="shared" si="88"/>
        <v>438212.1296318848</v>
      </c>
      <c r="L716" s="14">
        <f t="shared" si="89"/>
        <v>437</v>
      </c>
      <c r="M716" s="14" t="str">
        <f t="shared" si="90"/>
        <v>05-04-2025</v>
      </c>
      <c r="N716" s="14">
        <f t="shared" si="91"/>
        <v>0.15634204479413696</v>
      </c>
      <c r="O716" s="20">
        <f t="shared" si="92"/>
        <v>2.4917561656114318</v>
      </c>
      <c r="P716" s="14">
        <f t="shared" si="93"/>
        <v>472.40292943993563</v>
      </c>
      <c r="Q716" s="14">
        <f t="shared" si="94"/>
        <v>1014.0321</v>
      </c>
      <c r="R716" s="14" t="str">
        <f t="shared" si="95"/>
        <v>Apr</v>
      </c>
    </row>
    <row r="717" spans="1:18" x14ac:dyDescent="0.3">
      <c r="A717" t="s">
        <v>2326</v>
      </c>
      <c r="B717" s="1">
        <v>45795</v>
      </c>
      <c r="C717" t="s">
        <v>872</v>
      </c>
      <c r="D717" t="s">
        <v>1427</v>
      </c>
      <c r="E717" t="s">
        <v>1564</v>
      </c>
      <c r="F717">
        <v>3</v>
      </c>
      <c r="G717" s="14">
        <v>79.77</v>
      </c>
      <c r="H717" s="17">
        <v>0.09</v>
      </c>
      <c r="I717" t="s">
        <v>1609</v>
      </c>
      <c r="J717" s="14">
        <v>217.77209999999999</v>
      </c>
      <c r="K717" s="14">
        <f t="shared" si="88"/>
        <v>435072.75123188476</v>
      </c>
      <c r="L717" s="14">
        <f t="shared" si="89"/>
        <v>436</v>
      </c>
      <c r="M717" s="14" t="str">
        <f t="shared" si="90"/>
        <v>18-05-2025</v>
      </c>
      <c r="N717" s="14">
        <f t="shared" si="91"/>
        <v>0.15635478216342311</v>
      </c>
      <c r="O717" s="20">
        <f t="shared" si="92"/>
        <v>2.4905806053352131</v>
      </c>
      <c r="P717" s="14">
        <f t="shared" si="93"/>
        <v>472.0598218245342</v>
      </c>
      <c r="Q717" s="14">
        <f t="shared" si="94"/>
        <v>75.158024999999995</v>
      </c>
      <c r="R717" s="14" t="str">
        <f t="shared" si="95"/>
        <v>May</v>
      </c>
    </row>
    <row r="718" spans="1:18" x14ac:dyDescent="0.3">
      <c r="A718" t="s">
        <v>2327</v>
      </c>
      <c r="B718" s="1">
        <v>45755</v>
      </c>
      <c r="C718" t="s">
        <v>881</v>
      </c>
      <c r="D718" t="s">
        <v>1521</v>
      </c>
      <c r="E718" t="s">
        <v>1586</v>
      </c>
      <c r="F718">
        <v>4</v>
      </c>
      <c r="G718" s="14">
        <v>603.52</v>
      </c>
      <c r="H718" s="17">
        <v>0.25</v>
      </c>
      <c r="I718" t="s">
        <v>1609</v>
      </c>
      <c r="J718" s="14">
        <v>1810.56</v>
      </c>
      <c r="K718" s="14">
        <f t="shared" si="88"/>
        <v>434854.97913188481</v>
      </c>
      <c r="L718" s="14">
        <f t="shared" si="89"/>
        <v>435</v>
      </c>
      <c r="M718" s="14" t="str">
        <f t="shared" si="90"/>
        <v>08-04-2025</v>
      </c>
      <c r="N718" s="14">
        <f t="shared" si="91"/>
        <v>0.15640654096386261</v>
      </c>
      <c r="O718" s="20">
        <f t="shared" si="92"/>
        <v>2.4901832423128538</v>
      </c>
      <c r="P718" s="14">
        <f t="shared" si="93"/>
        <v>472.36582012548934</v>
      </c>
      <c r="Q718" s="14">
        <f t="shared" si="94"/>
        <v>604.58249999999998</v>
      </c>
      <c r="R718" s="14" t="str">
        <f t="shared" si="95"/>
        <v>Apr</v>
      </c>
    </row>
    <row r="719" spans="1:18" x14ac:dyDescent="0.3">
      <c r="A719" t="s">
        <v>2328</v>
      </c>
      <c r="B719" s="1">
        <v>45625</v>
      </c>
      <c r="C719" t="s">
        <v>281</v>
      </c>
      <c r="D719" t="s">
        <v>1487</v>
      </c>
      <c r="E719" t="s">
        <v>1579</v>
      </c>
      <c r="F719">
        <v>4</v>
      </c>
      <c r="G719" s="14">
        <v>453.12</v>
      </c>
      <c r="H719" s="17">
        <v>0.23</v>
      </c>
      <c r="I719" t="s">
        <v>1614</v>
      </c>
      <c r="J719" s="14">
        <v>1395.6096</v>
      </c>
      <c r="K719" s="14">
        <f t="shared" si="88"/>
        <v>433044.41913188488</v>
      </c>
      <c r="L719" s="14">
        <f t="shared" si="89"/>
        <v>434</v>
      </c>
      <c r="M719" s="14" t="str">
        <f t="shared" si="90"/>
        <v>29-11-2024</v>
      </c>
      <c r="N719" s="14">
        <f t="shared" si="91"/>
        <v>0.15633347815431056</v>
      </c>
      <c r="O719" s="20">
        <f t="shared" si="92"/>
        <v>2.489004618770553</v>
      </c>
      <c r="P719" s="14">
        <f t="shared" si="93"/>
        <v>472.26343591013062</v>
      </c>
      <c r="Q719" s="14">
        <f t="shared" si="94"/>
        <v>463.23990000000003</v>
      </c>
      <c r="R719" s="14" t="str">
        <f t="shared" si="95"/>
        <v>Nov</v>
      </c>
    </row>
    <row r="720" spans="1:18" x14ac:dyDescent="0.3">
      <c r="A720" t="s">
        <v>2329</v>
      </c>
      <c r="B720" s="1">
        <v>45656</v>
      </c>
      <c r="C720" t="s">
        <v>1318</v>
      </c>
      <c r="D720" t="s">
        <v>1399</v>
      </c>
      <c r="E720" t="s">
        <v>1571</v>
      </c>
      <c r="F720">
        <v>2</v>
      </c>
      <c r="G720" s="14">
        <v>974.35</v>
      </c>
      <c r="H720" s="17">
        <v>0.15</v>
      </c>
      <c r="I720" t="s">
        <v>1609</v>
      </c>
      <c r="J720" s="14">
        <v>1656.395</v>
      </c>
      <c r="K720" s="14">
        <f t="shared" si="88"/>
        <v>433044.41913188488</v>
      </c>
      <c r="L720" s="14">
        <f t="shared" si="89"/>
        <v>434</v>
      </c>
      <c r="M720" s="14" t="str">
        <f t="shared" si="90"/>
        <v>30-12-2024</v>
      </c>
      <c r="N720" s="14">
        <f t="shared" si="91"/>
        <v>0.15627592618411862</v>
      </c>
      <c r="O720" s="20">
        <f t="shared" si="92"/>
        <v>2.4878241536289676</v>
      </c>
      <c r="P720" s="14">
        <f t="shared" si="93"/>
        <v>472.27839171943543</v>
      </c>
      <c r="Q720" s="14">
        <f t="shared" si="94"/>
        <v>658.22375</v>
      </c>
      <c r="R720" s="14" t="str">
        <f t="shared" si="95"/>
        <v>Dec</v>
      </c>
    </row>
    <row r="721" spans="1:18" x14ac:dyDescent="0.3">
      <c r="A721" t="s">
        <v>2330</v>
      </c>
      <c r="B721" s="1">
        <v>45824</v>
      </c>
      <c r="C721" t="s">
        <v>1297</v>
      </c>
      <c r="D721" t="s">
        <v>1523</v>
      </c>
      <c r="E721" t="s">
        <v>1592</v>
      </c>
      <c r="F721">
        <v>4</v>
      </c>
      <c r="G721" s="14">
        <v>52.35</v>
      </c>
      <c r="H721" s="17">
        <v>0.23</v>
      </c>
      <c r="I721" t="s">
        <v>1614</v>
      </c>
      <c r="J721" s="14">
        <v>161.238</v>
      </c>
      <c r="K721" s="14">
        <f t="shared" si="88"/>
        <v>431388.0241318848</v>
      </c>
      <c r="L721" s="14">
        <f t="shared" si="89"/>
        <v>433</v>
      </c>
      <c r="M721" s="14" t="str">
        <f t="shared" si="90"/>
        <v>16-06-2025</v>
      </c>
      <c r="N721" s="14">
        <f t="shared" si="91"/>
        <v>0.15628083308496626</v>
      </c>
      <c r="O721" s="20">
        <f t="shared" si="92"/>
        <v>2.4882055642260186</v>
      </c>
      <c r="P721" s="14">
        <f t="shared" si="93"/>
        <v>471.88584159568205</v>
      </c>
      <c r="Q721" s="14">
        <f t="shared" si="94"/>
        <v>54.454499999999996</v>
      </c>
      <c r="R721" s="14" t="str">
        <f t="shared" si="95"/>
        <v>Jun</v>
      </c>
    </row>
    <row r="722" spans="1:18" x14ac:dyDescent="0.3">
      <c r="A722" t="s">
        <v>2331</v>
      </c>
      <c r="B722" s="1">
        <v>45824</v>
      </c>
      <c r="C722" t="s">
        <v>1157</v>
      </c>
      <c r="D722" t="s">
        <v>1463</v>
      </c>
      <c r="E722" t="s">
        <v>1592</v>
      </c>
      <c r="F722">
        <v>3</v>
      </c>
      <c r="G722" s="14">
        <v>681.58</v>
      </c>
      <c r="H722" s="17">
        <v>0.23</v>
      </c>
      <c r="I722" t="s">
        <v>1609</v>
      </c>
      <c r="J722" s="14">
        <v>1574.4498000000001</v>
      </c>
      <c r="K722" s="14">
        <f t="shared" si="88"/>
        <v>431388.0241318848</v>
      </c>
      <c r="L722" s="14">
        <f t="shared" si="89"/>
        <v>433</v>
      </c>
      <c r="M722" s="14" t="str">
        <f t="shared" si="90"/>
        <v>16-06-2025</v>
      </c>
      <c r="N722" s="14">
        <f t="shared" si="91"/>
        <v>0.15622314985576827</v>
      </c>
      <c r="O722" s="20">
        <f t="shared" si="92"/>
        <v>2.4870226264828466</v>
      </c>
      <c r="P722" s="14">
        <f t="shared" si="93"/>
        <v>472.21411690209499</v>
      </c>
      <c r="Q722" s="14">
        <f t="shared" si="94"/>
        <v>564.81495000000007</v>
      </c>
      <c r="R722" s="14" t="str">
        <f t="shared" si="95"/>
        <v>Jun</v>
      </c>
    </row>
    <row r="723" spans="1:18" x14ac:dyDescent="0.3">
      <c r="A723" t="s">
        <v>2332</v>
      </c>
      <c r="B723" s="1">
        <v>45384</v>
      </c>
      <c r="C723" t="s">
        <v>585</v>
      </c>
      <c r="D723" t="s">
        <v>1499</v>
      </c>
      <c r="E723" t="s">
        <v>1586</v>
      </c>
      <c r="F723">
        <v>3</v>
      </c>
      <c r="G723" s="14">
        <v>71.23</v>
      </c>
      <c r="H723" s="17">
        <v>0.03</v>
      </c>
      <c r="I723" t="s">
        <v>1609</v>
      </c>
      <c r="J723" s="14">
        <v>207.27930000000001</v>
      </c>
      <c r="K723" s="14">
        <f t="shared" si="88"/>
        <v>429813.5743318848</v>
      </c>
      <c r="L723" s="14">
        <f t="shared" si="89"/>
        <v>432</v>
      </c>
      <c r="M723" s="14" t="str">
        <f t="shared" si="90"/>
        <v>02-04-2024</v>
      </c>
      <c r="N723" s="14">
        <f t="shared" si="91"/>
        <v>0.15616537628478611</v>
      </c>
      <c r="O723" s="20">
        <f t="shared" si="92"/>
        <v>2.4866209214135302</v>
      </c>
      <c r="P723" s="14">
        <f t="shared" si="93"/>
        <v>472.05016554493136</v>
      </c>
      <c r="Q723" s="14">
        <f t="shared" si="94"/>
        <v>70.384825000000006</v>
      </c>
      <c r="R723" s="14" t="str">
        <f t="shared" si="95"/>
        <v>Apr</v>
      </c>
    </row>
    <row r="724" spans="1:18" x14ac:dyDescent="0.3">
      <c r="A724" t="s">
        <v>2333</v>
      </c>
      <c r="B724" s="1">
        <v>45379</v>
      </c>
      <c r="C724" t="s">
        <v>773</v>
      </c>
      <c r="D724" t="s">
        <v>1363</v>
      </c>
      <c r="E724" t="s">
        <v>1584</v>
      </c>
      <c r="F724">
        <v>1</v>
      </c>
      <c r="G724" s="14">
        <v>31.36</v>
      </c>
      <c r="H724" s="17">
        <v>0.21</v>
      </c>
      <c r="I724" t="s">
        <v>1614</v>
      </c>
      <c r="J724" s="14">
        <v>24.7744</v>
      </c>
      <c r="K724" s="14">
        <f t="shared" si="88"/>
        <v>429606.2950318848</v>
      </c>
      <c r="L724" s="14">
        <f t="shared" si="89"/>
        <v>431</v>
      </c>
      <c r="M724" s="14" t="str">
        <f t="shared" si="90"/>
        <v>28-03-2024</v>
      </c>
      <c r="N724" s="14">
        <f t="shared" si="91"/>
        <v>0.15626425197152968</v>
      </c>
      <c r="O724" s="20">
        <f t="shared" si="92"/>
        <v>2.4862185867124436</v>
      </c>
      <c r="P724" s="14">
        <f t="shared" si="93"/>
        <v>472.36428793172206</v>
      </c>
      <c r="Q724" s="14">
        <f t="shared" si="94"/>
        <v>14.3361</v>
      </c>
      <c r="R724" s="14" t="str">
        <f t="shared" si="95"/>
        <v>Mar</v>
      </c>
    </row>
    <row r="725" spans="1:18" x14ac:dyDescent="0.3">
      <c r="A725" t="s">
        <v>2334</v>
      </c>
      <c r="B725" s="1">
        <v>45674</v>
      </c>
      <c r="C725" t="s">
        <v>1071</v>
      </c>
      <c r="D725" t="s">
        <v>1415</v>
      </c>
      <c r="E725" t="s">
        <v>1582</v>
      </c>
      <c r="F725">
        <v>2</v>
      </c>
      <c r="G725" s="14">
        <v>555.54999999999995</v>
      </c>
      <c r="H725" s="17">
        <v>0.14000000000000001</v>
      </c>
      <c r="I725" t="s">
        <v>1609</v>
      </c>
      <c r="J725" s="14">
        <v>955.54599999999994</v>
      </c>
      <c r="K725" s="14">
        <f t="shared" si="88"/>
        <v>429606.2950318848</v>
      </c>
      <c r="L725" s="14">
        <f t="shared" si="89"/>
        <v>431</v>
      </c>
      <c r="M725" s="14" t="str">
        <f t="shared" si="90"/>
        <v>17-01-2025</v>
      </c>
      <c r="N725" s="14">
        <f t="shared" si="91"/>
        <v>0.15622210628680144</v>
      </c>
      <c r="O725" s="20">
        <f t="shared" si="92"/>
        <v>2.4873842483490809</v>
      </c>
      <c r="P725" s="14">
        <f t="shared" si="93"/>
        <v>472.71017364774696</v>
      </c>
      <c r="Q725" s="14">
        <f t="shared" si="94"/>
        <v>378.30899999999997</v>
      </c>
      <c r="R725" s="14" t="str">
        <f t="shared" si="95"/>
        <v>Jan</v>
      </c>
    </row>
    <row r="726" spans="1:18" x14ac:dyDescent="0.3">
      <c r="A726" t="s">
        <v>2335</v>
      </c>
      <c r="B726" s="1">
        <v>45760</v>
      </c>
      <c r="C726" t="s">
        <v>803</v>
      </c>
      <c r="D726" t="s">
        <v>1465</v>
      </c>
      <c r="E726" t="s">
        <v>1589</v>
      </c>
      <c r="F726">
        <v>4</v>
      </c>
      <c r="G726" s="14">
        <v>805.99</v>
      </c>
      <c r="H726" s="17">
        <v>0.06</v>
      </c>
      <c r="I726" t="s">
        <v>1609</v>
      </c>
      <c r="J726" s="14">
        <v>3030.5223999999998</v>
      </c>
      <c r="K726" s="14">
        <f t="shared" si="88"/>
        <v>428650.74903188477</v>
      </c>
      <c r="L726" s="14">
        <f t="shared" si="89"/>
        <v>430</v>
      </c>
      <c r="M726" s="14" t="str">
        <f t="shared" si="90"/>
        <v>13-04-2025</v>
      </c>
      <c r="N726" s="14">
        <f t="shared" si="91"/>
        <v>0.15623483949424793</v>
      </c>
      <c r="O726" s="20">
        <f t="shared" si="92"/>
        <v>2.4877668105534365</v>
      </c>
      <c r="P726" s="14">
        <f t="shared" si="93"/>
        <v>472.64515023616741</v>
      </c>
      <c r="Q726" s="14">
        <f t="shared" si="94"/>
        <v>960.1431</v>
      </c>
      <c r="R726" s="14" t="str">
        <f t="shared" si="95"/>
        <v>Apr</v>
      </c>
    </row>
    <row r="727" spans="1:18" x14ac:dyDescent="0.3">
      <c r="A727" t="s">
        <v>2336</v>
      </c>
      <c r="B727" s="1">
        <v>45474</v>
      </c>
      <c r="C727" t="s">
        <v>1209</v>
      </c>
      <c r="D727" t="s">
        <v>1475</v>
      </c>
      <c r="E727" t="s">
        <v>1542</v>
      </c>
      <c r="F727">
        <v>1</v>
      </c>
      <c r="G727" s="14">
        <v>506.55</v>
      </c>
      <c r="H727" s="17">
        <v>0.28000000000000003</v>
      </c>
      <c r="I727" t="s">
        <v>1609</v>
      </c>
      <c r="J727" s="14">
        <v>364.71600000000001</v>
      </c>
      <c r="K727" s="14">
        <f t="shared" si="88"/>
        <v>425620.22663188481</v>
      </c>
      <c r="L727" s="14">
        <f t="shared" si="89"/>
        <v>429</v>
      </c>
      <c r="M727" s="14" t="str">
        <f t="shared" si="90"/>
        <v>01-07-2024</v>
      </c>
      <c r="N727" s="14">
        <f t="shared" si="91"/>
        <v>0.15631043638308867</v>
      </c>
      <c r="O727" s="20">
        <f t="shared" si="92"/>
        <v>2.4865788818892991</v>
      </c>
      <c r="P727" s="14">
        <f t="shared" si="93"/>
        <v>472.38329253800271</v>
      </c>
      <c r="Q727" s="14">
        <f t="shared" si="94"/>
        <v>218.13650000000001</v>
      </c>
      <c r="R727" s="14" t="str">
        <f t="shared" si="95"/>
        <v>Jul</v>
      </c>
    </row>
    <row r="728" spans="1:18" x14ac:dyDescent="0.3">
      <c r="A728" t="s">
        <v>2337</v>
      </c>
      <c r="B728" s="1">
        <v>45640</v>
      </c>
      <c r="C728" t="s">
        <v>447</v>
      </c>
      <c r="D728" t="s">
        <v>1415</v>
      </c>
      <c r="E728" t="s">
        <v>1577</v>
      </c>
      <c r="F728">
        <v>3</v>
      </c>
      <c r="G728" s="14">
        <v>28.69</v>
      </c>
      <c r="H728" s="17">
        <v>0.02</v>
      </c>
      <c r="I728" t="s">
        <v>1609</v>
      </c>
      <c r="J728" s="14">
        <v>84.348600000000005</v>
      </c>
      <c r="K728" s="14">
        <f t="shared" si="88"/>
        <v>425255.5106318848</v>
      </c>
      <c r="L728" s="14">
        <f t="shared" si="89"/>
        <v>428</v>
      </c>
      <c r="M728" s="14" t="str">
        <f t="shared" si="90"/>
        <v>14-12-2024</v>
      </c>
      <c r="N728" s="14">
        <f t="shared" si="91"/>
        <v>0.15621319616011939</v>
      </c>
      <c r="O728" s="20">
        <f t="shared" si="92"/>
        <v>2.487747575978835</v>
      </c>
      <c r="P728" s="14">
        <f t="shared" si="93"/>
        <v>472.35643191892876</v>
      </c>
      <c r="Q728" s="14">
        <f t="shared" si="94"/>
        <v>29.014650000000003</v>
      </c>
      <c r="R728" s="14" t="str">
        <f t="shared" si="95"/>
        <v>Dec</v>
      </c>
    </row>
    <row r="729" spans="1:18" x14ac:dyDescent="0.3">
      <c r="A729" t="s">
        <v>2338</v>
      </c>
      <c r="B729" s="1">
        <v>45253</v>
      </c>
      <c r="C729" t="s">
        <v>1208</v>
      </c>
      <c r="D729" t="s">
        <v>1485</v>
      </c>
      <c r="E729" t="s">
        <v>1554</v>
      </c>
      <c r="F729">
        <v>1</v>
      </c>
      <c r="G729" s="14">
        <v>106.07</v>
      </c>
      <c r="H729" s="17">
        <v>0.23</v>
      </c>
      <c r="I729" t="s">
        <v>1614</v>
      </c>
      <c r="J729" s="14">
        <v>81.673900000000003</v>
      </c>
      <c r="K729" s="14">
        <f t="shared" si="88"/>
        <v>425171.16203188477</v>
      </c>
      <c r="L729" s="14">
        <f t="shared" si="89"/>
        <v>427</v>
      </c>
      <c r="M729" s="14" t="str">
        <f t="shared" si="90"/>
        <v>23-11-2023</v>
      </c>
      <c r="N729" s="14">
        <f t="shared" si="91"/>
        <v>0.15632036625937992</v>
      </c>
      <c r="O729" s="20">
        <f t="shared" si="92"/>
        <v>2.4873445449607217</v>
      </c>
      <c r="P729" s="14">
        <f t="shared" si="93"/>
        <v>472.70550070879409</v>
      </c>
      <c r="Q729" s="14">
        <f t="shared" si="94"/>
        <v>47.243475000000004</v>
      </c>
      <c r="R729" s="14" t="str">
        <f t="shared" si="95"/>
        <v>Nov</v>
      </c>
    </row>
    <row r="730" spans="1:18" x14ac:dyDescent="0.3">
      <c r="A730" t="s">
        <v>2339</v>
      </c>
      <c r="B730" s="1">
        <v>45225</v>
      </c>
      <c r="C730" t="s">
        <v>830</v>
      </c>
      <c r="D730" t="s">
        <v>1515</v>
      </c>
      <c r="E730" t="s">
        <v>1537</v>
      </c>
      <c r="F730">
        <v>4</v>
      </c>
      <c r="G730" s="14">
        <v>289.77</v>
      </c>
      <c r="H730" s="17">
        <v>0.06</v>
      </c>
      <c r="I730" t="s">
        <v>1611</v>
      </c>
      <c r="J730" s="14">
        <v>1089.5352</v>
      </c>
      <c r="K730" s="14">
        <f t="shared" si="88"/>
        <v>425171.16203188477</v>
      </c>
      <c r="L730" s="14">
        <f t="shared" si="89"/>
        <v>427</v>
      </c>
      <c r="M730" s="14" t="str">
        <f t="shared" si="90"/>
        <v>26-10-2023</v>
      </c>
      <c r="N730" s="14">
        <f t="shared" si="91"/>
        <v>0.15626235079974163</v>
      </c>
      <c r="O730" s="20">
        <f t="shared" si="92"/>
        <v>2.4885156823976993</v>
      </c>
      <c r="P730" s="14">
        <f t="shared" si="93"/>
        <v>472.99419007943101</v>
      </c>
      <c r="Q730" s="14">
        <f t="shared" si="94"/>
        <v>345.84129999999999</v>
      </c>
      <c r="R730" s="14" t="str">
        <f t="shared" si="95"/>
        <v>Oct</v>
      </c>
    </row>
    <row r="731" spans="1:18" x14ac:dyDescent="0.3">
      <c r="A731" t="s">
        <v>2340</v>
      </c>
      <c r="B731" s="1">
        <v>45263</v>
      </c>
      <c r="C731" t="s">
        <v>523</v>
      </c>
      <c r="D731" t="s">
        <v>1499</v>
      </c>
      <c r="E731" t="s">
        <v>1595</v>
      </c>
      <c r="F731">
        <v>2</v>
      </c>
      <c r="G731" s="14">
        <v>354.26</v>
      </c>
      <c r="H731" s="17">
        <v>0.01</v>
      </c>
      <c r="I731" t="s">
        <v>1614</v>
      </c>
      <c r="J731" s="14">
        <v>701.4348</v>
      </c>
      <c r="K731" s="14">
        <f t="shared" si="88"/>
        <v>425171.16203188477</v>
      </c>
      <c r="L731" s="14">
        <f t="shared" si="89"/>
        <v>427</v>
      </c>
      <c r="M731" s="14" t="str">
        <f t="shared" si="90"/>
        <v>03-12-2023</v>
      </c>
      <c r="N731" s="14">
        <f t="shared" si="91"/>
        <v>0.15633820765616382</v>
      </c>
      <c r="O731" s="20">
        <f t="shared" si="92"/>
        <v>2.4873245994051048</v>
      </c>
      <c r="P731" s="14">
        <f t="shared" si="93"/>
        <v>473.13857478398529</v>
      </c>
      <c r="Q731" s="14">
        <f t="shared" si="94"/>
        <v>264.42619999999999</v>
      </c>
      <c r="R731" s="14" t="str">
        <f t="shared" si="95"/>
        <v>Dec</v>
      </c>
    </row>
    <row r="732" spans="1:18" x14ac:dyDescent="0.3">
      <c r="A732" t="s">
        <v>2341</v>
      </c>
      <c r="B732" s="1">
        <v>45554</v>
      </c>
      <c r="C732" t="s">
        <v>1202</v>
      </c>
      <c r="D732" t="s">
        <v>1469</v>
      </c>
      <c r="E732" t="s">
        <v>1584</v>
      </c>
      <c r="F732">
        <v>1</v>
      </c>
      <c r="G732" s="14">
        <v>522.72</v>
      </c>
      <c r="H732" s="17">
        <v>0.25</v>
      </c>
      <c r="I732" t="s">
        <v>1611</v>
      </c>
      <c r="J732" s="14">
        <v>392.04</v>
      </c>
      <c r="K732" s="14">
        <f t="shared" si="88"/>
        <v>425171.16203188477</v>
      </c>
      <c r="L732" s="14">
        <f t="shared" si="89"/>
        <v>427</v>
      </c>
      <c r="M732" s="14" t="str">
        <f t="shared" si="90"/>
        <v>19-09-2024</v>
      </c>
      <c r="N732" s="14">
        <f t="shared" si="91"/>
        <v>0.15645361633728067</v>
      </c>
      <c r="O732" s="20">
        <f t="shared" si="92"/>
        <v>2.4877089247989574</v>
      </c>
      <c r="P732" s="14">
        <f t="shared" si="93"/>
        <v>473.23232760321559</v>
      </c>
      <c r="Q732" s="14">
        <f t="shared" si="94"/>
        <v>229.0025</v>
      </c>
      <c r="R732" s="14" t="str">
        <f t="shared" si="95"/>
        <v>Sep</v>
      </c>
    </row>
    <row r="733" spans="1:18" x14ac:dyDescent="0.3">
      <c r="A733" t="s">
        <v>2342</v>
      </c>
      <c r="B733" s="1">
        <v>45569</v>
      </c>
      <c r="C733" t="s">
        <v>214</v>
      </c>
      <c r="D733" t="s">
        <v>1340</v>
      </c>
      <c r="E733" t="s">
        <v>1571</v>
      </c>
      <c r="F733">
        <v>3</v>
      </c>
      <c r="G733" s="14">
        <v>966.02</v>
      </c>
      <c r="H733" s="17">
        <v>0.03</v>
      </c>
      <c r="I733" t="s">
        <v>1614</v>
      </c>
      <c r="J733" s="14">
        <v>2811.1181999999999</v>
      </c>
      <c r="K733" s="14">
        <f t="shared" si="88"/>
        <v>425171.16203188477</v>
      </c>
      <c r="L733" s="14">
        <f t="shared" si="89"/>
        <v>427</v>
      </c>
      <c r="M733" s="14" t="str">
        <f t="shared" si="90"/>
        <v>04-10-2024</v>
      </c>
      <c r="N733" s="14">
        <f t="shared" si="91"/>
        <v>0.15637978335885705</v>
      </c>
      <c r="O733" s="20">
        <f t="shared" si="92"/>
        <v>2.4888831228453654</v>
      </c>
      <c r="P733" s="14">
        <f t="shared" si="93"/>
        <v>473.19326866683298</v>
      </c>
      <c r="Q733" s="14">
        <f t="shared" si="94"/>
        <v>945.04205000000002</v>
      </c>
      <c r="R733" s="14" t="str">
        <f t="shared" si="95"/>
        <v>Oct</v>
      </c>
    </row>
    <row r="734" spans="1:18" x14ac:dyDescent="0.3">
      <c r="A734" t="s">
        <v>2343</v>
      </c>
      <c r="B734" s="1">
        <v>45217</v>
      </c>
      <c r="C734" t="s">
        <v>724</v>
      </c>
      <c r="D734" t="s">
        <v>1433</v>
      </c>
      <c r="E734" t="s">
        <v>1592</v>
      </c>
      <c r="F734">
        <v>1</v>
      </c>
      <c r="G734" s="14">
        <v>498.61</v>
      </c>
      <c r="H734" s="17">
        <v>0.04</v>
      </c>
      <c r="I734" t="s">
        <v>1611</v>
      </c>
      <c r="J734" s="14">
        <v>478.66559999999998</v>
      </c>
      <c r="K734" s="14">
        <f t="shared" si="88"/>
        <v>425171.16203188477</v>
      </c>
      <c r="L734" s="14">
        <f t="shared" si="89"/>
        <v>427</v>
      </c>
      <c r="M734" s="14" t="str">
        <f t="shared" si="90"/>
        <v>18-10-2023</v>
      </c>
      <c r="N734" s="14">
        <f t="shared" si="91"/>
        <v>0.1564796094120631</v>
      </c>
      <c r="O734" s="20">
        <f t="shared" si="92"/>
        <v>2.4884793970340269</v>
      </c>
      <c r="P734" s="14">
        <f t="shared" si="93"/>
        <v>472.80399004808635</v>
      </c>
      <c r="Q734" s="14">
        <f t="shared" si="94"/>
        <v>244.5789</v>
      </c>
      <c r="R734" s="14" t="str">
        <f t="shared" si="95"/>
        <v>Oct</v>
      </c>
    </row>
    <row r="735" spans="1:18" x14ac:dyDescent="0.3">
      <c r="A735" t="s">
        <v>2344</v>
      </c>
      <c r="B735" s="1">
        <v>45783</v>
      </c>
      <c r="C735" t="s">
        <v>1038</v>
      </c>
      <c r="D735" t="s">
        <v>1417</v>
      </c>
      <c r="E735" t="s">
        <v>1561</v>
      </c>
      <c r="F735">
        <v>4</v>
      </c>
      <c r="G735" s="14">
        <v>758.27</v>
      </c>
      <c r="H735" s="17">
        <v>0.05</v>
      </c>
      <c r="I735" t="s">
        <v>1611</v>
      </c>
      <c r="J735" s="14">
        <v>2881.4259999999999</v>
      </c>
      <c r="K735" s="14">
        <f t="shared" si="88"/>
        <v>425171.16203188477</v>
      </c>
      <c r="L735" s="14">
        <f t="shared" si="89"/>
        <v>427</v>
      </c>
      <c r="M735" s="14" t="str">
        <f t="shared" si="90"/>
        <v>06-05-2025</v>
      </c>
      <c r="N735" s="14">
        <f t="shared" si="91"/>
        <v>0.15657168815468134</v>
      </c>
      <c r="O735" s="20">
        <f t="shared" si="92"/>
        <v>2.4896560605889944</v>
      </c>
      <c r="P735" s="14">
        <f t="shared" si="93"/>
        <v>472.78359004021917</v>
      </c>
      <c r="Q735" s="14">
        <f t="shared" si="94"/>
        <v>910.93650000000002</v>
      </c>
      <c r="R735" s="14" t="str">
        <f t="shared" si="95"/>
        <v>May</v>
      </c>
    </row>
    <row r="736" spans="1:18" x14ac:dyDescent="0.3">
      <c r="A736" t="s">
        <v>2345</v>
      </c>
      <c r="B736" s="1">
        <v>45371</v>
      </c>
      <c r="C736" t="s">
        <v>648</v>
      </c>
      <c r="D736" t="s">
        <v>1336</v>
      </c>
      <c r="E736" t="s">
        <v>1546</v>
      </c>
      <c r="F736">
        <v>2</v>
      </c>
      <c r="G736" s="14">
        <v>371.03</v>
      </c>
      <c r="H736" s="17">
        <v>0.23</v>
      </c>
      <c r="I736" t="s">
        <v>1611</v>
      </c>
      <c r="J736" s="14">
        <v>571.38619999999992</v>
      </c>
      <c r="K736" s="14">
        <f t="shared" si="88"/>
        <v>425171.16203188477</v>
      </c>
      <c r="L736" s="14">
        <f t="shared" si="89"/>
        <v>427</v>
      </c>
      <c r="M736" s="14" t="str">
        <f t="shared" si="90"/>
        <v>20-03-2024</v>
      </c>
      <c r="N736" s="14">
        <f t="shared" si="91"/>
        <v>0.1566560011991075</v>
      </c>
      <c r="O736" s="20">
        <f t="shared" si="92"/>
        <v>2.4884611682318658</v>
      </c>
      <c r="P736" s="14">
        <f t="shared" si="93"/>
        <v>472.55773053866881</v>
      </c>
      <c r="Q736" s="14">
        <f t="shared" si="94"/>
        <v>236.16154999999998</v>
      </c>
      <c r="R736" s="14" t="str">
        <f t="shared" si="95"/>
        <v>Mar</v>
      </c>
    </row>
    <row r="737" spans="1:18" x14ac:dyDescent="0.3">
      <c r="A737" t="s">
        <v>2346</v>
      </c>
      <c r="B737" s="1">
        <v>45453</v>
      </c>
      <c r="C737" t="s">
        <v>1112</v>
      </c>
      <c r="D737" t="s">
        <v>1515</v>
      </c>
      <c r="E737" t="s">
        <v>1592</v>
      </c>
      <c r="F737">
        <v>1</v>
      </c>
      <c r="G737" s="14">
        <v>230.32</v>
      </c>
      <c r="H737" s="17">
        <v>0.05</v>
      </c>
      <c r="I737" t="s">
        <v>1614</v>
      </c>
      <c r="J737" s="14">
        <v>218.804</v>
      </c>
      <c r="K737" s="14">
        <f t="shared" si="88"/>
        <v>425171.16203188477</v>
      </c>
      <c r="L737" s="14">
        <f t="shared" si="89"/>
        <v>427</v>
      </c>
      <c r="M737" s="14" t="str">
        <f t="shared" si="90"/>
        <v>10-06-2024</v>
      </c>
      <c r="N737" s="14">
        <f t="shared" si="91"/>
        <v>0.15659792994114957</v>
      </c>
      <c r="O737" s="20">
        <f t="shared" si="92"/>
        <v>2.4888479150000622</v>
      </c>
      <c r="P737" s="14">
        <f t="shared" si="93"/>
        <v>472.63811670694957</v>
      </c>
      <c r="Q737" s="14">
        <f t="shared" si="94"/>
        <v>112.54349999999999</v>
      </c>
      <c r="R737" s="14" t="str">
        <f t="shared" si="95"/>
        <v>Jun</v>
      </c>
    </row>
    <row r="738" spans="1:18" x14ac:dyDescent="0.3">
      <c r="A738" t="s">
        <v>2347</v>
      </c>
      <c r="B738" s="1">
        <v>45526</v>
      </c>
      <c r="C738" t="s">
        <v>1074</v>
      </c>
      <c r="D738" t="s">
        <v>1455</v>
      </c>
      <c r="E738" t="s">
        <v>1561</v>
      </c>
      <c r="F738">
        <v>2</v>
      </c>
      <c r="G738" s="14">
        <v>985.43</v>
      </c>
      <c r="H738" s="17">
        <v>0.28000000000000003</v>
      </c>
      <c r="I738" t="s">
        <v>1614</v>
      </c>
      <c r="J738" s="14">
        <v>1419.0192</v>
      </c>
      <c r="K738" s="14">
        <f t="shared" si="88"/>
        <v>425171.16203188477</v>
      </c>
      <c r="L738" s="14">
        <f t="shared" si="89"/>
        <v>427</v>
      </c>
      <c r="M738" s="14" t="str">
        <f t="shared" si="90"/>
        <v>22-08-2024</v>
      </c>
      <c r="N738" s="14">
        <f t="shared" si="91"/>
        <v>0.15668239739752132</v>
      </c>
      <c r="O738" s="20">
        <f t="shared" si="92"/>
        <v>2.4900276677060837</v>
      </c>
      <c r="P738" s="14">
        <f t="shared" si="93"/>
        <v>472.83012789292968</v>
      </c>
      <c r="Q738" s="14">
        <f t="shared" si="94"/>
        <v>601.68229999999994</v>
      </c>
      <c r="R738" s="14" t="str">
        <f t="shared" si="95"/>
        <v>Aug</v>
      </c>
    </row>
    <row r="739" spans="1:18" x14ac:dyDescent="0.3">
      <c r="A739" t="s">
        <v>2348</v>
      </c>
      <c r="B739" s="1">
        <v>45756</v>
      </c>
      <c r="C739" t="s">
        <v>1243</v>
      </c>
      <c r="D739" t="s">
        <v>1350</v>
      </c>
      <c r="E739" t="s">
        <v>1554</v>
      </c>
      <c r="F739">
        <v>2</v>
      </c>
      <c r="G739" s="14">
        <v>492.5</v>
      </c>
      <c r="H739" s="17">
        <v>0.3</v>
      </c>
      <c r="I739" t="s">
        <v>1611</v>
      </c>
      <c r="J739" s="14">
        <v>689.5</v>
      </c>
      <c r="K739" s="14">
        <f t="shared" si="88"/>
        <v>425171.16203188477</v>
      </c>
      <c r="L739" s="14">
        <f t="shared" si="89"/>
        <v>427</v>
      </c>
      <c r="M739" s="14" t="str">
        <f t="shared" si="90"/>
        <v>09-04-2025</v>
      </c>
      <c r="N739" s="14">
        <f t="shared" si="91"/>
        <v>0.15658460389823306</v>
      </c>
      <c r="O739" s="20">
        <f t="shared" si="92"/>
        <v>2.4904162701388408</v>
      </c>
      <c r="P739" s="14">
        <f t="shared" si="93"/>
        <v>472.42362521877652</v>
      </c>
      <c r="Q739" s="14">
        <f t="shared" si="94"/>
        <v>296.07499999999999</v>
      </c>
      <c r="R739" s="14" t="str">
        <f t="shared" si="95"/>
        <v>Apr</v>
      </c>
    </row>
    <row r="740" spans="1:18" x14ac:dyDescent="0.3">
      <c r="A740" t="s">
        <v>2349</v>
      </c>
      <c r="B740" s="1">
        <v>45657</v>
      </c>
      <c r="C740" t="s">
        <v>1139</v>
      </c>
      <c r="D740" t="s">
        <v>1425</v>
      </c>
      <c r="E740" t="s">
        <v>1577</v>
      </c>
      <c r="F740">
        <v>2</v>
      </c>
      <c r="G740" s="14">
        <v>213.69</v>
      </c>
      <c r="H740" s="17">
        <v>0.28000000000000003</v>
      </c>
      <c r="I740" t="s">
        <v>1611</v>
      </c>
      <c r="J740" s="14">
        <v>307.71359999999999</v>
      </c>
      <c r="K740" s="14">
        <f t="shared" si="88"/>
        <v>425171.16203188477</v>
      </c>
      <c r="L740" s="14">
        <f t="shared" si="89"/>
        <v>427</v>
      </c>
      <c r="M740" s="14" t="str">
        <f t="shared" si="90"/>
        <v>31-12-2024</v>
      </c>
      <c r="N740" s="14">
        <f t="shared" si="91"/>
        <v>0.15647078215529517</v>
      </c>
      <c r="O740" s="20">
        <f t="shared" si="92"/>
        <v>2.4908054894008558</v>
      </c>
      <c r="P740" s="14">
        <f t="shared" si="93"/>
        <v>472.40769158799776</v>
      </c>
      <c r="Q740" s="14">
        <f t="shared" si="94"/>
        <v>130.92089999999999</v>
      </c>
      <c r="R740" s="14" t="str">
        <f t="shared" si="95"/>
        <v>Dec</v>
      </c>
    </row>
    <row r="741" spans="1:18" x14ac:dyDescent="0.3">
      <c r="A741" t="s">
        <v>2350</v>
      </c>
      <c r="B741" s="1">
        <v>45716</v>
      </c>
      <c r="C741" t="s">
        <v>241</v>
      </c>
      <c r="D741" t="s">
        <v>1373</v>
      </c>
      <c r="E741" t="s">
        <v>1567</v>
      </c>
      <c r="F741">
        <v>4</v>
      </c>
      <c r="G741" s="14">
        <v>618.83000000000004</v>
      </c>
      <c r="H741" s="17">
        <v>0.08</v>
      </c>
      <c r="I741" t="s">
        <v>1611</v>
      </c>
      <c r="J741" s="14">
        <v>2277.2944000000002</v>
      </c>
      <c r="K741" s="14">
        <f t="shared" si="88"/>
        <v>425171.16203188477</v>
      </c>
      <c r="L741" s="14">
        <f t="shared" si="89"/>
        <v>427</v>
      </c>
      <c r="M741" s="14" t="str">
        <f t="shared" si="90"/>
        <v>28-02-2025</v>
      </c>
      <c r="N741" s="14">
        <f t="shared" si="91"/>
        <v>0.15637266522293239</v>
      </c>
      <c r="O741" s="20">
        <f t="shared" si="92"/>
        <v>2.4911953269619369</v>
      </c>
      <c r="P741" s="14">
        <f t="shared" si="93"/>
        <v>472.61318618020431</v>
      </c>
      <c r="Q741" s="14">
        <f t="shared" si="94"/>
        <v>725.05110000000013</v>
      </c>
      <c r="R741" s="14" t="str">
        <f t="shared" si="95"/>
        <v>Feb</v>
      </c>
    </row>
    <row r="742" spans="1:18" x14ac:dyDescent="0.3">
      <c r="A742" t="s">
        <v>2351</v>
      </c>
      <c r="B742" s="1">
        <v>45313</v>
      </c>
      <c r="C742" t="s">
        <v>335</v>
      </c>
      <c r="D742" t="s">
        <v>1451</v>
      </c>
      <c r="E742" t="s">
        <v>1577</v>
      </c>
      <c r="F742">
        <v>2</v>
      </c>
      <c r="G742" s="14">
        <v>81.16</v>
      </c>
      <c r="H742" s="17">
        <v>0.16</v>
      </c>
      <c r="I742" t="s">
        <v>1611</v>
      </c>
      <c r="J742" s="14">
        <v>136.34880000000001</v>
      </c>
      <c r="K742" s="14">
        <f t="shared" si="88"/>
        <v>425171.16203188477</v>
      </c>
      <c r="L742" s="14">
        <f t="shared" si="89"/>
        <v>427</v>
      </c>
      <c r="M742" s="14" t="str">
        <f t="shared" si="90"/>
        <v>22-01-2024</v>
      </c>
      <c r="N742" s="14">
        <f t="shared" si="91"/>
        <v>0.15643337481372965</v>
      </c>
      <c r="O742" s="20">
        <f t="shared" si="92"/>
        <v>2.4899959591773277</v>
      </c>
      <c r="P742" s="14">
        <f t="shared" si="93"/>
        <v>472.49695659847163</v>
      </c>
      <c r="Q742" s="14">
        <f t="shared" si="94"/>
        <v>54.917200000000001</v>
      </c>
      <c r="R742" s="14" t="str">
        <f t="shared" si="95"/>
        <v>Jan</v>
      </c>
    </row>
    <row r="743" spans="1:18" x14ac:dyDescent="0.3">
      <c r="A743" t="s">
        <v>2352</v>
      </c>
      <c r="B743" s="1">
        <v>45372</v>
      </c>
      <c r="C743" t="s">
        <v>20</v>
      </c>
      <c r="D743" t="s">
        <v>1505</v>
      </c>
      <c r="E743" t="s">
        <v>1571</v>
      </c>
      <c r="F743">
        <v>1</v>
      </c>
      <c r="G743" s="14">
        <v>431.69</v>
      </c>
      <c r="H743" s="17">
        <v>0.09</v>
      </c>
      <c r="I743" t="s">
        <v>1609</v>
      </c>
      <c r="J743" s="14">
        <v>392.83789999999999</v>
      </c>
      <c r="K743" s="14">
        <f t="shared" si="88"/>
        <v>425171.16203188477</v>
      </c>
      <c r="L743" s="14">
        <f t="shared" si="89"/>
        <v>427</v>
      </c>
      <c r="M743" s="14" t="str">
        <f t="shared" si="90"/>
        <v>21-03-2024</v>
      </c>
      <c r="N743" s="14">
        <f t="shared" si="91"/>
        <v>0.15643053740308027</v>
      </c>
      <c r="O743" s="20">
        <f t="shared" si="92"/>
        <v>2.4903857729873335</v>
      </c>
      <c r="P743" s="14">
        <f t="shared" si="93"/>
        <v>472.80828273737251</v>
      </c>
      <c r="Q743" s="14">
        <f t="shared" si="94"/>
        <v>206.40447499999999</v>
      </c>
      <c r="R743" s="14" t="str">
        <f t="shared" si="95"/>
        <v>Mar</v>
      </c>
    </row>
    <row r="744" spans="1:18" x14ac:dyDescent="0.3">
      <c r="A744" t="s">
        <v>2353</v>
      </c>
      <c r="B744" s="1">
        <v>45648</v>
      </c>
      <c r="C744" t="s">
        <v>1226</v>
      </c>
      <c r="D744" t="s">
        <v>1369</v>
      </c>
      <c r="E744" t="s">
        <v>1558</v>
      </c>
      <c r="F744">
        <v>3</v>
      </c>
      <c r="G744" s="14">
        <v>438.65</v>
      </c>
      <c r="H744" s="17">
        <v>0.28999999999999998</v>
      </c>
      <c r="I744" t="s">
        <v>1611</v>
      </c>
      <c r="J744" s="14">
        <v>934.32449999999983</v>
      </c>
      <c r="K744" s="14">
        <f t="shared" si="88"/>
        <v>424778.32413188473</v>
      </c>
      <c r="L744" s="14">
        <f t="shared" si="89"/>
        <v>426</v>
      </c>
      <c r="M744" s="14" t="str">
        <f t="shared" si="90"/>
        <v>22-12-2024</v>
      </c>
      <c r="N744" s="14">
        <f t="shared" si="91"/>
        <v>0.1564834279583375</v>
      </c>
      <c r="O744" s="20">
        <f t="shared" si="92"/>
        <v>2.4915723858639161</v>
      </c>
      <c r="P744" s="14">
        <f t="shared" si="93"/>
        <v>472.84102022362845</v>
      </c>
      <c r="Q744" s="14">
        <f t="shared" si="94"/>
        <v>344.06612499999994</v>
      </c>
      <c r="R744" s="14" t="str">
        <f t="shared" si="95"/>
        <v>Dec</v>
      </c>
    </row>
    <row r="745" spans="1:18" x14ac:dyDescent="0.3">
      <c r="A745" t="s">
        <v>2354</v>
      </c>
      <c r="B745" s="1">
        <v>45384</v>
      </c>
      <c r="C745" t="s">
        <v>571</v>
      </c>
      <c r="D745" t="s">
        <v>1491</v>
      </c>
      <c r="E745" t="s">
        <v>1551</v>
      </c>
      <c r="F745">
        <v>3</v>
      </c>
      <c r="G745" s="14">
        <v>339.41</v>
      </c>
      <c r="H745" s="17">
        <v>0.26</v>
      </c>
      <c r="I745" t="s">
        <v>1609</v>
      </c>
      <c r="J745" s="14">
        <v>753.49019999999996</v>
      </c>
      <c r="K745" s="14">
        <f t="shared" si="88"/>
        <v>424778.32413188473</v>
      </c>
      <c r="L745" s="14">
        <f t="shared" si="89"/>
        <v>426</v>
      </c>
      <c r="M745" s="14" t="str">
        <f t="shared" si="90"/>
        <v>02-04-2024</v>
      </c>
      <c r="N745" s="14">
        <f t="shared" si="91"/>
        <v>0.1563770402515314</v>
      </c>
      <c r="O745" s="20">
        <f t="shared" si="92"/>
        <v>2.491167264259027</v>
      </c>
      <c r="P745" s="14">
        <f t="shared" si="93"/>
        <v>472.86826406444396</v>
      </c>
      <c r="Q745" s="14">
        <f t="shared" si="94"/>
        <v>274.04005000000001</v>
      </c>
      <c r="R745" s="14" t="str">
        <f t="shared" si="95"/>
        <v>Apr</v>
      </c>
    </row>
    <row r="746" spans="1:18" x14ac:dyDescent="0.3">
      <c r="A746" t="s">
        <v>2355</v>
      </c>
      <c r="B746" s="1">
        <v>45687</v>
      </c>
      <c r="C746" t="s">
        <v>1291</v>
      </c>
      <c r="D746" t="s">
        <v>1491</v>
      </c>
      <c r="E746" t="s">
        <v>1571</v>
      </c>
      <c r="F746">
        <v>4</v>
      </c>
      <c r="G746" s="14">
        <v>848.47</v>
      </c>
      <c r="H746" s="17">
        <v>0.21</v>
      </c>
      <c r="I746" t="s">
        <v>1614</v>
      </c>
      <c r="J746" s="14">
        <v>2681.1651999999999</v>
      </c>
      <c r="K746" s="14">
        <f t="shared" si="88"/>
        <v>424024.83393188473</v>
      </c>
      <c r="L746" s="14">
        <f t="shared" si="89"/>
        <v>425</v>
      </c>
      <c r="M746" s="14" t="str">
        <f t="shared" si="90"/>
        <v>30-01-2025</v>
      </c>
      <c r="N746" s="14">
        <f t="shared" si="91"/>
        <v>0.15629440631233801</v>
      </c>
      <c r="O746" s="20">
        <f t="shared" si="92"/>
        <v>2.4907614965271758</v>
      </c>
      <c r="P746" s="14">
        <f t="shared" si="93"/>
        <v>472.97469011234222</v>
      </c>
      <c r="Q746" s="14">
        <f t="shared" si="94"/>
        <v>883.46129999999994</v>
      </c>
      <c r="R746" s="14" t="str">
        <f t="shared" si="95"/>
        <v>Jan</v>
      </c>
    </row>
    <row r="747" spans="1:18" x14ac:dyDescent="0.3">
      <c r="A747" t="s">
        <v>2356</v>
      </c>
      <c r="B747" s="1">
        <v>45747</v>
      </c>
      <c r="C747" t="s">
        <v>631</v>
      </c>
      <c r="D747" t="s">
        <v>1467</v>
      </c>
      <c r="E747" t="s">
        <v>1567</v>
      </c>
      <c r="F747">
        <v>1</v>
      </c>
      <c r="G747" s="14">
        <v>664.87</v>
      </c>
      <c r="H747" s="17">
        <v>0.08</v>
      </c>
      <c r="I747" t="s">
        <v>1611</v>
      </c>
      <c r="J747" s="14">
        <v>611.68040000000008</v>
      </c>
      <c r="K747" s="14">
        <f t="shared" si="88"/>
        <v>424024.83393188473</v>
      </c>
      <c r="L747" s="14">
        <f t="shared" si="89"/>
        <v>425</v>
      </c>
      <c r="M747" s="14" t="str">
        <f t="shared" si="90"/>
        <v>31-03-2025</v>
      </c>
      <c r="N747" s="14">
        <f t="shared" si="91"/>
        <v>0.15625154470524491</v>
      </c>
      <c r="O747" s="20">
        <f t="shared" si="92"/>
        <v>2.4895569965244047</v>
      </c>
      <c r="P747" s="14">
        <f t="shared" si="93"/>
        <v>472.67501308928752</v>
      </c>
      <c r="Q747" s="14">
        <f t="shared" si="94"/>
        <v>319.4076</v>
      </c>
      <c r="R747" s="14" t="str">
        <f t="shared" si="95"/>
        <v>Mar</v>
      </c>
    </row>
    <row r="748" spans="1:18" x14ac:dyDescent="0.3">
      <c r="A748" t="s">
        <v>2357</v>
      </c>
      <c r="B748" s="1">
        <v>45687</v>
      </c>
      <c r="C748" t="s">
        <v>353</v>
      </c>
      <c r="D748" t="s">
        <v>1381</v>
      </c>
      <c r="E748" t="s">
        <v>1564</v>
      </c>
      <c r="F748">
        <v>1</v>
      </c>
      <c r="G748" s="14">
        <v>412.11</v>
      </c>
      <c r="H748" s="17">
        <v>0.23</v>
      </c>
      <c r="I748" t="s">
        <v>1611</v>
      </c>
      <c r="J748" s="14">
        <v>317.32470000000001</v>
      </c>
      <c r="K748" s="14">
        <f t="shared" si="88"/>
        <v>424024.83393188473</v>
      </c>
      <c r="L748" s="14">
        <f t="shared" si="89"/>
        <v>425</v>
      </c>
      <c r="M748" s="14" t="str">
        <f t="shared" si="90"/>
        <v>30-01-2025</v>
      </c>
      <c r="N748" s="14">
        <f t="shared" si="91"/>
        <v>0.15631244849494558</v>
      </c>
      <c r="O748" s="20">
        <f t="shared" si="92"/>
        <v>2.490746738534408</v>
      </c>
      <c r="P748" s="14">
        <f t="shared" si="93"/>
        <v>472.52150271635566</v>
      </c>
      <c r="Q748" s="14">
        <f t="shared" si="94"/>
        <v>182.66617500000001</v>
      </c>
      <c r="R748" s="14" t="str">
        <f t="shared" si="95"/>
        <v>Jan</v>
      </c>
    </row>
    <row r="749" spans="1:18" x14ac:dyDescent="0.3">
      <c r="A749" t="s">
        <v>2358</v>
      </c>
      <c r="B749" s="1">
        <v>45916</v>
      </c>
      <c r="C749" t="s">
        <v>422</v>
      </c>
      <c r="D749" t="s">
        <v>1521</v>
      </c>
      <c r="E749" t="s">
        <v>1542</v>
      </c>
      <c r="F749">
        <v>1</v>
      </c>
      <c r="G749" s="14">
        <v>126.09</v>
      </c>
      <c r="H749" s="17">
        <v>0.05</v>
      </c>
      <c r="I749" t="s">
        <v>1614</v>
      </c>
      <c r="J749" s="14">
        <v>119.7855</v>
      </c>
      <c r="K749" s="14">
        <f t="shared" si="88"/>
        <v>424024.83393188473</v>
      </c>
      <c r="L749" s="14">
        <f t="shared" si="89"/>
        <v>425</v>
      </c>
      <c r="M749" s="14" t="str">
        <f t="shared" si="90"/>
        <v>16-09-2025</v>
      </c>
      <c r="N749" s="14">
        <f t="shared" si="91"/>
        <v>0.15625354557607662</v>
      </c>
      <c r="O749" s="20">
        <f t="shared" si="92"/>
        <v>2.4919383826099746</v>
      </c>
      <c r="P749" s="14">
        <f t="shared" si="93"/>
        <v>472.56979328607292</v>
      </c>
      <c r="Q749" s="14">
        <f t="shared" si="94"/>
        <v>61.731375</v>
      </c>
      <c r="R749" s="14" t="str">
        <f t="shared" si="95"/>
        <v>Sep</v>
      </c>
    </row>
    <row r="750" spans="1:18" x14ac:dyDescent="0.3">
      <c r="A750" t="s">
        <v>2359</v>
      </c>
      <c r="B750" s="1">
        <v>45917</v>
      </c>
      <c r="C750" t="s">
        <v>648</v>
      </c>
      <c r="D750" t="s">
        <v>1467</v>
      </c>
      <c r="E750" t="s">
        <v>1574</v>
      </c>
      <c r="F750">
        <v>4</v>
      </c>
      <c r="G750" s="14">
        <v>602.39</v>
      </c>
      <c r="H750" s="17">
        <v>0.19</v>
      </c>
      <c r="I750" t="s">
        <v>1614</v>
      </c>
      <c r="J750" s="14">
        <v>1951.7436</v>
      </c>
      <c r="K750" s="14">
        <f t="shared" si="88"/>
        <v>424024.83393188473</v>
      </c>
      <c r="L750" s="14">
        <f t="shared" si="89"/>
        <v>425</v>
      </c>
      <c r="M750" s="14" t="str">
        <f t="shared" si="90"/>
        <v>17-09-2025</v>
      </c>
      <c r="N750" s="14">
        <f t="shared" si="91"/>
        <v>0.1563385484125375</v>
      </c>
      <c r="O750" s="20">
        <f t="shared" si="92"/>
        <v>2.4931319333160626</v>
      </c>
      <c r="P750" s="14">
        <f t="shared" si="93"/>
        <v>472.84697712070181</v>
      </c>
      <c r="Q750" s="14">
        <f t="shared" si="94"/>
        <v>639.58090000000004</v>
      </c>
      <c r="R750" s="14" t="str">
        <f t="shared" si="95"/>
        <v>Sep</v>
      </c>
    </row>
    <row r="751" spans="1:18" x14ac:dyDescent="0.3">
      <c r="A751" t="s">
        <v>2360</v>
      </c>
      <c r="B751" s="1">
        <v>45941</v>
      </c>
      <c r="C751" t="s">
        <v>1023</v>
      </c>
      <c r="D751" t="s">
        <v>1497</v>
      </c>
      <c r="E751" t="s">
        <v>1551</v>
      </c>
      <c r="F751">
        <v>3</v>
      </c>
      <c r="G751" s="14">
        <v>447.69</v>
      </c>
      <c r="H751" s="17">
        <v>0.02</v>
      </c>
      <c r="I751" t="s">
        <v>1614</v>
      </c>
      <c r="J751" s="14">
        <v>1316.2085999999999</v>
      </c>
      <c r="K751" s="14">
        <f t="shared" si="88"/>
        <v>424024.83393188473</v>
      </c>
      <c r="L751" s="14">
        <f t="shared" si="89"/>
        <v>425</v>
      </c>
      <c r="M751" s="14" t="str">
        <f t="shared" si="90"/>
        <v>11-10-2025</v>
      </c>
      <c r="N751" s="14">
        <f t="shared" si="91"/>
        <v>0.15631159769069003</v>
      </c>
      <c r="O751" s="20">
        <f t="shared" si="92"/>
        <v>2.4919254736950189</v>
      </c>
      <c r="P751" s="14">
        <f t="shared" si="93"/>
        <v>472.74325972848453</v>
      </c>
      <c r="Q751" s="14">
        <f t="shared" si="94"/>
        <v>441.72964999999999</v>
      </c>
      <c r="R751" s="14" t="str">
        <f t="shared" si="95"/>
        <v>Oct</v>
      </c>
    </row>
    <row r="752" spans="1:18" x14ac:dyDescent="0.3">
      <c r="A752" t="s">
        <v>2361</v>
      </c>
      <c r="B752" s="1">
        <v>45778</v>
      </c>
      <c r="C752" t="s">
        <v>794</v>
      </c>
      <c r="D752" t="s">
        <v>1401</v>
      </c>
      <c r="E752" t="s">
        <v>1551</v>
      </c>
      <c r="F752">
        <v>3</v>
      </c>
      <c r="G752" s="14">
        <v>35.159999999999997</v>
      </c>
      <c r="H752" s="17">
        <v>0.04</v>
      </c>
      <c r="I752" t="s">
        <v>1614</v>
      </c>
      <c r="J752" s="14">
        <v>101.2608</v>
      </c>
      <c r="K752" s="14">
        <f t="shared" si="88"/>
        <v>424024.83393188473</v>
      </c>
      <c r="L752" s="14">
        <f t="shared" si="89"/>
        <v>425</v>
      </c>
      <c r="M752" s="14" t="str">
        <f t="shared" si="90"/>
        <v>01-05-2025</v>
      </c>
      <c r="N752" s="14">
        <f t="shared" si="91"/>
        <v>0.15642082172730115</v>
      </c>
      <c r="O752" s="20">
        <f t="shared" si="92"/>
        <v>2.4915183626963771</v>
      </c>
      <c r="P752" s="14">
        <f t="shared" si="93"/>
        <v>472.76333445583117</v>
      </c>
      <c r="Q752" s="14">
        <f t="shared" si="94"/>
        <v>34.865200000000002</v>
      </c>
      <c r="R752" s="14" t="str">
        <f t="shared" si="95"/>
        <v>May</v>
      </c>
    </row>
    <row r="753" spans="1:18" x14ac:dyDescent="0.3">
      <c r="A753" t="s">
        <v>2362</v>
      </c>
      <c r="B753" s="1">
        <v>45740</v>
      </c>
      <c r="C753" t="s">
        <v>1038</v>
      </c>
      <c r="D753" t="s">
        <v>1477</v>
      </c>
      <c r="E753" t="s">
        <v>1577</v>
      </c>
      <c r="F753">
        <v>2</v>
      </c>
      <c r="G753" s="14">
        <v>838.59</v>
      </c>
      <c r="H753" s="17">
        <v>0.18</v>
      </c>
      <c r="I753" t="s">
        <v>1614</v>
      </c>
      <c r="J753" s="14">
        <v>1375.2876000000001</v>
      </c>
      <c r="K753" s="14">
        <f t="shared" si="88"/>
        <v>424024.83393188473</v>
      </c>
      <c r="L753" s="14">
        <f t="shared" si="89"/>
        <v>425</v>
      </c>
      <c r="M753" s="14" t="str">
        <f t="shared" si="90"/>
        <v>24-03-2025</v>
      </c>
      <c r="N753" s="14">
        <f t="shared" si="91"/>
        <v>0.15651418245041848</v>
      </c>
      <c r="O753" s="20">
        <f t="shared" si="92"/>
        <v>2.4911105987530702</v>
      </c>
      <c r="P753" s="14">
        <f t="shared" si="93"/>
        <v>473.1142593431253</v>
      </c>
      <c r="Q753" s="14">
        <f t="shared" si="94"/>
        <v>554.01440000000002</v>
      </c>
      <c r="R753" s="14" t="str">
        <f t="shared" si="95"/>
        <v>Mar</v>
      </c>
    </row>
    <row r="754" spans="1:18" x14ac:dyDescent="0.3">
      <c r="A754" t="s">
        <v>2363</v>
      </c>
      <c r="B754" s="1">
        <v>45598</v>
      </c>
      <c r="C754" t="s">
        <v>321</v>
      </c>
      <c r="D754" t="s">
        <v>1451</v>
      </c>
      <c r="E754" t="s">
        <v>1561</v>
      </c>
      <c r="F754">
        <v>4</v>
      </c>
      <c r="G754" s="14">
        <v>867.94</v>
      </c>
      <c r="H754" s="17">
        <v>0.26</v>
      </c>
      <c r="I754" t="s">
        <v>1611</v>
      </c>
      <c r="J754" s="14">
        <v>2569.1024000000002</v>
      </c>
      <c r="K754" s="14">
        <f t="shared" si="88"/>
        <v>424024.83393188473</v>
      </c>
      <c r="L754" s="14">
        <f t="shared" si="89"/>
        <v>425</v>
      </c>
      <c r="M754" s="14" t="str">
        <f t="shared" si="90"/>
        <v>02-11-2024</v>
      </c>
      <c r="N754" s="14">
        <f t="shared" si="91"/>
        <v>0.15649533347967243</v>
      </c>
      <c r="O754" s="20">
        <f t="shared" si="92"/>
        <v>2.4915047485112987</v>
      </c>
      <c r="P754" s="14">
        <f t="shared" si="93"/>
        <v>472.820940129115</v>
      </c>
      <c r="Q754" s="14">
        <f t="shared" si="94"/>
        <v>860.32560000000012</v>
      </c>
      <c r="R754" s="14" t="str">
        <f t="shared" si="95"/>
        <v>Nov</v>
      </c>
    </row>
    <row r="755" spans="1:18" x14ac:dyDescent="0.3">
      <c r="A755" t="s">
        <v>2364</v>
      </c>
      <c r="B755" s="1">
        <v>45591</v>
      </c>
      <c r="C755" t="s">
        <v>643</v>
      </c>
      <c r="D755" t="s">
        <v>1411</v>
      </c>
      <c r="E755" t="s">
        <v>1592</v>
      </c>
      <c r="F755">
        <v>1</v>
      </c>
      <c r="G755" s="14">
        <v>623.88</v>
      </c>
      <c r="H755" s="17">
        <v>0.25</v>
      </c>
      <c r="I755" t="s">
        <v>1609</v>
      </c>
      <c r="J755" s="14">
        <v>467.91</v>
      </c>
      <c r="K755" s="14">
        <f t="shared" si="88"/>
        <v>424024.83393188473</v>
      </c>
      <c r="L755" s="14">
        <f t="shared" si="89"/>
        <v>425</v>
      </c>
      <c r="M755" s="14" t="str">
        <f t="shared" si="90"/>
        <v>26-10-2024</v>
      </c>
      <c r="N755" s="14">
        <f t="shared" si="91"/>
        <v>0.15641219720134286</v>
      </c>
      <c r="O755" s="20">
        <f t="shared" si="92"/>
        <v>2.4902931057390187</v>
      </c>
      <c r="P755" s="14">
        <f t="shared" si="93"/>
        <v>472.50357542239141</v>
      </c>
      <c r="Q755" s="14">
        <f t="shared" si="94"/>
        <v>273.26</v>
      </c>
      <c r="R755" s="14" t="str">
        <f t="shared" si="95"/>
        <v>Oct</v>
      </c>
    </row>
    <row r="756" spans="1:18" x14ac:dyDescent="0.3">
      <c r="A756" t="s">
        <v>2365</v>
      </c>
      <c r="B756" s="1">
        <v>45546</v>
      </c>
      <c r="C756" t="s">
        <v>585</v>
      </c>
      <c r="D756" t="s">
        <v>1417</v>
      </c>
      <c r="E756" t="s">
        <v>1584</v>
      </c>
      <c r="F756">
        <v>2</v>
      </c>
      <c r="G756" s="14">
        <v>567.95000000000005</v>
      </c>
      <c r="H756" s="17">
        <v>0.12</v>
      </c>
      <c r="I756" t="s">
        <v>1611</v>
      </c>
      <c r="J756" s="14">
        <v>999.5920000000001</v>
      </c>
      <c r="K756" s="14">
        <f t="shared" si="88"/>
        <v>423556.9239318847</v>
      </c>
      <c r="L756" s="14">
        <f t="shared" si="89"/>
        <v>424</v>
      </c>
      <c r="M756" s="14" t="str">
        <f t="shared" si="90"/>
        <v>11-09-2024</v>
      </c>
      <c r="N756" s="14">
        <f t="shared" si="91"/>
        <v>0.15633696584861081</v>
      </c>
      <c r="O756" s="20">
        <f t="shared" si="92"/>
        <v>2.4914910905507059</v>
      </c>
      <c r="P756" s="14">
        <f t="shared" si="93"/>
        <v>472.38189019363131</v>
      </c>
      <c r="Q756" s="14">
        <f t="shared" si="94"/>
        <v>392.41550000000007</v>
      </c>
      <c r="R756" s="14" t="str">
        <f t="shared" si="95"/>
        <v>Sep</v>
      </c>
    </row>
    <row r="757" spans="1:18" x14ac:dyDescent="0.3">
      <c r="A757" t="s">
        <v>2366</v>
      </c>
      <c r="B757" s="1">
        <v>45483</v>
      </c>
      <c r="C757" t="s">
        <v>1017</v>
      </c>
      <c r="D757" t="s">
        <v>1395</v>
      </c>
      <c r="E757" t="s">
        <v>1595</v>
      </c>
      <c r="F757">
        <v>2</v>
      </c>
      <c r="G757" s="14">
        <v>671.69</v>
      </c>
      <c r="H757" s="17">
        <v>0.19</v>
      </c>
      <c r="I757" t="s">
        <v>1609</v>
      </c>
      <c r="J757" s="14">
        <v>1088.1378</v>
      </c>
      <c r="K757" s="14">
        <f t="shared" si="88"/>
        <v>423556.9239318847</v>
      </c>
      <c r="L757" s="14">
        <f t="shared" si="89"/>
        <v>424</v>
      </c>
      <c r="M757" s="14" t="str">
        <f t="shared" si="90"/>
        <v>10-07-2024</v>
      </c>
      <c r="N757" s="14">
        <f t="shared" si="91"/>
        <v>0.15636619912765232</v>
      </c>
      <c r="O757" s="20">
        <f t="shared" si="92"/>
        <v>2.4918864977032005</v>
      </c>
      <c r="P757" s="14">
        <f t="shared" si="93"/>
        <v>472.30500514953923</v>
      </c>
      <c r="Q757" s="14">
        <f t="shared" si="94"/>
        <v>440.50445000000002</v>
      </c>
      <c r="R757" s="14" t="str">
        <f t="shared" si="95"/>
        <v>Jul</v>
      </c>
    </row>
    <row r="758" spans="1:18" x14ac:dyDescent="0.3">
      <c r="A758" t="s">
        <v>2367</v>
      </c>
      <c r="B758" s="1">
        <v>45786</v>
      </c>
      <c r="C758" t="s">
        <v>672</v>
      </c>
      <c r="D758" t="s">
        <v>1342</v>
      </c>
      <c r="E758" t="s">
        <v>1564</v>
      </c>
      <c r="F758">
        <v>2</v>
      </c>
      <c r="G758" s="14">
        <v>257.95999999999998</v>
      </c>
      <c r="H758" s="17">
        <v>0.21</v>
      </c>
      <c r="I758" t="s">
        <v>1611</v>
      </c>
      <c r="J758" s="14">
        <v>407.57679999999999</v>
      </c>
      <c r="K758" s="14">
        <f t="shared" si="88"/>
        <v>422468.78613188473</v>
      </c>
      <c r="L758" s="14">
        <f t="shared" si="89"/>
        <v>423</v>
      </c>
      <c r="M758" s="14" t="str">
        <f t="shared" si="90"/>
        <v>09-05-2025</v>
      </c>
      <c r="N758" s="14">
        <f t="shared" si="91"/>
        <v>0.15633911877268264</v>
      </c>
      <c r="O758" s="20">
        <f t="shared" si="92"/>
        <v>2.4922825415821883</v>
      </c>
      <c r="P758" s="14">
        <f t="shared" si="93"/>
        <v>472.14446972695436</v>
      </c>
      <c r="Q758" s="14">
        <f t="shared" si="94"/>
        <v>166.93669999999997</v>
      </c>
      <c r="R758" s="14" t="str">
        <f t="shared" si="95"/>
        <v>May</v>
      </c>
    </row>
    <row r="759" spans="1:18" x14ac:dyDescent="0.3">
      <c r="A759" t="s">
        <v>2368</v>
      </c>
      <c r="B759" s="1">
        <v>45475</v>
      </c>
      <c r="C759" t="s">
        <v>666</v>
      </c>
      <c r="D759" t="s">
        <v>1529</v>
      </c>
      <c r="E759" t="s">
        <v>1598</v>
      </c>
      <c r="F759">
        <v>4</v>
      </c>
      <c r="G759" s="14">
        <v>281.48</v>
      </c>
      <c r="H759" s="17">
        <v>0.27</v>
      </c>
      <c r="I759" t="s">
        <v>1611</v>
      </c>
      <c r="J759" s="14">
        <v>821.92160000000001</v>
      </c>
      <c r="K759" s="14">
        <f t="shared" si="88"/>
        <v>422468.78613188473</v>
      </c>
      <c r="L759" s="14">
        <f t="shared" si="89"/>
        <v>423</v>
      </c>
      <c r="M759" s="14" t="str">
        <f t="shared" si="90"/>
        <v>02-07-2024</v>
      </c>
      <c r="N759" s="14">
        <f t="shared" si="91"/>
        <v>0.1562958787394616</v>
      </c>
      <c r="O759" s="20">
        <f t="shared" si="92"/>
        <v>2.492679223726896</v>
      </c>
      <c r="P759" s="14">
        <f t="shared" si="93"/>
        <v>472.31705995235876</v>
      </c>
      <c r="Q759" s="14">
        <f t="shared" si="94"/>
        <v>276.91790000000003</v>
      </c>
      <c r="R759" s="14" t="str">
        <f t="shared" si="95"/>
        <v>Jul</v>
      </c>
    </row>
    <row r="760" spans="1:18" x14ac:dyDescent="0.3">
      <c r="A760" t="s">
        <v>2369</v>
      </c>
      <c r="B760" s="1">
        <v>45470</v>
      </c>
      <c r="C760" t="s">
        <v>996</v>
      </c>
      <c r="D760" t="s">
        <v>1373</v>
      </c>
      <c r="E760" t="s">
        <v>1577</v>
      </c>
      <c r="F760">
        <v>1</v>
      </c>
      <c r="G760" s="14">
        <v>202.13</v>
      </c>
      <c r="H760" s="17">
        <v>0.13</v>
      </c>
      <c r="I760" t="s">
        <v>1614</v>
      </c>
      <c r="J760" s="14">
        <v>175.85310000000001</v>
      </c>
      <c r="K760" s="14">
        <f t="shared" si="88"/>
        <v>422468.78613188473</v>
      </c>
      <c r="L760" s="14">
        <f t="shared" si="89"/>
        <v>423</v>
      </c>
      <c r="M760" s="14" t="str">
        <f t="shared" si="90"/>
        <v>27-06-2024</v>
      </c>
      <c r="N760" s="14">
        <f t="shared" si="91"/>
        <v>0.15620418186747728</v>
      </c>
      <c r="O760" s="20">
        <f t="shared" si="92"/>
        <v>2.4914636424557082</v>
      </c>
      <c r="P760" s="14">
        <f t="shared" si="93"/>
        <v>472.47096080715909</v>
      </c>
      <c r="Q760" s="14">
        <f t="shared" si="94"/>
        <v>94.778275000000008</v>
      </c>
      <c r="R760" s="14" t="str">
        <f t="shared" si="95"/>
        <v>Jun</v>
      </c>
    </row>
    <row r="761" spans="1:18" x14ac:dyDescent="0.3">
      <c r="A761" t="s">
        <v>2370</v>
      </c>
      <c r="B761" s="1">
        <v>45243</v>
      </c>
      <c r="C761" t="s">
        <v>863</v>
      </c>
      <c r="D761" t="s">
        <v>1481</v>
      </c>
      <c r="E761" t="s">
        <v>1558</v>
      </c>
      <c r="F761">
        <v>1</v>
      </c>
      <c r="G761" s="14">
        <v>370.66</v>
      </c>
      <c r="H761" s="17">
        <v>0.01</v>
      </c>
      <c r="I761" t="s">
        <v>1611</v>
      </c>
      <c r="J761" s="14">
        <v>366.95339999999999</v>
      </c>
      <c r="K761" s="14">
        <f t="shared" si="88"/>
        <v>422468.78613188473</v>
      </c>
      <c r="L761" s="14">
        <f t="shared" si="89"/>
        <v>423</v>
      </c>
      <c r="M761" s="14" t="str">
        <f t="shared" si="90"/>
        <v>13-11-2023</v>
      </c>
      <c r="N761" s="14">
        <f t="shared" si="91"/>
        <v>0.15622533132822583</v>
      </c>
      <c r="O761" s="20">
        <f t="shared" si="92"/>
        <v>2.4926674064932031</v>
      </c>
      <c r="P761" s="14">
        <f t="shared" si="93"/>
        <v>472.68915367302441</v>
      </c>
      <c r="Q761" s="14">
        <f t="shared" si="94"/>
        <v>184.65584999999999</v>
      </c>
      <c r="R761" s="14" t="str">
        <f t="shared" si="95"/>
        <v>Nov</v>
      </c>
    </row>
    <row r="762" spans="1:18" x14ac:dyDescent="0.3">
      <c r="A762" t="s">
        <v>2371</v>
      </c>
      <c r="B762" s="1">
        <v>45341</v>
      </c>
      <c r="C762" t="s">
        <v>32</v>
      </c>
      <c r="D762" t="s">
        <v>1455</v>
      </c>
      <c r="E762" t="s">
        <v>1579</v>
      </c>
      <c r="F762">
        <v>4</v>
      </c>
      <c r="G762" s="14">
        <v>731.53</v>
      </c>
      <c r="H762" s="17">
        <v>0.12</v>
      </c>
      <c r="I762" t="s">
        <v>1609</v>
      </c>
      <c r="J762" s="14">
        <v>2574.9856</v>
      </c>
      <c r="K762" s="14">
        <f t="shared" si="88"/>
        <v>422468.78613188473</v>
      </c>
      <c r="L762" s="14">
        <f t="shared" si="89"/>
        <v>423</v>
      </c>
      <c r="M762" s="14" t="str">
        <f t="shared" si="90"/>
        <v>19-02-2024</v>
      </c>
      <c r="N762" s="14">
        <f t="shared" si="91"/>
        <v>0.15634344548923412</v>
      </c>
      <c r="O762" s="20">
        <f t="shared" si="92"/>
        <v>2.4938731152221956</v>
      </c>
      <c r="P762" s="14">
        <f t="shared" si="93"/>
        <v>472.77156817518363</v>
      </c>
      <c r="Q762" s="14">
        <f t="shared" si="94"/>
        <v>827.65890000000002</v>
      </c>
      <c r="R762" s="14" t="str">
        <f t="shared" si="95"/>
        <v>Feb</v>
      </c>
    </row>
    <row r="763" spans="1:18" x14ac:dyDescent="0.3">
      <c r="A763" t="s">
        <v>2372</v>
      </c>
      <c r="B763" s="1">
        <v>45371</v>
      </c>
      <c r="C763" t="s">
        <v>550</v>
      </c>
      <c r="D763" t="s">
        <v>1489</v>
      </c>
      <c r="E763" t="s">
        <v>1542</v>
      </c>
      <c r="F763">
        <v>3</v>
      </c>
      <c r="G763" s="14">
        <v>468.25</v>
      </c>
      <c r="H763" s="17">
        <v>7.0000000000000007E-2</v>
      </c>
      <c r="I763" t="s">
        <v>1611</v>
      </c>
      <c r="J763" s="14">
        <v>1306.4175</v>
      </c>
      <c r="K763" s="14">
        <f t="shared" si="88"/>
        <v>419893.80053188471</v>
      </c>
      <c r="L763" s="14">
        <f t="shared" si="89"/>
        <v>422</v>
      </c>
      <c r="M763" s="14" t="str">
        <f t="shared" si="90"/>
        <v>20-03-2024</v>
      </c>
      <c r="N763" s="14">
        <f t="shared" si="91"/>
        <v>0.15637282580086648</v>
      </c>
      <c r="O763" s="20">
        <f t="shared" si="92"/>
        <v>2.4926555510469508</v>
      </c>
      <c r="P763" s="14">
        <f t="shared" si="93"/>
        <v>472.56238593441981</v>
      </c>
      <c r="Q763" s="14">
        <f t="shared" si="94"/>
        <v>444.43437499999999</v>
      </c>
      <c r="R763" s="14" t="str">
        <f t="shared" si="95"/>
        <v>Mar</v>
      </c>
    </row>
    <row r="764" spans="1:18" x14ac:dyDescent="0.3">
      <c r="A764" t="s">
        <v>2373</v>
      </c>
      <c r="B764" s="1">
        <v>45360</v>
      </c>
      <c r="C764" t="s">
        <v>14</v>
      </c>
      <c r="D764" t="s">
        <v>1467</v>
      </c>
      <c r="E764" t="s">
        <v>1537</v>
      </c>
      <c r="F764">
        <v>1</v>
      </c>
      <c r="G764" s="14">
        <v>928.72</v>
      </c>
      <c r="H764" s="17">
        <v>0.1</v>
      </c>
      <c r="I764" t="s">
        <v>1614</v>
      </c>
      <c r="J764" s="14">
        <v>835.84800000000007</v>
      </c>
      <c r="K764" s="14">
        <f t="shared" si="88"/>
        <v>419893.80053188471</v>
      </c>
      <c r="L764" s="14">
        <f t="shared" si="89"/>
        <v>422</v>
      </c>
      <c r="M764" s="14" t="str">
        <f t="shared" si="90"/>
        <v>09-03-2024</v>
      </c>
      <c r="N764" s="14">
        <f t="shared" si="91"/>
        <v>0.15644270672788982</v>
      </c>
      <c r="O764" s="20">
        <f t="shared" si="92"/>
        <v>2.4922450781918108</v>
      </c>
      <c r="P764" s="14">
        <f t="shared" si="93"/>
        <v>472.56587491980366</v>
      </c>
      <c r="Q764" s="14">
        <f t="shared" si="94"/>
        <v>441.41700000000003</v>
      </c>
      <c r="R764" s="14" t="str">
        <f t="shared" si="95"/>
        <v>Mar</v>
      </c>
    </row>
    <row r="765" spans="1:18" x14ac:dyDescent="0.3">
      <c r="A765" t="s">
        <v>2374</v>
      </c>
      <c r="B765" s="1">
        <v>45499</v>
      </c>
      <c r="C765" t="s">
        <v>360</v>
      </c>
      <c r="D765" t="s">
        <v>1338</v>
      </c>
      <c r="E765" t="s">
        <v>1595</v>
      </c>
      <c r="F765">
        <v>3</v>
      </c>
      <c r="G765" s="14">
        <v>217.22</v>
      </c>
      <c r="H765" s="17">
        <v>0.06</v>
      </c>
      <c r="I765" t="s">
        <v>1611</v>
      </c>
      <c r="J765" s="14">
        <v>612.56039999999996</v>
      </c>
      <c r="K765" s="14">
        <f t="shared" si="88"/>
        <v>419893.80053188471</v>
      </c>
      <c r="L765" s="14">
        <f t="shared" si="89"/>
        <v>422</v>
      </c>
      <c r="M765" s="14" t="str">
        <f t="shared" si="90"/>
        <v>26-07-2024</v>
      </c>
      <c r="N765" s="14">
        <f t="shared" si="91"/>
        <v>0.15648840932443062</v>
      </c>
      <c r="O765" s="20">
        <f t="shared" si="92"/>
        <v>2.4934533738016831</v>
      </c>
      <c r="P765" s="14">
        <f t="shared" si="93"/>
        <v>472.19651935293712</v>
      </c>
      <c r="Q765" s="14">
        <f t="shared" si="94"/>
        <v>208.21009999999998</v>
      </c>
      <c r="R765" s="14" t="str">
        <f t="shared" si="95"/>
        <v>Jul</v>
      </c>
    </row>
    <row r="766" spans="1:18" x14ac:dyDescent="0.3">
      <c r="A766" t="s">
        <v>2375</v>
      </c>
      <c r="B766" s="1">
        <v>45745</v>
      </c>
      <c r="C766" t="s">
        <v>1226</v>
      </c>
      <c r="D766" t="s">
        <v>1381</v>
      </c>
      <c r="E766" t="s">
        <v>1551</v>
      </c>
      <c r="F766">
        <v>1</v>
      </c>
      <c r="G766" s="14">
        <v>387.99</v>
      </c>
      <c r="H766" s="17">
        <v>0.3</v>
      </c>
      <c r="I766" t="s">
        <v>1609</v>
      </c>
      <c r="J766" s="14">
        <v>271.59300000000002</v>
      </c>
      <c r="K766" s="14">
        <f t="shared" si="88"/>
        <v>419893.80053188471</v>
      </c>
      <c r="L766" s="14">
        <f t="shared" si="89"/>
        <v>422</v>
      </c>
      <c r="M766" s="14" t="str">
        <f t="shared" si="90"/>
        <v>29-03-2025</v>
      </c>
      <c r="N766" s="14">
        <f t="shared" si="91"/>
        <v>0.15656660090411006</v>
      </c>
      <c r="O766" s="20">
        <f t="shared" si="92"/>
        <v>2.4930428822083295</v>
      </c>
      <c r="P766" s="14">
        <f t="shared" si="93"/>
        <v>472.40314538158617</v>
      </c>
      <c r="Q766" s="14">
        <f t="shared" si="94"/>
        <v>165.22075000000001</v>
      </c>
      <c r="R766" s="14" t="str">
        <f t="shared" si="95"/>
        <v>Mar</v>
      </c>
    </row>
    <row r="767" spans="1:18" x14ac:dyDescent="0.3">
      <c r="A767" t="s">
        <v>2376</v>
      </c>
      <c r="B767" s="1">
        <v>45718</v>
      </c>
      <c r="C767" t="s">
        <v>1297</v>
      </c>
      <c r="D767" t="s">
        <v>1369</v>
      </c>
      <c r="E767" t="s">
        <v>1561</v>
      </c>
      <c r="F767">
        <v>4</v>
      </c>
      <c r="G767" s="14">
        <v>186.24</v>
      </c>
      <c r="H767" s="17">
        <v>0.23</v>
      </c>
      <c r="I767" t="s">
        <v>1609</v>
      </c>
      <c r="J767" s="14">
        <v>573.61920000000009</v>
      </c>
      <c r="K767" s="14">
        <f t="shared" si="88"/>
        <v>419622.20753188472</v>
      </c>
      <c r="L767" s="14">
        <f t="shared" si="89"/>
        <v>421</v>
      </c>
      <c r="M767" s="14" t="str">
        <f t="shared" si="90"/>
        <v>02-03-2025</v>
      </c>
      <c r="N767" s="14">
        <f t="shared" si="91"/>
        <v>0.15645027211327803</v>
      </c>
      <c r="O767" s="20">
        <f t="shared" si="92"/>
        <v>2.4942537847891955</v>
      </c>
      <c r="P767" s="14">
        <f t="shared" si="93"/>
        <v>472.47160697556961</v>
      </c>
      <c r="Q767" s="14">
        <f t="shared" si="94"/>
        <v>191.02230000000003</v>
      </c>
      <c r="R767" s="14" t="str">
        <f t="shared" si="95"/>
        <v>Mar</v>
      </c>
    </row>
    <row r="768" spans="1:18" x14ac:dyDescent="0.3">
      <c r="A768" t="s">
        <v>2377</v>
      </c>
      <c r="B768" s="1">
        <v>45454</v>
      </c>
      <c r="C768" t="s">
        <v>937</v>
      </c>
      <c r="D768" t="s">
        <v>1413</v>
      </c>
      <c r="E768" t="s">
        <v>1567</v>
      </c>
      <c r="F768">
        <v>4</v>
      </c>
      <c r="G768" s="14">
        <v>609.05999999999995</v>
      </c>
      <c r="H768" s="17">
        <v>0.22</v>
      </c>
      <c r="I768" t="s">
        <v>1614</v>
      </c>
      <c r="J768" s="14">
        <v>1900.2672</v>
      </c>
      <c r="K768" s="14">
        <f t="shared" si="88"/>
        <v>419048.5883318847</v>
      </c>
      <c r="L768" s="14">
        <f t="shared" si="89"/>
        <v>420</v>
      </c>
      <c r="M768" s="14" t="str">
        <f t="shared" si="90"/>
        <v>11-06-2024</v>
      </c>
      <c r="N768" s="14">
        <f t="shared" si="91"/>
        <v>0.15639057265882453</v>
      </c>
      <c r="O768" s="20">
        <f t="shared" si="92"/>
        <v>2.4930315881859402</v>
      </c>
      <c r="P768" s="14">
        <f t="shared" si="93"/>
        <v>472.70393782538747</v>
      </c>
      <c r="Q768" s="14">
        <f t="shared" si="94"/>
        <v>628.38679999999999</v>
      </c>
      <c r="R768" s="14" t="str">
        <f t="shared" si="95"/>
        <v>Jun</v>
      </c>
    </row>
    <row r="769" spans="1:18" x14ac:dyDescent="0.3">
      <c r="A769" t="s">
        <v>2378</v>
      </c>
      <c r="B769" s="1">
        <v>45434</v>
      </c>
      <c r="C769" t="s">
        <v>1258</v>
      </c>
      <c r="D769" t="s">
        <v>1399</v>
      </c>
      <c r="E769" t="s">
        <v>1577</v>
      </c>
      <c r="F769">
        <v>1</v>
      </c>
      <c r="G769" s="14">
        <v>827.91</v>
      </c>
      <c r="H769" s="17">
        <v>0.21</v>
      </c>
      <c r="I769" t="s">
        <v>1611</v>
      </c>
      <c r="J769" s="14">
        <v>654.0489</v>
      </c>
      <c r="K769" s="14">
        <f t="shared" si="88"/>
        <v>419048.5883318847</v>
      </c>
      <c r="L769" s="14">
        <f t="shared" si="89"/>
        <v>420</v>
      </c>
      <c r="M769" s="14" t="str">
        <f t="shared" si="90"/>
        <v>22-05-2024</v>
      </c>
      <c r="N769" s="14">
        <f t="shared" si="91"/>
        <v>0.15633889968779188</v>
      </c>
      <c r="O769" s="20">
        <f t="shared" si="92"/>
        <v>2.4918074058855226</v>
      </c>
      <c r="P769" s="14">
        <f t="shared" si="93"/>
        <v>472.59316929397022</v>
      </c>
      <c r="Q769" s="14">
        <f t="shared" si="94"/>
        <v>370.79222500000003</v>
      </c>
      <c r="R769" s="14" t="str">
        <f t="shared" si="95"/>
        <v>May</v>
      </c>
    </row>
    <row r="770" spans="1:18" x14ac:dyDescent="0.3">
      <c r="A770" t="s">
        <v>2379</v>
      </c>
      <c r="B770" s="1">
        <v>45486</v>
      </c>
      <c r="C770" t="s">
        <v>582</v>
      </c>
      <c r="D770" t="s">
        <v>1499</v>
      </c>
      <c r="E770" t="s">
        <v>1537</v>
      </c>
      <c r="F770">
        <v>1</v>
      </c>
      <c r="G770" s="14">
        <v>303.79000000000002</v>
      </c>
      <c r="H770" s="17">
        <v>0.24</v>
      </c>
      <c r="I770" t="s">
        <v>1611</v>
      </c>
      <c r="J770" s="14">
        <v>230.88040000000001</v>
      </c>
      <c r="K770" s="14">
        <f t="shared" ref="K770:K833" si="96">SUMIF(I770:I2769,"Credit Card",J770:J2769)</f>
        <v>419048.5883318847</v>
      </c>
      <c r="L770" s="14">
        <f t="shared" ref="L770:L833" si="97">COUNTIF(I770:I2769,"Credit Card")</f>
        <v>420</v>
      </c>
      <c r="M770" s="14" t="str">
        <f t="shared" ref="M770:M833" si="98">TEXT(B770:B2769,"dd-mm-yyyy")</f>
        <v>13-07-2024</v>
      </c>
      <c r="N770" s="14">
        <f t="shared" ref="N770:N833" si="99">AVERAGE(H770:H2769)</f>
        <v>0.15629527277696895</v>
      </c>
      <c r="O770" s="20">
        <f t="shared" ref="O770:O833" si="100">AVERAGE(F770:F2769)</f>
        <v>2.4930202574350231</v>
      </c>
      <c r="P770" s="14">
        <f t="shared" ref="P770:P833" si="101">AVERAGE(G770:G2769)</f>
        <v>472.30429382185145</v>
      </c>
      <c r="Q770" s="14">
        <f t="shared" ref="Q770:Q833" si="102">AVERAGE(F770,G770,H770,J770)</f>
        <v>133.9776</v>
      </c>
      <c r="R770" s="14" t="str">
        <f t="shared" ref="R770:R833" si="103">TEXT(M770,"mmm")</f>
        <v>Jul</v>
      </c>
    </row>
    <row r="771" spans="1:18" x14ac:dyDescent="0.3">
      <c r="A771" t="s">
        <v>2380</v>
      </c>
      <c r="B771" s="1">
        <v>45902</v>
      </c>
      <c r="C771" t="s">
        <v>369</v>
      </c>
      <c r="D771" t="s">
        <v>1407</v>
      </c>
      <c r="E771" t="s">
        <v>1561</v>
      </c>
      <c r="F771">
        <v>2</v>
      </c>
      <c r="G771" s="14">
        <v>365.91</v>
      </c>
      <c r="H771" s="17">
        <v>0.14000000000000001</v>
      </c>
      <c r="I771" t="s">
        <v>1614</v>
      </c>
      <c r="J771" s="14">
        <v>629.36520000000007</v>
      </c>
      <c r="K771" s="14">
        <f t="shared" si="96"/>
        <v>419048.5883318847</v>
      </c>
      <c r="L771" s="14">
        <f t="shared" si="97"/>
        <v>420</v>
      </c>
      <c r="M771" s="14" t="str">
        <f t="shared" si="98"/>
        <v>02-09-2025</v>
      </c>
      <c r="N771" s="14">
        <f t="shared" si="99"/>
        <v>0.15622716478085583</v>
      </c>
      <c r="O771" s="20">
        <f t="shared" si="100"/>
        <v>2.4942350827055155</v>
      </c>
      <c r="P771" s="14">
        <f t="shared" si="101"/>
        <v>472.44140878834611</v>
      </c>
      <c r="Q771" s="14">
        <f t="shared" si="102"/>
        <v>249.35380000000004</v>
      </c>
      <c r="R771" s="14" t="str">
        <f t="shared" si="103"/>
        <v>Sep</v>
      </c>
    </row>
    <row r="772" spans="1:18" x14ac:dyDescent="0.3">
      <c r="A772" t="s">
        <v>2381</v>
      </c>
      <c r="B772" s="1">
        <v>45762</v>
      </c>
      <c r="C772" t="s">
        <v>255</v>
      </c>
      <c r="D772" t="s">
        <v>1383</v>
      </c>
      <c r="E772" t="s">
        <v>1592</v>
      </c>
      <c r="F772">
        <v>3</v>
      </c>
      <c r="G772" s="14">
        <v>852.72</v>
      </c>
      <c r="H772" s="17">
        <v>0.16</v>
      </c>
      <c r="I772" t="s">
        <v>1609</v>
      </c>
      <c r="J772" s="14">
        <v>2148.8544000000002</v>
      </c>
      <c r="K772" s="14">
        <f t="shared" si="96"/>
        <v>419048.5883318847</v>
      </c>
      <c r="L772" s="14">
        <f t="shared" si="97"/>
        <v>420</v>
      </c>
      <c r="M772" s="14" t="str">
        <f t="shared" si="98"/>
        <v>15-04-2025</v>
      </c>
      <c r="N772" s="14">
        <f t="shared" si="99"/>
        <v>0.15624037908442331</v>
      </c>
      <c r="O772" s="20">
        <f t="shared" si="100"/>
        <v>2.4946375542712365</v>
      </c>
      <c r="P772" s="14">
        <f t="shared" si="101"/>
        <v>472.52816074990011</v>
      </c>
      <c r="Q772" s="14">
        <f t="shared" si="102"/>
        <v>751.18360000000007</v>
      </c>
      <c r="R772" s="14" t="str">
        <f t="shared" si="103"/>
        <v>Apr</v>
      </c>
    </row>
    <row r="773" spans="1:18" x14ac:dyDescent="0.3">
      <c r="A773" t="s">
        <v>2382</v>
      </c>
      <c r="B773" s="1">
        <v>45752</v>
      </c>
      <c r="C773" t="s">
        <v>791</v>
      </c>
      <c r="D773" t="s">
        <v>1353</v>
      </c>
      <c r="E773" t="s">
        <v>1554</v>
      </c>
      <c r="F773">
        <v>1</v>
      </c>
      <c r="G773" s="14">
        <v>768.25</v>
      </c>
      <c r="H773" s="17">
        <v>0.18</v>
      </c>
      <c r="I773" t="s">
        <v>1609</v>
      </c>
      <c r="J773" s="14">
        <v>629.96500000000003</v>
      </c>
      <c r="K773" s="14">
        <f t="shared" si="96"/>
        <v>416899.73393188469</v>
      </c>
      <c r="L773" s="14">
        <f t="shared" si="97"/>
        <v>419</v>
      </c>
      <c r="M773" s="14" t="str">
        <f t="shared" si="98"/>
        <v>05-04-2025</v>
      </c>
      <c r="N773" s="14">
        <f t="shared" si="99"/>
        <v>0.15623731500869747</v>
      </c>
      <c r="O773" s="20">
        <f t="shared" si="100"/>
        <v>2.4942256859373093</v>
      </c>
      <c r="P773" s="14">
        <f t="shared" si="101"/>
        <v>472.21830595018531</v>
      </c>
      <c r="Q773" s="14">
        <f t="shared" si="102"/>
        <v>349.84875</v>
      </c>
      <c r="R773" s="14" t="str">
        <f t="shared" si="103"/>
        <v>Apr</v>
      </c>
    </row>
    <row r="774" spans="1:18" x14ac:dyDescent="0.3">
      <c r="A774" t="s">
        <v>2383</v>
      </c>
      <c r="B774" s="1">
        <v>45254</v>
      </c>
      <c r="C774" t="s">
        <v>1098</v>
      </c>
      <c r="D774" t="s">
        <v>1517</v>
      </c>
      <c r="E774" t="s">
        <v>1598</v>
      </c>
      <c r="F774">
        <v>2</v>
      </c>
      <c r="G774" s="14">
        <v>318.62</v>
      </c>
      <c r="H774" s="17">
        <v>0.02</v>
      </c>
      <c r="I774" t="s">
        <v>1614</v>
      </c>
      <c r="J774" s="14">
        <v>624.49519999999995</v>
      </c>
      <c r="K774" s="14">
        <f t="shared" si="96"/>
        <v>416269.76893188467</v>
      </c>
      <c r="L774" s="14">
        <f t="shared" si="97"/>
        <v>418</v>
      </c>
      <c r="M774" s="14" t="str">
        <f t="shared" si="98"/>
        <v>24-11-2023</v>
      </c>
      <c r="N774" s="14">
        <f t="shared" si="99"/>
        <v>0.15621793272077636</v>
      </c>
      <c r="O774" s="20">
        <f t="shared" si="100"/>
        <v>2.4954444670840772</v>
      </c>
      <c r="P774" s="14">
        <f t="shared" si="101"/>
        <v>471.97684453578904</v>
      </c>
      <c r="Q774" s="14">
        <f t="shared" si="102"/>
        <v>236.28379999999999</v>
      </c>
      <c r="R774" s="14" t="str">
        <f t="shared" si="103"/>
        <v>Nov</v>
      </c>
    </row>
    <row r="775" spans="1:18" x14ac:dyDescent="0.3">
      <c r="A775" t="s">
        <v>2384</v>
      </c>
      <c r="B775" s="1">
        <v>45683</v>
      </c>
      <c r="C775" t="s">
        <v>188</v>
      </c>
      <c r="D775" t="s">
        <v>1485</v>
      </c>
      <c r="E775" t="s">
        <v>1546</v>
      </c>
      <c r="F775">
        <v>4</v>
      </c>
      <c r="G775" s="14">
        <v>402.11</v>
      </c>
      <c r="H775" s="17">
        <v>0.14000000000000001</v>
      </c>
      <c r="I775" t="s">
        <v>1611</v>
      </c>
      <c r="J775" s="14">
        <v>1383.2583999999999</v>
      </c>
      <c r="K775" s="14">
        <f t="shared" si="96"/>
        <v>416269.76893188467</v>
      </c>
      <c r="L775" s="14">
        <f t="shared" si="97"/>
        <v>418</v>
      </c>
      <c r="M775" s="14" t="str">
        <f t="shared" si="98"/>
        <v>26-01-2025</v>
      </c>
      <c r="N775" s="14">
        <f t="shared" si="99"/>
        <v>0.15632913103320148</v>
      </c>
      <c r="O775" s="20">
        <f t="shared" si="100"/>
        <v>2.4958489115470028</v>
      </c>
      <c r="P775" s="14">
        <f t="shared" si="101"/>
        <v>472.1020337966346</v>
      </c>
      <c r="Q775" s="14">
        <f t="shared" si="102"/>
        <v>447.37709999999998</v>
      </c>
      <c r="R775" s="14" t="str">
        <f t="shared" si="103"/>
        <v>Jan</v>
      </c>
    </row>
    <row r="776" spans="1:18" x14ac:dyDescent="0.3">
      <c r="A776" t="s">
        <v>2385</v>
      </c>
      <c r="B776" s="1">
        <v>45804</v>
      </c>
      <c r="C776" t="s">
        <v>1229</v>
      </c>
      <c r="D776" t="s">
        <v>1501</v>
      </c>
      <c r="E776" t="s">
        <v>1592</v>
      </c>
      <c r="F776">
        <v>3</v>
      </c>
      <c r="G776" s="14">
        <v>846.31</v>
      </c>
      <c r="H776" s="17">
        <v>0.18</v>
      </c>
      <c r="I776" t="s">
        <v>1614</v>
      </c>
      <c r="J776" s="14">
        <v>2081.9225999999999</v>
      </c>
      <c r="K776" s="14">
        <f t="shared" si="96"/>
        <v>416269.76893188467</v>
      </c>
      <c r="L776" s="14">
        <f t="shared" si="97"/>
        <v>418</v>
      </c>
      <c r="M776" s="14" t="str">
        <f t="shared" si="98"/>
        <v>27-05-2025</v>
      </c>
      <c r="N776" s="14">
        <f t="shared" si="99"/>
        <v>0.15634247182652924</v>
      </c>
      <c r="O776" s="20">
        <f t="shared" si="100"/>
        <v>2.4946200299387895</v>
      </c>
      <c r="P776" s="14">
        <f t="shared" si="101"/>
        <v>472.1592168307821</v>
      </c>
      <c r="Q776" s="14">
        <f t="shared" si="102"/>
        <v>732.85314999999991</v>
      </c>
      <c r="R776" s="14" t="str">
        <f t="shared" si="103"/>
        <v>May</v>
      </c>
    </row>
    <row r="777" spans="1:18" x14ac:dyDescent="0.3">
      <c r="A777" t="s">
        <v>2386</v>
      </c>
      <c r="B777" s="1">
        <v>45821</v>
      </c>
      <c r="C777" t="s">
        <v>559</v>
      </c>
      <c r="D777" t="s">
        <v>1521</v>
      </c>
      <c r="E777" t="s">
        <v>1584</v>
      </c>
      <c r="F777">
        <v>1</v>
      </c>
      <c r="G777" s="14">
        <v>269.94</v>
      </c>
      <c r="H777" s="17">
        <v>7.0000000000000007E-2</v>
      </c>
      <c r="I777" t="s">
        <v>1614</v>
      </c>
      <c r="J777" s="14">
        <v>251.04419999999999</v>
      </c>
      <c r="K777" s="14">
        <f t="shared" si="96"/>
        <v>416269.76893188467</v>
      </c>
      <c r="L777" s="14">
        <f t="shared" si="97"/>
        <v>418</v>
      </c>
      <c r="M777" s="14" t="str">
        <f t="shared" si="98"/>
        <v>13-06-2025</v>
      </c>
      <c r="N777" s="14">
        <f t="shared" si="99"/>
        <v>0.15632312797683712</v>
      </c>
      <c r="O777" s="20">
        <f t="shared" si="100"/>
        <v>2.494206800200391</v>
      </c>
      <c r="P777" s="14">
        <f t="shared" si="101"/>
        <v>471.85328814462576</v>
      </c>
      <c r="Q777" s="14">
        <f t="shared" si="102"/>
        <v>130.51355000000001</v>
      </c>
      <c r="R777" s="14" t="str">
        <f t="shared" si="103"/>
        <v>Jun</v>
      </c>
    </row>
    <row r="778" spans="1:18" x14ac:dyDescent="0.3">
      <c r="A778" t="s">
        <v>2387</v>
      </c>
      <c r="B778" s="1">
        <v>45472</v>
      </c>
      <c r="C778" t="s">
        <v>773</v>
      </c>
      <c r="D778" t="s">
        <v>1373</v>
      </c>
      <c r="E778" t="s">
        <v>1554</v>
      </c>
      <c r="F778">
        <v>3</v>
      </c>
      <c r="G778" s="14">
        <v>909.25</v>
      </c>
      <c r="H778" s="17">
        <v>0.28999999999999998</v>
      </c>
      <c r="I778" t="s">
        <v>1614</v>
      </c>
      <c r="J778" s="14">
        <v>1936.7025000000001</v>
      </c>
      <c r="K778" s="14">
        <f t="shared" si="96"/>
        <v>416269.76893188467</v>
      </c>
      <c r="L778" s="14">
        <f t="shared" si="97"/>
        <v>418</v>
      </c>
      <c r="M778" s="14" t="str">
        <f t="shared" si="98"/>
        <v>29-06-2024</v>
      </c>
      <c r="N778" s="14">
        <f t="shared" si="99"/>
        <v>0.15639376883442865</v>
      </c>
      <c r="O778" s="20">
        <f t="shared" si="100"/>
        <v>2.4954295553560382</v>
      </c>
      <c r="P778" s="14">
        <f t="shared" si="101"/>
        <v>472.01851996798479</v>
      </c>
      <c r="Q778" s="14">
        <f t="shared" si="102"/>
        <v>712.31062500000007</v>
      </c>
      <c r="R778" s="14" t="str">
        <f t="shared" si="103"/>
        <v>Jun</v>
      </c>
    </row>
    <row r="779" spans="1:18" x14ac:dyDescent="0.3">
      <c r="A779" t="s">
        <v>2388</v>
      </c>
      <c r="B779" s="1">
        <v>45331</v>
      </c>
      <c r="C779" t="s">
        <v>1136</v>
      </c>
      <c r="D779" t="s">
        <v>1515</v>
      </c>
      <c r="E779" t="s">
        <v>1579</v>
      </c>
      <c r="F779">
        <v>2</v>
      </c>
      <c r="G779" s="14">
        <v>229.81</v>
      </c>
      <c r="H779" s="17">
        <v>0.21</v>
      </c>
      <c r="I779" t="s">
        <v>1614</v>
      </c>
      <c r="J779" s="14">
        <v>363.09980000000002</v>
      </c>
      <c r="K779" s="14">
        <f t="shared" si="96"/>
        <v>416269.76893188467</v>
      </c>
      <c r="L779" s="14">
        <f t="shared" si="97"/>
        <v>418</v>
      </c>
      <c r="M779" s="14" t="str">
        <f t="shared" si="98"/>
        <v>09-02-2024</v>
      </c>
      <c r="N779" s="14">
        <f t="shared" si="99"/>
        <v>0.15628434522168044</v>
      </c>
      <c r="O779" s="20">
        <f t="shared" si="100"/>
        <v>2.495016311748631</v>
      </c>
      <c r="P779" s="14">
        <f t="shared" si="101"/>
        <v>471.66042702774558</v>
      </c>
      <c r="Q779" s="14">
        <f t="shared" si="102"/>
        <v>148.77995000000001</v>
      </c>
      <c r="R779" s="14" t="str">
        <f t="shared" si="103"/>
        <v>Feb</v>
      </c>
    </row>
    <row r="780" spans="1:18" x14ac:dyDescent="0.3">
      <c r="A780" t="s">
        <v>2389</v>
      </c>
      <c r="B780" s="1">
        <v>45451</v>
      </c>
      <c r="C780" t="s">
        <v>147</v>
      </c>
      <c r="D780" t="s">
        <v>1489</v>
      </c>
      <c r="E780" t="s">
        <v>1586</v>
      </c>
      <c r="F780">
        <v>3</v>
      </c>
      <c r="G780" s="14">
        <v>442.36</v>
      </c>
      <c r="H780" s="17">
        <v>0.06</v>
      </c>
      <c r="I780" t="s">
        <v>1611</v>
      </c>
      <c r="J780" s="14">
        <v>1247.4552000000001</v>
      </c>
      <c r="K780" s="14">
        <f t="shared" si="96"/>
        <v>416269.76893188467</v>
      </c>
      <c r="L780" s="14">
        <f t="shared" si="97"/>
        <v>418</v>
      </c>
      <c r="M780" s="14" t="str">
        <f t="shared" si="98"/>
        <v>08-06-2024</v>
      </c>
      <c r="N780" s="14">
        <f t="shared" si="99"/>
        <v>0.15624031599645233</v>
      </c>
      <c r="O780" s="20">
        <f t="shared" si="100"/>
        <v>2.4954220628238346</v>
      </c>
      <c r="P780" s="14">
        <f t="shared" si="101"/>
        <v>471.85866508268634</v>
      </c>
      <c r="Q780" s="14">
        <f t="shared" si="102"/>
        <v>423.21880000000004</v>
      </c>
      <c r="R780" s="14" t="str">
        <f t="shared" si="103"/>
        <v>Jun</v>
      </c>
    </row>
    <row r="781" spans="1:18" x14ac:dyDescent="0.3">
      <c r="A781" t="s">
        <v>2390</v>
      </c>
      <c r="B781" s="1">
        <v>45386</v>
      </c>
      <c r="C781" t="s">
        <v>767</v>
      </c>
      <c r="D781" t="s">
        <v>1505</v>
      </c>
      <c r="E781" t="s">
        <v>1551</v>
      </c>
      <c r="F781">
        <v>3</v>
      </c>
      <c r="G781" s="14">
        <v>413.74</v>
      </c>
      <c r="H781" s="17">
        <v>0.01</v>
      </c>
      <c r="I781" t="s">
        <v>1609</v>
      </c>
      <c r="J781" s="14">
        <v>1228.8078</v>
      </c>
      <c r="K781" s="14">
        <f t="shared" si="96"/>
        <v>416269.76893188467</v>
      </c>
      <c r="L781" s="14">
        <f t="shared" si="97"/>
        <v>418</v>
      </c>
      <c r="M781" s="14" t="str">
        <f t="shared" si="98"/>
        <v>04-04-2024</v>
      </c>
      <c r="N781" s="14">
        <f t="shared" si="99"/>
        <v>0.15631926621466105</v>
      </c>
      <c r="O781" s="20">
        <f t="shared" si="100"/>
        <v>2.4950081350656919</v>
      </c>
      <c r="P781" s="14">
        <f t="shared" si="101"/>
        <v>471.88286415166311</v>
      </c>
      <c r="Q781" s="14">
        <f t="shared" si="102"/>
        <v>411.38945000000001</v>
      </c>
      <c r="R781" s="14" t="str">
        <f t="shared" si="103"/>
        <v>Apr</v>
      </c>
    </row>
    <row r="782" spans="1:18" x14ac:dyDescent="0.3">
      <c r="A782" t="s">
        <v>2391</v>
      </c>
      <c r="B782" s="1">
        <v>45477</v>
      </c>
      <c r="C782" t="s">
        <v>1317</v>
      </c>
      <c r="D782" t="s">
        <v>1511</v>
      </c>
      <c r="E782" t="s">
        <v>1584</v>
      </c>
      <c r="F782">
        <v>4</v>
      </c>
      <c r="G782" s="14">
        <v>79.75</v>
      </c>
      <c r="H782" s="17">
        <v>0.18</v>
      </c>
      <c r="I782" t="s">
        <v>1611</v>
      </c>
      <c r="J782" s="14">
        <v>261.58</v>
      </c>
      <c r="K782" s="14">
        <f t="shared" si="96"/>
        <v>415040.96113188472</v>
      </c>
      <c r="L782" s="14">
        <f t="shared" si="97"/>
        <v>417</v>
      </c>
      <c r="M782" s="14" t="str">
        <f t="shared" si="98"/>
        <v>04-07-2024</v>
      </c>
      <c r="N782" s="14">
        <f t="shared" si="99"/>
        <v>0.15643939697510001</v>
      </c>
      <c r="O782" s="20">
        <f t="shared" si="100"/>
        <v>2.4945935276232172</v>
      </c>
      <c r="P782" s="14">
        <f t="shared" si="101"/>
        <v>471.93060049333116</v>
      </c>
      <c r="Q782" s="14">
        <f t="shared" si="102"/>
        <v>86.377499999999998</v>
      </c>
      <c r="R782" s="14" t="str">
        <f t="shared" si="103"/>
        <v>Jul</v>
      </c>
    </row>
    <row r="783" spans="1:18" x14ac:dyDescent="0.3">
      <c r="A783" t="s">
        <v>2392</v>
      </c>
      <c r="B783" s="1">
        <v>45433</v>
      </c>
      <c r="C783" t="s">
        <v>1316</v>
      </c>
      <c r="D783" t="s">
        <v>1413</v>
      </c>
      <c r="E783" t="s">
        <v>1579</v>
      </c>
      <c r="F783">
        <v>4</v>
      </c>
      <c r="G783" s="14">
        <v>95.06</v>
      </c>
      <c r="H783" s="17">
        <v>0.03</v>
      </c>
      <c r="I783" t="s">
        <v>1609</v>
      </c>
      <c r="J783" s="14">
        <v>368.83280000000002</v>
      </c>
      <c r="K783" s="14">
        <f t="shared" si="96"/>
        <v>415040.96113188472</v>
      </c>
      <c r="L783" s="14">
        <f t="shared" si="97"/>
        <v>417</v>
      </c>
      <c r="M783" s="14" t="str">
        <f t="shared" si="98"/>
        <v>21-05-2024</v>
      </c>
      <c r="N783" s="14">
        <f t="shared" si="99"/>
        <v>0.15642003739989468</v>
      </c>
      <c r="O783" s="20">
        <f t="shared" si="100"/>
        <v>2.4933565461340002</v>
      </c>
      <c r="P783" s="14">
        <f t="shared" si="101"/>
        <v>472.25285242471432</v>
      </c>
      <c r="Q783" s="14">
        <f t="shared" si="102"/>
        <v>116.98070000000001</v>
      </c>
      <c r="R783" s="14" t="str">
        <f t="shared" si="103"/>
        <v>May</v>
      </c>
    </row>
    <row r="784" spans="1:18" x14ac:dyDescent="0.3">
      <c r="A784" t="s">
        <v>2393</v>
      </c>
      <c r="B784" s="1">
        <v>45759</v>
      </c>
      <c r="C784" t="s">
        <v>1237</v>
      </c>
      <c r="D784" t="s">
        <v>1529</v>
      </c>
      <c r="E784" t="s">
        <v>1564</v>
      </c>
      <c r="F784">
        <v>4</v>
      </c>
      <c r="G784" s="14">
        <v>107.08</v>
      </c>
      <c r="H784" s="17">
        <v>0.27</v>
      </c>
      <c r="I784" t="s">
        <v>1614</v>
      </c>
      <c r="J784" s="14">
        <v>312.67360000000002</v>
      </c>
      <c r="K784" s="14">
        <f t="shared" si="96"/>
        <v>414672.12833188468</v>
      </c>
      <c r="L784" s="14">
        <f t="shared" si="97"/>
        <v>416</v>
      </c>
      <c r="M784" s="14" t="str">
        <f t="shared" si="98"/>
        <v>12-04-2025</v>
      </c>
      <c r="N784" s="14">
        <f t="shared" si="99"/>
        <v>0.15652400124644064</v>
      </c>
      <c r="O784" s="20">
        <f t="shared" si="100"/>
        <v>2.4921175301357557</v>
      </c>
      <c r="P784" s="14">
        <f t="shared" si="101"/>
        <v>472.56304391519524</v>
      </c>
      <c r="Q784" s="14">
        <f t="shared" si="102"/>
        <v>106.0059</v>
      </c>
      <c r="R784" s="14" t="str">
        <f t="shared" si="103"/>
        <v>Apr</v>
      </c>
    </row>
    <row r="785" spans="1:18" x14ac:dyDescent="0.3">
      <c r="A785" t="s">
        <v>2394</v>
      </c>
      <c r="B785" s="1">
        <v>45794</v>
      </c>
      <c r="C785" t="s">
        <v>1295</v>
      </c>
      <c r="D785" t="s">
        <v>1531</v>
      </c>
      <c r="E785" t="s">
        <v>1595</v>
      </c>
      <c r="F785">
        <v>1</v>
      </c>
      <c r="G785" s="14">
        <v>873.18</v>
      </c>
      <c r="H785" s="17">
        <v>0.03</v>
      </c>
      <c r="I785" t="s">
        <v>1614</v>
      </c>
      <c r="J785" s="14">
        <v>846.98459999999989</v>
      </c>
      <c r="K785" s="14">
        <f t="shared" si="96"/>
        <v>414672.12833188468</v>
      </c>
      <c r="L785" s="14">
        <f t="shared" si="97"/>
        <v>416</v>
      </c>
      <c r="M785" s="14" t="str">
        <f t="shared" si="98"/>
        <v>17-05-2025</v>
      </c>
      <c r="N785" s="14">
        <f t="shared" si="99"/>
        <v>0.15643060536269285</v>
      </c>
      <c r="O785" s="20">
        <f t="shared" si="100"/>
        <v>2.4908764746050029</v>
      </c>
      <c r="P785" s="14">
        <f t="shared" si="101"/>
        <v>472.86385300483732</v>
      </c>
      <c r="Q785" s="14">
        <f t="shared" si="102"/>
        <v>430.29864999999995</v>
      </c>
      <c r="R785" s="14" t="str">
        <f t="shared" si="103"/>
        <v>May</v>
      </c>
    </row>
    <row r="786" spans="1:18" x14ac:dyDescent="0.3">
      <c r="A786" t="s">
        <v>2395</v>
      </c>
      <c r="B786" s="1">
        <v>45764</v>
      </c>
      <c r="C786" t="s">
        <v>1178</v>
      </c>
      <c r="D786" t="s">
        <v>1473</v>
      </c>
      <c r="E786" t="s">
        <v>1595</v>
      </c>
      <c r="F786">
        <v>1</v>
      </c>
      <c r="G786" s="14">
        <v>914.75</v>
      </c>
      <c r="H786" s="17">
        <v>0.1</v>
      </c>
      <c r="I786" t="s">
        <v>1614</v>
      </c>
      <c r="J786" s="14">
        <v>823.27499999999998</v>
      </c>
      <c r="K786" s="14">
        <f t="shared" si="96"/>
        <v>414672.12833188468</v>
      </c>
      <c r="L786" s="14">
        <f t="shared" si="97"/>
        <v>416</v>
      </c>
      <c r="M786" s="14" t="str">
        <f t="shared" si="98"/>
        <v>17-04-2025</v>
      </c>
      <c r="N786" s="14">
        <f t="shared" si="99"/>
        <v>0.156534749189186</v>
      </c>
      <c r="O786" s="20">
        <f t="shared" si="100"/>
        <v>2.4921045441886971</v>
      </c>
      <c r="P786" s="14">
        <f t="shared" si="101"/>
        <v>472.53410329561564</v>
      </c>
      <c r="Q786" s="14">
        <f t="shared" si="102"/>
        <v>434.78125</v>
      </c>
      <c r="R786" s="14" t="str">
        <f t="shared" si="103"/>
        <v>Apr</v>
      </c>
    </row>
    <row r="787" spans="1:18" x14ac:dyDescent="0.3">
      <c r="A787" t="s">
        <v>2396</v>
      </c>
      <c r="B787" s="1">
        <v>45279</v>
      </c>
      <c r="C787" t="s">
        <v>188</v>
      </c>
      <c r="D787" t="s">
        <v>1479</v>
      </c>
      <c r="E787" t="s">
        <v>1582</v>
      </c>
      <c r="F787">
        <v>4</v>
      </c>
      <c r="G787" s="14">
        <v>457.33</v>
      </c>
      <c r="H787" s="17">
        <v>0.1</v>
      </c>
      <c r="I787" t="s">
        <v>1609</v>
      </c>
      <c r="J787" s="14">
        <v>1646.3879999999999</v>
      </c>
      <c r="K787" s="14">
        <f t="shared" si="96"/>
        <v>414672.12833188468</v>
      </c>
      <c r="L787" s="14">
        <f t="shared" si="97"/>
        <v>416</v>
      </c>
      <c r="M787" s="14" t="str">
        <f t="shared" si="98"/>
        <v>19-12-2023</v>
      </c>
      <c r="N787" s="14">
        <f t="shared" si="99"/>
        <v>0.15658135656691824</v>
      </c>
      <c r="O787" s="20">
        <f t="shared" si="100"/>
        <v>2.4933346386191908</v>
      </c>
      <c r="P787" s="14">
        <f t="shared" si="101"/>
        <v>472.16953948959389</v>
      </c>
      <c r="Q787" s="14">
        <f t="shared" si="102"/>
        <v>526.95449999999994</v>
      </c>
      <c r="R787" s="14" t="str">
        <f t="shared" si="103"/>
        <v>Dec</v>
      </c>
    </row>
    <row r="788" spans="1:18" x14ac:dyDescent="0.3">
      <c r="A788" t="s">
        <v>2397</v>
      </c>
      <c r="B788" s="1">
        <v>45602</v>
      </c>
      <c r="C788" t="s">
        <v>926</v>
      </c>
      <c r="D788" t="s">
        <v>1531</v>
      </c>
      <c r="E788" t="s">
        <v>1551</v>
      </c>
      <c r="F788">
        <v>3</v>
      </c>
      <c r="G788" s="14">
        <v>761.88</v>
      </c>
      <c r="H788" s="17">
        <v>0.23</v>
      </c>
      <c r="I788" t="s">
        <v>1611</v>
      </c>
      <c r="J788" s="14">
        <v>1759.9428</v>
      </c>
      <c r="K788" s="14">
        <f t="shared" si="96"/>
        <v>413025.74033188476</v>
      </c>
      <c r="L788" s="14">
        <f t="shared" si="97"/>
        <v>415</v>
      </c>
      <c r="M788" s="14" t="str">
        <f t="shared" si="98"/>
        <v>06-11-2024</v>
      </c>
      <c r="N788" s="14">
        <f t="shared" si="99"/>
        <v>0.15662804085451471</v>
      </c>
      <c r="O788" s="20">
        <f t="shared" si="100"/>
        <v>2.492091515383728</v>
      </c>
      <c r="P788" s="14">
        <f t="shared" si="101"/>
        <v>472.18178333405729</v>
      </c>
      <c r="Q788" s="14">
        <f t="shared" si="102"/>
        <v>631.26319999999998</v>
      </c>
      <c r="R788" s="14" t="str">
        <f t="shared" si="103"/>
        <v>Nov</v>
      </c>
    </row>
    <row r="789" spans="1:18" x14ac:dyDescent="0.3">
      <c r="A789" t="s">
        <v>2398</v>
      </c>
      <c r="B789" s="1">
        <v>45793</v>
      </c>
      <c r="C789" t="s">
        <v>585</v>
      </c>
      <c r="D789" t="s">
        <v>1407</v>
      </c>
      <c r="E789" t="s">
        <v>1598</v>
      </c>
      <c r="F789">
        <v>4</v>
      </c>
      <c r="G789" s="14">
        <v>122.87</v>
      </c>
      <c r="H789" s="17">
        <v>0.13</v>
      </c>
      <c r="I789" t="s">
        <v>1609</v>
      </c>
      <c r="J789" s="14">
        <v>427.58760000000001</v>
      </c>
      <c r="K789" s="14">
        <f t="shared" si="96"/>
        <v>413025.74033188476</v>
      </c>
      <c r="L789" s="14">
        <f t="shared" si="97"/>
        <v>415</v>
      </c>
      <c r="M789" s="14" t="str">
        <f t="shared" si="98"/>
        <v>16-05-2025</v>
      </c>
      <c r="N789" s="14">
        <f t="shared" si="99"/>
        <v>0.15656745294440283</v>
      </c>
      <c r="O789" s="20">
        <f t="shared" si="100"/>
        <v>2.4916721029273972</v>
      </c>
      <c r="P789" s="14">
        <f t="shared" si="101"/>
        <v>471.9425610246717</v>
      </c>
      <c r="Q789" s="14">
        <f t="shared" si="102"/>
        <v>138.64690000000002</v>
      </c>
      <c r="R789" s="14" t="str">
        <f t="shared" si="103"/>
        <v>May</v>
      </c>
    </row>
    <row r="790" spans="1:18" x14ac:dyDescent="0.3">
      <c r="A790" t="s">
        <v>2399</v>
      </c>
      <c r="B790" s="1">
        <v>45778</v>
      </c>
      <c r="C790" t="s">
        <v>1296</v>
      </c>
      <c r="D790" t="s">
        <v>1479</v>
      </c>
      <c r="E790" t="s">
        <v>1554</v>
      </c>
      <c r="F790">
        <v>4</v>
      </c>
      <c r="G790" s="14">
        <v>753</v>
      </c>
      <c r="H790" s="17">
        <v>0.28000000000000003</v>
      </c>
      <c r="I790" t="s">
        <v>1614</v>
      </c>
      <c r="J790" s="14">
        <v>2168.64</v>
      </c>
      <c r="K790" s="14">
        <f t="shared" si="96"/>
        <v>412598.15273188479</v>
      </c>
      <c r="L790" s="14">
        <f t="shared" si="97"/>
        <v>414</v>
      </c>
      <c r="M790" s="14" t="str">
        <f t="shared" si="98"/>
        <v>01-05-2025</v>
      </c>
      <c r="N790" s="14">
        <f t="shared" si="99"/>
        <v>0.15658940951708414</v>
      </c>
      <c r="O790" s="20">
        <f t="shared" si="100"/>
        <v>2.490425550946346</v>
      </c>
      <c r="P790" s="14">
        <f t="shared" si="101"/>
        <v>472.23105074452678</v>
      </c>
      <c r="Q790" s="14">
        <f t="shared" si="102"/>
        <v>731.48</v>
      </c>
      <c r="R790" s="14" t="str">
        <f t="shared" si="103"/>
        <v>May</v>
      </c>
    </row>
    <row r="791" spans="1:18" x14ac:dyDescent="0.3">
      <c r="A791" t="s">
        <v>2400</v>
      </c>
      <c r="B791" s="1">
        <v>45325</v>
      </c>
      <c r="C791" t="s">
        <v>1157</v>
      </c>
      <c r="D791" t="s">
        <v>1340</v>
      </c>
      <c r="E791" t="s">
        <v>1558</v>
      </c>
      <c r="F791">
        <v>2</v>
      </c>
      <c r="G791" s="14">
        <v>788.05</v>
      </c>
      <c r="H791" s="17">
        <v>0.21</v>
      </c>
      <c r="I791" t="s">
        <v>1609</v>
      </c>
      <c r="J791" s="14">
        <v>1245.1189999999999</v>
      </c>
      <c r="K791" s="14">
        <f t="shared" si="96"/>
        <v>412598.15273188479</v>
      </c>
      <c r="L791" s="14">
        <f t="shared" si="97"/>
        <v>414</v>
      </c>
      <c r="M791" s="14" t="str">
        <f t="shared" si="98"/>
        <v>03-02-2024</v>
      </c>
      <c r="N791" s="14">
        <f t="shared" si="99"/>
        <v>0.15648733293273107</v>
      </c>
      <c r="O791" s="20">
        <f t="shared" si="100"/>
        <v>2.4891769368445642</v>
      </c>
      <c r="P791" s="14">
        <f t="shared" si="101"/>
        <v>471.99881836300864</v>
      </c>
      <c r="Q791" s="14">
        <f t="shared" si="102"/>
        <v>508.84474999999998</v>
      </c>
      <c r="R791" s="14" t="str">
        <f t="shared" si="103"/>
        <v>Feb</v>
      </c>
    </row>
    <row r="792" spans="1:18" x14ac:dyDescent="0.3">
      <c r="A792" t="s">
        <v>2401</v>
      </c>
      <c r="B792" s="1">
        <v>45875</v>
      </c>
      <c r="C792" t="s">
        <v>1283</v>
      </c>
      <c r="D792" t="s">
        <v>1497</v>
      </c>
      <c r="E792" t="s">
        <v>1574</v>
      </c>
      <c r="F792">
        <v>2</v>
      </c>
      <c r="G792" s="14">
        <v>807.1</v>
      </c>
      <c r="H792" s="17">
        <v>0.28999999999999998</v>
      </c>
      <c r="I792" t="s">
        <v>1609</v>
      </c>
      <c r="J792" s="14">
        <v>1146.0820000000001</v>
      </c>
      <c r="K792" s="14">
        <f t="shared" si="96"/>
        <v>411353.03373188473</v>
      </c>
      <c r="L792" s="14">
        <f t="shared" si="97"/>
        <v>413</v>
      </c>
      <c r="M792" s="14" t="str">
        <f t="shared" si="98"/>
        <v>06-08-2025</v>
      </c>
      <c r="N792" s="14">
        <f t="shared" si="99"/>
        <v>0.15644303436727802</v>
      </c>
      <c r="O792" s="20">
        <f t="shared" si="100"/>
        <v>2.4895818846399651</v>
      </c>
      <c r="P792" s="14">
        <f t="shared" si="101"/>
        <v>471.73718659013031</v>
      </c>
      <c r="Q792" s="14">
        <f t="shared" si="102"/>
        <v>488.86800000000005</v>
      </c>
      <c r="R792" s="14" t="str">
        <f t="shared" si="103"/>
        <v>Aug</v>
      </c>
    </row>
    <row r="793" spans="1:18" x14ac:dyDescent="0.3">
      <c r="A793" t="s">
        <v>2402</v>
      </c>
      <c r="B793" s="1">
        <v>45320</v>
      </c>
      <c r="C793" t="s">
        <v>458</v>
      </c>
      <c r="D793" t="s">
        <v>1347</v>
      </c>
      <c r="E793" t="s">
        <v>1542</v>
      </c>
      <c r="F793">
        <v>2</v>
      </c>
      <c r="G793" s="14">
        <v>443.09</v>
      </c>
      <c r="H793" s="17">
        <v>0.02</v>
      </c>
      <c r="I793" t="s">
        <v>1611</v>
      </c>
      <c r="J793" s="14">
        <v>868.45639999999992</v>
      </c>
      <c r="K793" s="14">
        <f t="shared" si="96"/>
        <v>410206.95173188474</v>
      </c>
      <c r="L793" s="14">
        <f t="shared" si="97"/>
        <v>412</v>
      </c>
      <c r="M793" s="14" t="str">
        <f t="shared" si="98"/>
        <v>29-01-2024</v>
      </c>
      <c r="N793" s="14">
        <f t="shared" si="99"/>
        <v>0.15633238236592531</v>
      </c>
      <c r="O793" s="20">
        <f t="shared" si="100"/>
        <v>2.4899875034341989</v>
      </c>
      <c r="P793" s="14">
        <f t="shared" si="101"/>
        <v>471.4593383602961</v>
      </c>
      <c r="Q793" s="14">
        <f t="shared" si="102"/>
        <v>328.39159999999998</v>
      </c>
      <c r="R793" s="14" t="str">
        <f t="shared" si="103"/>
        <v>Jan</v>
      </c>
    </row>
    <row r="794" spans="1:18" x14ac:dyDescent="0.3">
      <c r="A794" t="s">
        <v>2403</v>
      </c>
      <c r="B794" s="1">
        <v>45870</v>
      </c>
      <c r="C794" t="s">
        <v>1289</v>
      </c>
      <c r="D794" t="s">
        <v>1371</v>
      </c>
      <c r="E794" t="s">
        <v>1586</v>
      </c>
      <c r="F794">
        <v>1</v>
      </c>
      <c r="G794" s="14">
        <v>512.16</v>
      </c>
      <c r="H794" s="17">
        <v>0.02</v>
      </c>
      <c r="I794" t="s">
        <v>1614</v>
      </c>
      <c r="J794" s="14">
        <v>501.91680000000002</v>
      </c>
      <c r="K794" s="14">
        <f t="shared" si="96"/>
        <v>410206.95173188474</v>
      </c>
      <c r="L794" s="14">
        <f t="shared" si="97"/>
        <v>412</v>
      </c>
      <c r="M794" s="14" t="str">
        <f t="shared" si="98"/>
        <v>01-08-2025</v>
      </c>
      <c r="N794" s="14">
        <f t="shared" si="99"/>
        <v>0.1564454274590977</v>
      </c>
      <c r="O794" s="20">
        <f t="shared" si="100"/>
        <v>2.4903937948964163</v>
      </c>
      <c r="P794" s="14">
        <f t="shared" si="101"/>
        <v>471.48286185810724</v>
      </c>
      <c r="Q794" s="14">
        <f t="shared" si="102"/>
        <v>253.77420000000001</v>
      </c>
      <c r="R794" s="14" t="str">
        <f t="shared" si="103"/>
        <v>Aug</v>
      </c>
    </row>
    <row r="795" spans="1:18" x14ac:dyDescent="0.3">
      <c r="A795" t="s">
        <v>2404</v>
      </c>
      <c r="B795" s="1">
        <v>45577</v>
      </c>
      <c r="C795" t="s">
        <v>678</v>
      </c>
      <c r="D795" t="s">
        <v>1415</v>
      </c>
      <c r="E795" t="s">
        <v>1595</v>
      </c>
      <c r="F795">
        <v>2</v>
      </c>
      <c r="G795" s="14">
        <v>602.54999999999995</v>
      </c>
      <c r="H795" s="17">
        <v>0.23</v>
      </c>
      <c r="I795" t="s">
        <v>1614</v>
      </c>
      <c r="J795" s="14">
        <v>927.92699999999991</v>
      </c>
      <c r="K795" s="14">
        <f t="shared" si="96"/>
        <v>410206.95173188474</v>
      </c>
      <c r="L795" s="14">
        <f t="shared" si="97"/>
        <v>412</v>
      </c>
      <c r="M795" s="14" t="str">
        <f t="shared" si="98"/>
        <v>12-10-2024</v>
      </c>
      <c r="N795" s="14">
        <f t="shared" si="99"/>
        <v>0.15655866017898076</v>
      </c>
      <c r="O795" s="20">
        <f t="shared" si="100"/>
        <v>2.4916306362199818</v>
      </c>
      <c r="P795" s="14">
        <f t="shared" si="101"/>
        <v>471.44910489699373</v>
      </c>
      <c r="Q795" s="14">
        <f t="shared" si="102"/>
        <v>383.17674999999997</v>
      </c>
      <c r="R795" s="14" t="str">
        <f t="shared" si="103"/>
        <v>Oct</v>
      </c>
    </row>
    <row r="796" spans="1:18" x14ac:dyDescent="0.3">
      <c r="A796" t="s">
        <v>2405</v>
      </c>
      <c r="B796" s="1">
        <v>45745</v>
      </c>
      <c r="C796" t="s">
        <v>547</v>
      </c>
      <c r="D796" t="s">
        <v>1417</v>
      </c>
      <c r="E796" t="s">
        <v>1537</v>
      </c>
      <c r="F796">
        <v>3</v>
      </c>
      <c r="G796" s="14">
        <v>846.19</v>
      </c>
      <c r="H796" s="17">
        <v>0.09</v>
      </c>
      <c r="I796" t="s">
        <v>1614</v>
      </c>
      <c r="J796" s="14">
        <v>2310.0987</v>
      </c>
      <c r="K796" s="14">
        <f t="shared" si="96"/>
        <v>410206.95173188474</v>
      </c>
      <c r="L796" s="14">
        <f t="shared" si="97"/>
        <v>412</v>
      </c>
      <c r="M796" s="14" t="str">
        <f t="shared" si="98"/>
        <v>29-03-2025</v>
      </c>
      <c r="N796" s="14">
        <f t="shared" si="99"/>
        <v>0.15649766238843174</v>
      </c>
      <c r="O796" s="20">
        <f t="shared" si="100"/>
        <v>2.4920389673131877</v>
      </c>
      <c r="P796" s="14">
        <f t="shared" si="101"/>
        <v>471.34021711036326</v>
      </c>
      <c r="Q796" s="14">
        <f t="shared" si="102"/>
        <v>789.84467500000005</v>
      </c>
      <c r="R796" s="14" t="str">
        <f t="shared" si="103"/>
        <v>Mar</v>
      </c>
    </row>
    <row r="797" spans="1:18" x14ac:dyDescent="0.3">
      <c r="A797" t="s">
        <v>2406</v>
      </c>
      <c r="B797" s="1">
        <v>45772</v>
      </c>
      <c r="C797" t="s">
        <v>1026</v>
      </c>
      <c r="D797" t="s">
        <v>1471</v>
      </c>
      <c r="E797" t="s">
        <v>1567</v>
      </c>
      <c r="F797">
        <v>1</v>
      </c>
      <c r="G797" s="14">
        <v>506.73</v>
      </c>
      <c r="H797" s="17">
        <v>0.28999999999999998</v>
      </c>
      <c r="I797" t="s">
        <v>1609</v>
      </c>
      <c r="J797" s="14">
        <v>359.7783</v>
      </c>
      <c r="K797" s="14">
        <f t="shared" si="96"/>
        <v>410206.95173188474</v>
      </c>
      <c r="L797" s="14">
        <f t="shared" si="97"/>
        <v>412</v>
      </c>
      <c r="M797" s="14" t="str">
        <f t="shared" si="98"/>
        <v>25-04-2025</v>
      </c>
      <c r="N797" s="14">
        <f t="shared" si="99"/>
        <v>0.15655293891577043</v>
      </c>
      <c r="O797" s="20">
        <f t="shared" si="100"/>
        <v>2.4916167220657339</v>
      </c>
      <c r="P797" s="14">
        <f t="shared" si="101"/>
        <v>471.02862128086235</v>
      </c>
      <c r="Q797" s="14">
        <f t="shared" si="102"/>
        <v>216.94957500000001</v>
      </c>
      <c r="R797" s="14" t="str">
        <f t="shared" si="103"/>
        <v>Apr</v>
      </c>
    </row>
    <row r="798" spans="1:18" x14ac:dyDescent="0.3">
      <c r="A798" t="s">
        <v>2407</v>
      </c>
      <c r="B798" s="1">
        <v>45299</v>
      </c>
      <c r="C798" t="s">
        <v>198</v>
      </c>
      <c r="D798" t="s">
        <v>1435</v>
      </c>
      <c r="E798" t="s">
        <v>1589</v>
      </c>
      <c r="F798">
        <v>1</v>
      </c>
      <c r="G798" s="14">
        <v>408.66</v>
      </c>
      <c r="H798" s="17">
        <v>0.13</v>
      </c>
      <c r="I798" t="s">
        <v>1614</v>
      </c>
      <c r="J798" s="14">
        <v>355.5342</v>
      </c>
      <c r="K798" s="14">
        <f t="shared" si="96"/>
        <v>409847.17343188473</v>
      </c>
      <c r="L798" s="14">
        <f t="shared" si="97"/>
        <v>411</v>
      </c>
      <c r="M798" s="14" t="str">
        <f t="shared" si="98"/>
        <v>08-01-2024</v>
      </c>
      <c r="N798" s="14">
        <f t="shared" si="99"/>
        <v>0.15644191806628271</v>
      </c>
      <c r="O798" s="20">
        <f t="shared" si="100"/>
        <v>2.4928576677579684</v>
      </c>
      <c r="P798" s="14">
        <f t="shared" si="101"/>
        <v>470.99891963467331</v>
      </c>
      <c r="Q798" s="14">
        <f t="shared" si="102"/>
        <v>191.33105</v>
      </c>
      <c r="R798" s="14" t="str">
        <f t="shared" si="103"/>
        <v>Jan</v>
      </c>
    </row>
    <row r="799" spans="1:18" x14ac:dyDescent="0.3">
      <c r="A799" t="s">
        <v>2408</v>
      </c>
      <c r="B799" s="1">
        <v>45447</v>
      </c>
      <c r="C799" t="s">
        <v>387</v>
      </c>
      <c r="D799" t="s">
        <v>1347</v>
      </c>
      <c r="E799" t="s">
        <v>1592</v>
      </c>
      <c r="F799">
        <v>3</v>
      </c>
      <c r="G799" s="14">
        <v>170.48</v>
      </c>
      <c r="H799" s="17">
        <v>0.06</v>
      </c>
      <c r="I799" t="s">
        <v>1614</v>
      </c>
      <c r="J799" s="14">
        <v>480.75359999999989</v>
      </c>
      <c r="K799" s="14">
        <f t="shared" si="96"/>
        <v>409847.17343188473</v>
      </c>
      <c r="L799" s="14">
        <f t="shared" si="97"/>
        <v>411</v>
      </c>
      <c r="M799" s="14" t="str">
        <f t="shared" si="98"/>
        <v>04-06-2024</v>
      </c>
      <c r="N799" s="14">
        <f t="shared" si="99"/>
        <v>0.15646393465085082</v>
      </c>
      <c r="O799" s="20">
        <f t="shared" si="100"/>
        <v>2.4941006799709227</v>
      </c>
      <c r="P799" s="14">
        <f t="shared" si="101"/>
        <v>471.05082547949826</v>
      </c>
      <c r="Q799" s="14">
        <f t="shared" si="102"/>
        <v>163.57339999999996</v>
      </c>
      <c r="R799" s="14" t="str">
        <f t="shared" si="103"/>
        <v>Jun</v>
      </c>
    </row>
    <row r="800" spans="1:18" x14ac:dyDescent="0.3">
      <c r="A800" t="s">
        <v>2409</v>
      </c>
      <c r="B800" s="1">
        <v>45717</v>
      </c>
      <c r="C800" t="s">
        <v>347</v>
      </c>
      <c r="D800" t="s">
        <v>1369</v>
      </c>
      <c r="E800" t="s">
        <v>1571</v>
      </c>
      <c r="F800">
        <v>1</v>
      </c>
      <c r="G800" s="14">
        <v>423.48</v>
      </c>
      <c r="H800" s="17">
        <v>0.18</v>
      </c>
      <c r="I800" t="s">
        <v>1611</v>
      </c>
      <c r="J800" s="14">
        <v>347.25360000000012</v>
      </c>
      <c r="K800" s="14">
        <f t="shared" si="96"/>
        <v>409847.17343188473</v>
      </c>
      <c r="L800" s="14">
        <f t="shared" si="97"/>
        <v>411</v>
      </c>
      <c r="M800" s="14" t="str">
        <f t="shared" si="98"/>
        <v>01-03-2025</v>
      </c>
      <c r="N800" s="14">
        <f t="shared" si="99"/>
        <v>0.15654432126305987</v>
      </c>
      <c r="O800" s="20">
        <f t="shared" si="100"/>
        <v>2.493679097204232</v>
      </c>
      <c r="P800" s="14">
        <f t="shared" si="101"/>
        <v>471.30130116739787</v>
      </c>
      <c r="Q800" s="14">
        <f t="shared" si="102"/>
        <v>192.97840000000002</v>
      </c>
      <c r="R800" s="14" t="str">
        <f t="shared" si="103"/>
        <v>Mar</v>
      </c>
    </row>
    <row r="801" spans="1:18" x14ac:dyDescent="0.3">
      <c r="A801" t="s">
        <v>2410</v>
      </c>
      <c r="B801" s="1">
        <v>45213</v>
      </c>
      <c r="C801" t="s">
        <v>755</v>
      </c>
      <c r="D801" t="s">
        <v>1517</v>
      </c>
      <c r="E801" t="s">
        <v>1577</v>
      </c>
      <c r="F801">
        <v>4</v>
      </c>
      <c r="G801" s="14">
        <v>23.57</v>
      </c>
      <c r="H801" s="17">
        <v>0.1</v>
      </c>
      <c r="I801" t="s">
        <v>1609</v>
      </c>
      <c r="J801" s="14">
        <v>84.852000000000004</v>
      </c>
      <c r="K801" s="14">
        <f t="shared" si="96"/>
        <v>409847.17343188473</v>
      </c>
      <c r="L801" s="14">
        <f t="shared" si="97"/>
        <v>411</v>
      </c>
      <c r="M801" s="14" t="str">
        <f t="shared" si="98"/>
        <v>14-10-2023</v>
      </c>
      <c r="N801" s="14">
        <f t="shared" si="99"/>
        <v>0.1565247585618614</v>
      </c>
      <c r="O801" s="20">
        <f t="shared" si="100"/>
        <v>2.4949248679275051</v>
      </c>
      <c r="P801" s="14">
        <f t="shared" si="101"/>
        <v>471.34118548863842</v>
      </c>
      <c r="Q801" s="14">
        <f t="shared" si="102"/>
        <v>28.130500000000001</v>
      </c>
      <c r="R801" s="14" t="str">
        <f t="shared" si="103"/>
        <v>Oct</v>
      </c>
    </row>
    <row r="802" spans="1:18" x14ac:dyDescent="0.3">
      <c r="A802" t="s">
        <v>2411</v>
      </c>
      <c r="B802" s="1">
        <v>45837</v>
      </c>
      <c r="C802" t="s">
        <v>1190</v>
      </c>
      <c r="D802" t="s">
        <v>1417</v>
      </c>
      <c r="E802" t="s">
        <v>1595</v>
      </c>
      <c r="F802">
        <v>2</v>
      </c>
      <c r="G802" s="14">
        <v>953.26</v>
      </c>
      <c r="H802" s="17">
        <v>0.1</v>
      </c>
      <c r="I802" t="s">
        <v>1614</v>
      </c>
      <c r="J802" s="14">
        <v>1715.8679999999999</v>
      </c>
      <c r="K802" s="14">
        <f t="shared" si="96"/>
        <v>409762.32143188472</v>
      </c>
      <c r="L802" s="14">
        <f t="shared" si="97"/>
        <v>410</v>
      </c>
      <c r="M802" s="14" t="str">
        <f t="shared" si="98"/>
        <v>29-06-2025</v>
      </c>
      <c r="N802" s="14">
        <f t="shared" si="99"/>
        <v>0.15657194116500153</v>
      </c>
      <c r="O802" s="20">
        <f t="shared" si="100"/>
        <v>2.4936685447788633</v>
      </c>
      <c r="P802" s="14">
        <f t="shared" si="101"/>
        <v>471.71495108587425</v>
      </c>
      <c r="Q802" s="14">
        <f t="shared" si="102"/>
        <v>667.80700000000002</v>
      </c>
      <c r="R802" s="14" t="str">
        <f t="shared" si="103"/>
        <v>Jun</v>
      </c>
    </row>
    <row r="803" spans="1:18" x14ac:dyDescent="0.3">
      <c r="A803" t="s">
        <v>2412</v>
      </c>
      <c r="B803" s="1">
        <v>45277</v>
      </c>
      <c r="C803" t="s">
        <v>1089</v>
      </c>
      <c r="D803" t="s">
        <v>1479</v>
      </c>
      <c r="E803" t="s">
        <v>1564</v>
      </c>
      <c r="F803">
        <v>3</v>
      </c>
      <c r="G803" s="14">
        <v>405.13</v>
      </c>
      <c r="H803" s="17">
        <v>0.14000000000000001</v>
      </c>
      <c r="I803" t="s">
        <v>1614</v>
      </c>
      <c r="J803" s="14">
        <v>1045.2354</v>
      </c>
      <c r="K803" s="14">
        <f t="shared" si="96"/>
        <v>409762.32143188472</v>
      </c>
      <c r="L803" s="14">
        <f t="shared" si="97"/>
        <v>410</v>
      </c>
      <c r="M803" s="14" t="str">
        <f t="shared" si="98"/>
        <v>17-12-2023</v>
      </c>
      <c r="N803" s="14">
        <f t="shared" si="99"/>
        <v>0.15661920260290046</v>
      </c>
      <c r="O803" s="20">
        <f t="shared" si="100"/>
        <v>2.494080966286615</v>
      </c>
      <c r="P803" s="14">
        <f t="shared" si="101"/>
        <v>471.31265781192775</v>
      </c>
      <c r="Q803" s="14">
        <f t="shared" si="102"/>
        <v>363.37635</v>
      </c>
      <c r="R803" s="14" t="str">
        <f t="shared" si="103"/>
        <v>Dec</v>
      </c>
    </row>
    <row r="804" spans="1:18" x14ac:dyDescent="0.3">
      <c r="A804" t="s">
        <v>2413</v>
      </c>
      <c r="B804" s="1">
        <v>45248</v>
      </c>
      <c r="C804" t="s">
        <v>1065</v>
      </c>
      <c r="D804" t="s">
        <v>1334</v>
      </c>
      <c r="E804" t="s">
        <v>1554</v>
      </c>
      <c r="F804">
        <v>2</v>
      </c>
      <c r="G804" s="14">
        <v>333.83</v>
      </c>
      <c r="H804" s="17">
        <v>0.26</v>
      </c>
      <c r="I804" t="s">
        <v>1611</v>
      </c>
      <c r="J804" s="14">
        <v>494.0684</v>
      </c>
      <c r="K804" s="14">
        <f t="shared" si="96"/>
        <v>409762.32143188472</v>
      </c>
      <c r="L804" s="14">
        <f t="shared" si="97"/>
        <v>410</v>
      </c>
      <c r="M804" s="14" t="str">
        <f t="shared" si="98"/>
        <v>18-11-2023</v>
      </c>
      <c r="N804" s="14">
        <f t="shared" si="99"/>
        <v>0.15663309825725069</v>
      </c>
      <c r="O804" s="20">
        <f t="shared" si="100"/>
        <v>2.4936579570611022</v>
      </c>
      <c r="P804" s="14">
        <f t="shared" si="101"/>
        <v>471.36799448233893</v>
      </c>
      <c r="Q804" s="14">
        <f t="shared" si="102"/>
        <v>207.53960000000001</v>
      </c>
      <c r="R804" s="14" t="str">
        <f t="shared" si="103"/>
        <v>Nov</v>
      </c>
    </row>
    <row r="805" spans="1:18" x14ac:dyDescent="0.3">
      <c r="A805" t="s">
        <v>2414</v>
      </c>
      <c r="B805" s="1">
        <v>45741</v>
      </c>
      <c r="C805" t="s">
        <v>1047</v>
      </c>
      <c r="D805" t="s">
        <v>1515</v>
      </c>
      <c r="E805" t="s">
        <v>1551</v>
      </c>
      <c r="F805">
        <v>2</v>
      </c>
      <c r="G805" s="14">
        <v>727.18</v>
      </c>
      <c r="H805" s="17">
        <v>0.22</v>
      </c>
      <c r="I805" t="s">
        <v>1611</v>
      </c>
      <c r="J805" s="14">
        <v>1134.4007999999999</v>
      </c>
      <c r="K805" s="14">
        <f t="shared" si="96"/>
        <v>409762.32143188472</v>
      </c>
      <c r="L805" s="14">
        <f t="shared" si="97"/>
        <v>410</v>
      </c>
      <c r="M805" s="14" t="str">
        <f t="shared" si="98"/>
        <v>25-03-2025</v>
      </c>
      <c r="N805" s="14">
        <f t="shared" si="99"/>
        <v>0.15654659875788438</v>
      </c>
      <c r="O805" s="20">
        <f t="shared" si="100"/>
        <v>2.4940710599540403</v>
      </c>
      <c r="P805" s="14">
        <f t="shared" si="101"/>
        <v>471.48308903839114</v>
      </c>
      <c r="Q805" s="14">
        <f t="shared" si="102"/>
        <v>465.9502</v>
      </c>
      <c r="R805" s="14" t="str">
        <f t="shared" si="103"/>
        <v>Mar</v>
      </c>
    </row>
    <row r="806" spans="1:18" x14ac:dyDescent="0.3">
      <c r="A806" t="s">
        <v>2415</v>
      </c>
      <c r="B806" s="1">
        <v>45778</v>
      </c>
      <c r="C806" t="s">
        <v>966</v>
      </c>
      <c r="D806" t="s">
        <v>1340</v>
      </c>
      <c r="E806" t="s">
        <v>1574</v>
      </c>
      <c r="F806">
        <v>2</v>
      </c>
      <c r="G806" s="14">
        <v>516.02</v>
      </c>
      <c r="H806" s="17">
        <v>0.19</v>
      </c>
      <c r="I806" t="s">
        <v>1614</v>
      </c>
      <c r="J806" s="14">
        <v>835.95240000000001</v>
      </c>
      <c r="K806" s="14">
        <f t="shared" si="96"/>
        <v>409762.32143188472</v>
      </c>
      <c r="L806" s="14">
        <f t="shared" si="97"/>
        <v>410</v>
      </c>
      <c r="M806" s="14" t="str">
        <f t="shared" si="98"/>
        <v>01-05-2025</v>
      </c>
      <c r="N806" s="14">
        <f t="shared" si="99"/>
        <v>0.15649345520575531</v>
      </c>
      <c r="O806" s="20">
        <f t="shared" si="100"/>
        <v>2.4944848548116236</v>
      </c>
      <c r="P806" s="14">
        <f t="shared" si="101"/>
        <v>471.26893752167285</v>
      </c>
      <c r="Q806" s="14">
        <f t="shared" si="102"/>
        <v>338.54060000000004</v>
      </c>
      <c r="R806" s="14" t="str">
        <f t="shared" si="103"/>
        <v>May</v>
      </c>
    </row>
    <row r="807" spans="1:18" x14ac:dyDescent="0.3">
      <c r="A807" t="s">
        <v>2416</v>
      </c>
      <c r="B807" s="1">
        <v>45361</v>
      </c>
      <c r="C807" t="s">
        <v>932</v>
      </c>
      <c r="D807" t="s">
        <v>1417</v>
      </c>
      <c r="E807" t="s">
        <v>1577</v>
      </c>
      <c r="F807">
        <v>2</v>
      </c>
      <c r="G807" s="14">
        <v>705.61</v>
      </c>
      <c r="H807" s="17">
        <v>0.28000000000000003</v>
      </c>
      <c r="I807" t="s">
        <v>1609</v>
      </c>
      <c r="J807" s="14">
        <v>1016.0784</v>
      </c>
      <c r="K807" s="14">
        <f t="shared" si="96"/>
        <v>409762.32143188472</v>
      </c>
      <c r="L807" s="14">
        <f t="shared" si="97"/>
        <v>410</v>
      </c>
      <c r="M807" s="14" t="str">
        <f t="shared" si="98"/>
        <v>10-03-2024</v>
      </c>
      <c r="N807" s="14">
        <f t="shared" si="99"/>
        <v>0.15646536925035356</v>
      </c>
      <c r="O807" s="20">
        <f t="shared" si="100"/>
        <v>2.4948993433739131</v>
      </c>
      <c r="P807" s="14">
        <f t="shared" si="101"/>
        <v>471.23142615329209</v>
      </c>
      <c r="Q807" s="14">
        <f t="shared" si="102"/>
        <v>430.99209999999999</v>
      </c>
      <c r="R807" s="14" t="str">
        <f t="shared" si="103"/>
        <v>Mar</v>
      </c>
    </row>
    <row r="808" spans="1:18" x14ac:dyDescent="0.3">
      <c r="A808" t="s">
        <v>2417</v>
      </c>
      <c r="B808" s="1">
        <v>45414</v>
      </c>
      <c r="C808" t="s">
        <v>875</v>
      </c>
      <c r="D808" t="s">
        <v>1501</v>
      </c>
      <c r="E808" t="s">
        <v>1567</v>
      </c>
      <c r="F808">
        <v>3</v>
      </c>
      <c r="G808" s="14">
        <v>654.47</v>
      </c>
      <c r="H808" s="17">
        <v>0.18</v>
      </c>
      <c r="I808" t="s">
        <v>1614</v>
      </c>
      <c r="J808" s="14">
        <v>1609.9962</v>
      </c>
      <c r="K808" s="14">
        <f t="shared" si="96"/>
        <v>408746.24303188478</v>
      </c>
      <c r="L808" s="14">
        <f t="shared" si="97"/>
        <v>409</v>
      </c>
      <c r="M808" s="14" t="str">
        <f t="shared" si="98"/>
        <v>02-05-2024</v>
      </c>
      <c r="N808" s="14">
        <f t="shared" si="99"/>
        <v>0.15636173281516091</v>
      </c>
      <c r="O808" s="20">
        <f t="shared" si="100"/>
        <v>2.4953145273868107</v>
      </c>
      <c r="P808" s="14">
        <f t="shared" si="101"/>
        <v>471.0347998329508</v>
      </c>
      <c r="Q808" s="14">
        <f t="shared" si="102"/>
        <v>566.91155000000003</v>
      </c>
      <c r="R808" s="14" t="str">
        <f t="shared" si="103"/>
        <v>May</v>
      </c>
    </row>
    <row r="809" spans="1:18" x14ac:dyDescent="0.3">
      <c r="A809" t="s">
        <v>2418</v>
      </c>
      <c r="B809" s="1">
        <v>45734</v>
      </c>
      <c r="C809" t="s">
        <v>568</v>
      </c>
      <c r="D809" t="s">
        <v>1509</v>
      </c>
      <c r="E809" t="s">
        <v>1586</v>
      </c>
      <c r="F809">
        <v>2</v>
      </c>
      <c r="G809" s="14">
        <v>315.27</v>
      </c>
      <c r="H809" s="17">
        <v>0.23</v>
      </c>
      <c r="I809" t="s">
        <v>1609</v>
      </c>
      <c r="J809" s="14">
        <v>485.51580000000001</v>
      </c>
      <c r="K809" s="14">
        <f t="shared" si="96"/>
        <v>408746.24303188478</v>
      </c>
      <c r="L809" s="14">
        <f t="shared" si="97"/>
        <v>409</v>
      </c>
      <c r="M809" s="14" t="str">
        <f t="shared" si="98"/>
        <v>18-03-2025</v>
      </c>
      <c r="N809" s="14">
        <f t="shared" si="99"/>
        <v>0.15634188540358676</v>
      </c>
      <c r="O809" s="20">
        <f t="shared" si="100"/>
        <v>2.4948907780395286</v>
      </c>
      <c r="P809" s="14">
        <f t="shared" si="101"/>
        <v>470.88078203264263</v>
      </c>
      <c r="Q809" s="14">
        <f t="shared" si="102"/>
        <v>200.75395</v>
      </c>
      <c r="R809" s="14" t="str">
        <f t="shared" si="103"/>
        <v>Mar</v>
      </c>
    </row>
    <row r="810" spans="1:18" x14ac:dyDescent="0.3">
      <c r="A810" t="s">
        <v>2419</v>
      </c>
      <c r="B810" s="1">
        <v>45623</v>
      </c>
      <c r="C810" t="s">
        <v>719</v>
      </c>
      <c r="D810" t="s">
        <v>1389</v>
      </c>
      <c r="E810" t="s">
        <v>1546</v>
      </c>
      <c r="F810">
        <v>1</v>
      </c>
      <c r="G810" s="14">
        <v>974.47</v>
      </c>
      <c r="H810" s="17">
        <v>0.05</v>
      </c>
      <c r="I810" t="s">
        <v>1609</v>
      </c>
      <c r="J810" s="14">
        <v>925.74649999999997</v>
      </c>
      <c r="K810" s="14">
        <f t="shared" si="96"/>
        <v>408260.72723188472</v>
      </c>
      <c r="L810" s="14">
        <f t="shared" si="97"/>
        <v>408</v>
      </c>
      <c r="M810" s="14" t="str">
        <f t="shared" si="98"/>
        <v>27-11-2024</v>
      </c>
      <c r="N810" s="14">
        <f t="shared" si="99"/>
        <v>0.15627998782829566</v>
      </c>
      <c r="O810" s="20">
        <f t="shared" si="100"/>
        <v>2.4953066526429231</v>
      </c>
      <c r="P810" s="14">
        <f t="shared" si="101"/>
        <v>471.01154739569529</v>
      </c>
      <c r="Q810" s="14">
        <f t="shared" si="102"/>
        <v>475.31662499999999</v>
      </c>
      <c r="R810" s="14" t="str">
        <f t="shared" si="103"/>
        <v>Nov</v>
      </c>
    </row>
    <row r="811" spans="1:18" x14ac:dyDescent="0.3">
      <c r="A811" t="s">
        <v>2420</v>
      </c>
      <c r="B811" s="1">
        <v>45340</v>
      </c>
      <c r="C811" t="s">
        <v>247</v>
      </c>
      <c r="D811" t="s">
        <v>1334</v>
      </c>
      <c r="E811" t="s">
        <v>1554</v>
      </c>
      <c r="F811">
        <v>2</v>
      </c>
      <c r="G811" s="14">
        <v>803.3</v>
      </c>
      <c r="H811" s="17">
        <v>0.17</v>
      </c>
      <c r="I811" t="s">
        <v>1609</v>
      </c>
      <c r="J811" s="14">
        <v>1333.4780000000001</v>
      </c>
      <c r="K811" s="14">
        <f t="shared" si="96"/>
        <v>407334.98073188466</v>
      </c>
      <c r="L811" s="14">
        <f t="shared" si="97"/>
        <v>407</v>
      </c>
      <c r="M811" s="14" t="str">
        <f t="shared" si="98"/>
        <v>18-02-2024</v>
      </c>
      <c r="N811" s="14">
        <f t="shared" si="99"/>
        <v>0.15636937385674671</v>
      </c>
      <c r="O811" s="20">
        <f t="shared" si="100"/>
        <v>2.4965642696762642</v>
      </c>
      <c r="P811" s="14">
        <f t="shared" si="101"/>
        <v>470.58811724211722</v>
      </c>
      <c r="Q811" s="14">
        <f t="shared" si="102"/>
        <v>534.73699999999997</v>
      </c>
      <c r="R811" s="14" t="str">
        <f t="shared" si="103"/>
        <v>Feb</v>
      </c>
    </row>
    <row r="812" spans="1:18" x14ac:dyDescent="0.3">
      <c r="A812" t="s">
        <v>2421</v>
      </c>
      <c r="B812" s="1">
        <v>45447</v>
      </c>
      <c r="C812" t="s">
        <v>63</v>
      </c>
      <c r="D812" t="s">
        <v>1334</v>
      </c>
      <c r="E812" t="s">
        <v>1574</v>
      </c>
      <c r="F812">
        <v>4</v>
      </c>
      <c r="G812" s="14">
        <v>863.87</v>
      </c>
      <c r="H812" s="17">
        <v>0.21</v>
      </c>
      <c r="I812" t="s">
        <v>1614</v>
      </c>
      <c r="J812" s="14">
        <v>2729.8292000000001</v>
      </c>
      <c r="K812" s="14">
        <f t="shared" si="96"/>
        <v>406001.50273188477</v>
      </c>
      <c r="L812" s="14">
        <f t="shared" si="97"/>
        <v>406</v>
      </c>
      <c r="M812" s="14" t="str">
        <f t="shared" si="98"/>
        <v>04-06-2024</v>
      </c>
      <c r="N812" s="14">
        <f t="shared" si="99"/>
        <v>0.15635790026571703</v>
      </c>
      <c r="O812" s="20">
        <f t="shared" si="100"/>
        <v>2.4969822530682482</v>
      </c>
      <c r="P812" s="14">
        <f t="shared" si="101"/>
        <v>470.30805673474526</v>
      </c>
      <c r="Q812" s="14">
        <f t="shared" si="102"/>
        <v>899.47730000000001</v>
      </c>
      <c r="R812" s="14" t="str">
        <f t="shared" si="103"/>
        <v>Jun</v>
      </c>
    </row>
    <row r="813" spans="1:18" x14ac:dyDescent="0.3">
      <c r="A813" t="s">
        <v>2422</v>
      </c>
      <c r="B813" s="1">
        <v>45513</v>
      </c>
      <c r="C813" t="s">
        <v>1290</v>
      </c>
      <c r="D813" t="s">
        <v>1493</v>
      </c>
      <c r="E813" t="s">
        <v>1595</v>
      </c>
      <c r="F813">
        <v>1</v>
      </c>
      <c r="G813" s="14">
        <v>450.11</v>
      </c>
      <c r="H813" s="17">
        <v>0.17</v>
      </c>
      <c r="I813" t="s">
        <v>1609</v>
      </c>
      <c r="J813" s="14">
        <v>373.59129999999999</v>
      </c>
      <c r="K813" s="14">
        <f t="shared" si="96"/>
        <v>406001.50273188477</v>
      </c>
      <c r="L813" s="14">
        <f t="shared" si="97"/>
        <v>406</v>
      </c>
      <c r="M813" s="14" t="str">
        <f t="shared" si="98"/>
        <v>09-08-2024</v>
      </c>
      <c r="N813" s="14">
        <f t="shared" si="99"/>
        <v>0.1563127089432787</v>
      </c>
      <c r="O813" s="20">
        <f t="shared" si="100"/>
        <v>2.4957160207624929</v>
      </c>
      <c r="P813" s="14">
        <f t="shared" si="101"/>
        <v>469.97649654665321</v>
      </c>
      <c r="Q813" s="14">
        <f t="shared" si="102"/>
        <v>206.217825</v>
      </c>
      <c r="R813" s="14" t="str">
        <f t="shared" si="103"/>
        <v>Aug</v>
      </c>
    </row>
    <row r="814" spans="1:18" x14ac:dyDescent="0.3">
      <c r="A814" t="s">
        <v>2423</v>
      </c>
      <c r="B814" s="1">
        <v>45486</v>
      </c>
      <c r="C814" t="s">
        <v>740</v>
      </c>
      <c r="D814" t="s">
        <v>1469</v>
      </c>
      <c r="E814" t="s">
        <v>1582</v>
      </c>
      <c r="F814">
        <v>1</v>
      </c>
      <c r="G814" s="14">
        <v>289.82</v>
      </c>
      <c r="H814" s="17">
        <v>0.18</v>
      </c>
      <c r="I814" t="s">
        <v>1614</v>
      </c>
      <c r="J814" s="14">
        <v>237.6524</v>
      </c>
      <c r="K814" s="14">
        <f t="shared" si="96"/>
        <v>405627.91143188474</v>
      </c>
      <c r="L814" s="14">
        <f t="shared" si="97"/>
        <v>405</v>
      </c>
      <c r="M814" s="14" t="str">
        <f t="shared" si="98"/>
        <v>13-07-2024</v>
      </c>
      <c r="N814" s="14">
        <f t="shared" si="99"/>
        <v>0.15630116822569293</v>
      </c>
      <c r="O814" s="20">
        <f t="shared" si="100"/>
        <v>2.4969771641189533</v>
      </c>
      <c r="P814" s="14">
        <f t="shared" si="101"/>
        <v>469.99324738691189</v>
      </c>
      <c r="Q814" s="14">
        <f t="shared" si="102"/>
        <v>132.16309999999999</v>
      </c>
      <c r="R814" s="14" t="str">
        <f t="shared" si="103"/>
        <v>Jul</v>
      </c>
    </row>
    <row r="815" spans="1:18" x14ac:dyDescent="0.3">
      <c r="A815" t="s">
        <v>2424</v>
      </c>
      <c r="B815" s="1">
        <v>45890</v>
      </c>
      <c r="C815" t="s">
        <v>1050</v>
      </c>
      <c r="D815" t="s">
        <v>1441</v>
      </c>
      <c r="E815" t="s">
        <v>1574</v>
      </c>
      <c r="F815">
        <v>4</v>
      </c>
      <c r="G815" s="14">
        <v>250.64</v>
      </c>
      <c r="H815" s="17">
        <v>0.1</v>
      </c>
      <c r="I815" t="s">
        <v>1611</v>
      </c>
      <c r="J815" s="14">
        <v>902.30399999999997</v>
      </c>
      <c r="K815" s="14">
        <f t="shared" si="96"/>
        <v>405627.91143188474</v>
      </c>
      <c r="L815" s="14">
        <f t="shared" si="97"/>
        <v>405</v>
      </c>
      <c r="M815" s="14" t="str">
        <f t="shared" si="98"/>
        <v>21-08-2025</v>
      </c>
      <c r="N815" s="14">
        <f t="shared" si="99"/>
        <v>0.1562811692115374</v>
      </c>
      <c r="O815" s="20">
        <f t="shared" si="100"/>
        <v>2.4982404359874084</v>
      </c>
      <c r="P815" s="14">
        <f t="shared" si="101"/>
        <v>470.14529232141547</v>
      </c>
      <c r="Q815" s="14">
        <f t="shared" si="102"/>
        <v>289.26099999999997</v>
      </c>
      <c r="R815" s="14" t="str">
        <f t="shared" si="103"/>
        <v>Aug</v>
      </c>
    </row>
    <row r="816" spans="1:18" x14ac:dyDescent="0.3">
      <c r="A816" t="s">
        <v>2425</v>
      </c>
      <c r="B816" s="1">
        <v>45876</v>
      </c>
      <c r="C816" t="s">
        <v>911</v>
      </c>
      <c r="D816" t="s">
        <v>1471</v>
      </c>
      <c r="E816" t="s">
        <v>1598</v>
      </c>
      <c r="F816">
        <v>4</v>
      </c>
      <c r="G816" s="14">
        <v>373.49</v>
      </c>
      <c r="H816" s="17">
        <v>0.16</v>
      </c>
      <c r="I816" t="s">
        <v>1614</v>
      </c>
      <c r="J816" s="14">
        <v>1254.9264000000001</v>
      </c>
      <c r="K816" s="14">
        <f t="shared" si="96"/>
        <v>405627.91143188474</v>
      </c>
      <c r="L816" s="14">
        <f t="shared" si="97"/>
        <v>405</v>
      </c>
      <c r="M816" s="14" t="str">
        <f t="shared" si="98"/>
        <v>07-08-2025</v>
      </c>
      <c r="N816" s="14">
        <f t="shared" si="99"/>
        <v>0.15632870398283094</v>
      </c>
      <c r="O816" s="20">
        <f t="shared" si="100"/>
        <v>2.4969720579772625</v>
      </c>
      <c r="P816" s="14">
        <f t="shared" si="101"/>
        <v>470.33068530479511</v>
      </c>
      <c r="Q816" s="14">
        <f t="shared" si="102"/>
        <v>408.14410000000004</v>
      </c>
      <c r="R816" s="14" t="str">
        <f t="shared" si="103"/>
        <v>Aug</v>
      </c>
    </row>
    <row r="817" spans="1:18" x14ac:dyDescent="0.3">
      <c r="A817" t="s">
        <v>2426</v>
      </c>
      <c r="B817" s="1">
        <v>45398</v>
      </c>
      <c r="C817" t="s">
        <v>244</v>
      </c>
      <c r="D817" t="s">
        <v>1336</v>
      </c>
      <c r="E817" t="s">
        <v>1571</v>
      </c>
      <c r="F817">
        <v>4</v>
      </c>
      <c r="G817" s="14">
        <v>348.91</v>
      </c>
      <c r="H817" s="17">
        <v>0.18</v>
      </c>
      <c r="I817" t="s">
        <v>1611</v>
      </c>
      <c r="J817" s="14">
        <v>1144.4248</v>
      </c>
      <c r="K817" s="14">
        <f t="shared" si="96"/>
        <v>405627.91143188474</v>
      </c>
      <c r="L817" s="14">
        <f t="shared" si="97"/>
        <v>405</v>
      </c>
      <c r="M817" s="14" t="str">
        <f t="shared" si="98"/>
        <v>16-04-2024</v>
      </c>
      <c r="N817" s="14">
        <f t="shared" si="99"/>
        <v>0.1563256006049635</v>
      </c>
      <c r="O817" s="20">
        <f t="shared" si="100"/>
        <v>2.4957015356255949</v>
      </c>
      <c r="P817" s="14">
        <f t="shared" si="101"/>
        <v>470.41254556287186</v>
      </c>
      <c r="Q817" s="14">
        <f t="shared" si="102"/>
        <v>374.37869999999998</v>
      </c>
      <c r="R817" s="14" t="str">
        <f t="shared" si="103"/>
        <v>Apr</v>
      </c>
    </row>
    <row r="818" spans="1:18" x14ac:dyDescent="0.3">
      <c r="A818" t="s">
        <v>2427</v>
      </c>
      <c r="B818" s="1">
        <v>45390</v>
      </c>
      <c r="C818" t="s">
        <v>387</v>
      </c>
      <c r="D818" t="s">
        <v>1521</v>
      </c>
      <c r="E818" t="s">
        <v>1592</v>
      </c>
      <c r="F818">
        <v>4</v>
      </c>
      <c r="G818" s="14">
        <v>212.96</v>
      </c>
      <c r="H818" s="17">
        <v>0.17</v>
      </c>
      <c r="I818" t="s">
        <v>1609</v>
      </c>
      <c r="J818" s="14">
        <v>707.02719999999999</v>
      </c>
      <c r="K818" s="14">
        <f t="shared" si="96"/>
        <v>405627.91143188474</v>
      </c>
      <c r="L818" s="14">
        <f t="shared" si="97"/>
        <v>405</v>
      </c>
      <c r="M818" s="14" t="str">
        <f t="shared" si="98"/>
        <v>08-04-2024</v>
      </c>
      <c r="N818" s="14">
        <f t="shared" si="99"/>
        <v>0.15630557150226043</v>
      </c>
      <c r="O818" s="20">
        <f t="shared" si="100"/>
        <v>2.4944288634899143</v>
      </c>
      <c r="P818" s="14">
        <f t="shared" si="101"/>
        <v>470.51533959465092</v>
      </c>
      <c r="Q818" s="14">
        <f t="shared" si="102"/>
        <v>231.0393</v>
      </c>
      <c r="R818" s="14" t="str">
        <f t="shared" si="103"/>
        <v>Apr</v>
      </c>
    </row>
    <row r="819" spans="1:18" x14ac:dyDescent="0.3">
      <c r="A819" t="s">
        <v>2428</v>
      </c>
      <c r="B819" s="1">
        <v>45406</v>
      </c>
      <c r="C819" t="s">
        <v>625</v>
      </c>
      <c r="D819" t="s">
        <v>1387</v>
      </c>
      <c r="E819" t="s">
        <v>1598</v>
      </c>
      <c r="F819">
        <v>3</v>
      </c>
      <c r="G819" s="14">
        <v>871.34</v>
      </c>
      <c r="H819" s="17">
        <v>0.11</v>
      </c>
      <c r="I819" t="s">
        <v>1614</v>
      </c>
      <c r="J819" s="14">
        <v>2326.4778000000001</v>
      </c>
      <c r="K819" s="14">
        <f t="shared" si="96"/>
        <v>404920.88423188479</v>
      </c>
      <c r="L819" s="14">
        <f t="shared" si="97"/>
        <v>404</v>
      </c>
      <c r="M819" s="14" t="str">
        <f t="shared" si="98"/>
        <v>24-04-2024</v>
      </c>
      <c r="N819" s="14">
        <f t="shared" si="99"/>
        <v>0.15629397588117852</v>
      </c>
      <c r="O819" s="20">
        <f t="shared" si="100"/>
        <v>2.4931540361092961</v>
      </c>
      <c r="P819" s="14">
        <f t="shared" si="101"/>
        <v>470.73342201598427</v>
      </c>
      <c r="Q819" s="14">
        <f t="shared" si="102"/>
        <v>800.2319500000001</v>
      </c>
      <c r="R819" s="14" t="str">
        <f t="shared" si="103"/>
        <v>Apr</v>
      </c>
    </row>
    <row r="820" spans="1:18" x14ac:dyDescent="0.3">
      <c r="A820" t="s">
        <v>2429</v>
      </c>
      <c r="B820" s="1">
        <v>45844</v>
      </c>
      <c r="C820" t="s">
        <v>356</v>
      </c>
      <c r="D820" t="s">
        <v>1521</v>
      </c>
      <c r="E820" t="s">
        <v>1537</v>
      </c>
      <c r="F820">
        <v>2</v>
      </c>
      <c r="G820" s="14">
        <v>698.94</v>
      </c>
      <c r="H820" s="17">
        <v>0.06</v>
      </c>
      <c r="I820" t="s">
        <v>1609</v>
      </c>
      <c r="J820" s="14">
        <v>1314.0072</v>
      </c>
      <c r="K820" s="14">
        <f t="shared" si="96"/>
        <v>404920.88423188479</v>
      </c>
      <c r="L820" s="14">
        <f t="shared" si="97"/>
        <v>404</v>
      </c>
      <c r="M820" s="14" t="str">
        <f t="shared" si="98"/>
        <v>06-07-2025</v>
      </c>
      <c r="N820" s="14">
        <f t="shared" si="99"/>
        <v>0.15633320806412865</v>
      </c>
      <c r="O820" s="20">
        <f t="shared" si="100"/>
        <v>2.4927245056314229</v>
      </c>
      <c r="P820" s="14">
        <f t="shared" si="101"/>
        <v>470.39392491599762</v>
      </c>
      <c r="Q820" s="14">
        <f t="shared" si="102"/>
        <v>503.7518</v>
      </c>
      <c r="R820" s="14" t="str">
        <f t="shared" si="103"/>
        <v>Jul</v>
      </c>
    </row>
    <row r="821" spans="1:18" x14ac:dyDescent="0.3">
      <c r="A821" t="s">
        <v>2430</v>
      </c>
      <c r="B821" s="1">
        <v>45697</v>
      </c>
      <c r="C821" t="s">
        <v>996</v>
      </c>
      <c r="D821" t="s">
        <v>1481</v>
      </c>
      <c r="E821" t="s">
        <v>1537</v>
      </c>
      <c r="F821">
        <v>1</v>
      </c>
      <c r="G821" s="14">
        <v>719.94</v>
      </c>
      <c r="H821" s="17">
        <v>0.23</v>
      </c>
      <c r="I821" t="s">
        <v>1614</v>
      </c>
      <c r="J821" s="14">
        <v>554.35380000000009</v>
      </c>
      <c r="K821" s="14">
        <f t="shared" si="96"/>
        <v>403606.87703188468</v>
      </c>
      <c r="L821" s="14">
        <f t="shared" si="97"/>
        <v>403</v>
      </c>
      <c r="M821" s="14" t="str">
        <f t="shared" si="98"/>
        <v>09-02-2025</v>
      </c>
      <c r="N821" s="14">
        <f t="shared" si="99"/>
        <v>0.15641491561973864</v>
      </c>
      <c r="O821" s="20">
        <f t="shared" si="100"/>
        <v>2.4931424229389978</v>
      </c>
      <c r="P821" s="14">
        <f t="shared" si="101"/>
        <v>470.20007752406894</v>
      </c>
      <c r="Q821" s="14">
        <f t="shared" si="102"/>
        <v>318.88095000000004</v>
      </c>
      <c r="R821" s="14" t="str">
        <f t="shared" si="103"/>
        <v>Feb</v>
      </c>
    </row>
    <row r="822" spans="1:18" x14ac:dyDescent="0.3">
      <c r="A822" t="s">
        <v>2431</v>
      </c>
      <c r="B822" s="1">
        <v>45607</v>
      </c>
      <c r="C822" t="s">
        <v>36</v>
      </c>
      <c r="D822" t="s">
        <v>1389</v>
      </c>
      <c r="E822" t="s">
        <v>1554</v>
      </c>
      <c r="F822">
        <v>2</v>
      </c>
      <c r="G822" s="14">
        <v>278.16000000000003</v>
      </c>
      <c r="H822" s="17">
        <v>0.22</v>
      </c>
      <c r="I822" t="s">
        <v>1611</v>
      </c>
      <c r="J822" s="14">
        <v>433.92960000000011</v>
      </c>
      <c r="K822" s="14">
        <f t="shared" si="96"/>
        <v>403606.87703188468</v>
      </c>
      <c r="L822" s="14">
        <f t="shared" si="97"/>
        <v>403</v>
      </c>
      <c r="M822" s="14" t="str">
        <f t="shared" si="98"/>
        <v>11-11-2024</v>
      </c>
      <c r="N822" s="14">
        <f t="shared" si="99"/>
        <v>0.1563524495039659</v>
      </c>
      <c r="O822" s="20">
        <f t="shared" si="100"/>
        <v>2.4944099462182328</v>
      </c>
      <c r="P822" s="14">
        <f t="shared" si="101"/>
        <v>469.98807419429306</v>
      </c>
      <c r="Q822" s="14">
        <f t="shared" si="102"/>
        <v>178.57740000000004</v>
      </c>
      <c r="R822" s="14" t="str">
        <f t="shared" si="103"/>
        <v>Nov</v>
      </c>
    </row>
    <row r="823" spans="1:18" x14ac:dyDescent="0.3">
      <c r="A823" t="s">
        <v>2432</v>
      </c>
      <c r="B823" s="1">
        <v>45307</v>
      </c>
      <c r="C823" t="s">
        <v>202</v>
      </c>
      <c r="D823" t="s">
        <v>1431</v>
      </c>
      <c r="E823" t="s">
        <v>1558</v>
      </c>
      <c r="F823">
        <v>1</v>
      </c>
      <c r="G823" s="14">
        <v>678.9</v>
      </c>
      <c r="H823" s="17">
        <v>0.17</v>
      </c>
      <c r="I823" t="s">
        <v>1609</v>
      </c>
      <c r="J823" s="14">
        <v>563.48699999999997</v>
      </c>
      <c r="K823" s="14">
        <f t="shared" si="96"/>
        <v>403606.87703188468</v>
      </c>
      <c r="L823" s="14">
        <f t="shared" si="97"/>
        <v>403</v>
      </c>
      <c r="M823" s="14" t="str">
        <f t="shared" si="98"/>
        <v>16-01-2024</v>
      </c>
      <c r="N823" s="14">
        <f t="shared" si="99"/>
        <v>0.15629837342028194</v>
      </c>
      <c r="O823" s="20">
        <f t="shared" si="100"/>
        <v>2.4948300056457766</v>
      </c>
      <c r="P823" s="14">
        <f t="shared" si="101"/>
        <v>470.15105471612333</v>
      </c>
      <c r="Q823" s="14">
        <f t="shared" si="102"/>
        <v>310.88924999999995</v>
      </c>
      <c r="R823" s="14" t="str">
        <f t="shared" si="103"/>
        <v>Jan</v>
      </c>
    </row>
    <row r="824" spans="1:18" x14ac:dyDescent="0.3">
      <c r="A824" t="s">
        <v>2433</v>
      </c>
      <c r="B824" s="1">
        <v>45520</v>
      </c>
      <c r="C824" t="s">
        <v>71</v>
      </c>
      <c r="D824" t="s">
        <v>1383</v>
      </c>
      <c r="E824" t="s">
        <v>1586</v>
      </c>
      <c r="F824">
        <v>4</v>
      </c>
      <c r="G824" s="14">
        <v>94.13</v>
      </c>
      <c r="H824" s="17">
        <v>0.15</v>
      </c>
      <c r="I824" t="s">
        <v>1609</v>
      </c>
      <c r="J824" s="14">
        <v>320.04199999999997</v>
      </c>
      <c r="K824" s="14">
        <f t="shared" si="96"/>
        <v>403043.39003188472</v>
      </c>
      <c r="L824" s="14">
        <f t="shared" si="97"/>
        <v>402</v>
      </c>
      <c r="M824" s="14" t="str">
        <f t="shared" si="98"/>
        <v>16-08-2024</v>
      </c>
      <c r="N824" s="14">
        <f t="shared" si="99"/>
        <v>0.15628672237727201</v>
      </c>
      <c r="O824" s="20">
        <f t="shared" si="100"/>
        <v>2.4961011195961555</v>
      </c>
      <c r="P824" s="14">
        <f t="shared" si="101"/>
        <v>469.97354710958939</v>
      </c>
      <c r="Q824" s="14">
        <f t="shared" si="102"/>
        <v>104.5805</v>
      </c>
      <c r="R824" s="14" t="str">
        <f t="shared" si="103"/>
        <v>Aug</v>
      </c>
    </row>
    <row r="825" spans="1:18" x14ac:dyDescent="0.3">
      <c r="A825" t="s">
        <v>2434</v>
      </c>
      <c r="B825" s="1">
        <v>45933</v>
      </c>
      <c r="C825" t="s">
        <v>1262</v>
      </c>
      <c r="D825" t="s">
        <v>1421</v>
      </c>
      <c r="E825" t="s">
        <v>1542</v>
      </c>
      <c r="F825">
        <v>4</v>
      </c>
      <c r="G825" s="14">
        <v>415.02</v>
      </c>
      <c r="H825" s="17">
        <v>0.01</v>
      </c>
      <c r="I825" t="s">
        <v>1611</v>
      </c>
      <c r="J825" s="14">
        <v>1643.4792</v>
      </c>
      <c r="K825" s="14">
        <f t="shared" si="96"/>
        <v>402723.34803188476</v>
      </c>
      <c r="L825" s="14">
        <f t="shared" si="97"/>
        <v>401</v>
      </c>
      <c r="M825" s="14" t="str">
        <f t="shared" si="98"/>
        <v>03-10-2025</v>
      </c>
      <c r="N825" s="14">
        <f t="shared" si="99"/>
        <v>0.15629207277929519</v>
      </c>
      <c r="O825" s="20">
        <f t="shared" si="100"/>
        <v>2.494821205655386</v>
      </c>
      <c r="P825" s="14">
        <f t="shared" si="101"/>
        <v>470.2934139581933</v>
      </c>
      <c r="Q825" s="14">
        <f t="shared" si="102"/>
        <v>515.62729999999999</v>
      </c>
      <c r="R825" s="14" t="str">
        <f t="shared" si="103"/>
        <v>Oct</v>
      </c>
    </row>
    <row r="826" spans="1:18" x14ac:dyDescent="0.3">
      <c r="A826" t="s">
        <v>2435</v>
      </c>
      <c r="B826" s="1">
        <v>45841</v>
      </c>
      <c r="C826" t="s">
        <v>195</v>
      </c>
      <c r="D826" t="s">
        <v>1355</v>
      </c>
      <c r="E826" t="s">
        <v>1554</v>
      </c>
      <c r="F826">
        <v>4</v>
      </c>
      <c r="G826" s="14">
        <v>780.07</v>
      </c>
      <c r="H826" s="17">
        <v>0.03</v>
      </c>
      <c r="I826" t="s">
        <v>1609</v>
      </c>
      <c r="J826" s="14">
        <v>3026.6716000000001</v>
      </c>
      <c r="K826" s="14">
        <f t="shared" si="96"/>
        <v>402723.34803188476</v>
      </c>
      <c r="L826" s="14">
        <f t="shared" si="97"/>
        <v>401</v>
      </c>
      <c r="M826" s="14" t="str">
        <f t="shared" si="98"/>
        <v>03-07-2025</v>
      </c>
      <c r="N826" s="14">
        <f t="shared" si="99"/>
        <v>0.15641668272203735</v>
      </c>
      <c r="O826" s="20">
        <f t="shared" si="100"/>
        <v>2.4935391112820087</v>
      </c>
      <c r="P826" s="14">
        <f t="shared" si="101"/>
        <v>470.3404952307302</v>
      </c>
      <c r="Q826" s="14">
        <f t="shared" si="102"/>
        <v>952.69290000000001</v>
      </c>
      <c r="R826" s="14" t="str">
        <f t="shared" si="103"/>
        <v>Jul</v>
      </c>
    </row>
    <row r="827" spans="1:18" x14ac:dyDescent="0.3">
      <c r="A827" t="s">
        <v>2436</v>
      </c>
      <c r="B827" s="1">
        <v>45877</v>
      </c>
      <c r="C827" t="s">
        <v>1249</v>
      </c>
      <c r="D827" t="s">
        <v>1407</v>
      </c>
      <c r="E827" t="s">
        <v>1586</v>
      </c>
      <c r="F827">
        <v>4</v>
      </c>
      <c r="G827" s="14">
        <v>184.57</v>
      </c>
      <c r="H827" s="17">
        <v>0.28000000000000003</v>
      </c>
      <c r="I827" t="s">
        <v>1609</v>
      </c>
      <c r="J827" s="14">
        <v>531.5616</v>
      </c>
      <c r="K827" s="14">
        <f t="shared" si="96"/>
        <v>399696.6764318847</v>
      </c>
      <c r="L827" s="14">
        <f t="shared" si="97"/>
        <v>400</v>
      </c>
      <c r="M827" s="14" t="str">
        <f t="shared" si="98"/>
        <v>08-08-2025</v>
      </c>
      <c r="N827" s="14">
        <f t="shared" si="99"/>
        <v>0.15652445483006977</v>
      </c>
      <c r="O827" s="20">
        <f t="shared" si="100"/>
        <v>2.4922548308994701</v>
      </c>
      <c r="P827" s="14">
        <f t="shared" si="101"/>
        <v>470.07644620705639</v>
      </c>
      <c r="Q827" s="14">
        <f t="shared" si="102"/>
        <v>180.10290000000001</v>
      </c>
      <c r="R827" s="14" t="str">
        <f t="shared" si="103"/>
        <v>Aug</v>
      </c>
    </row>
    <row r="828" spans="1:18" x14ac:dyDescent="0.3">
      <c r="A828" t="s">
        <v>2437</v>
      </c>
      <c r="B828" s="1">
        <v>45532</v>
      </c>
      <c r="C828" t="s">
        <v>911</v>
      </c>
      <c r="D828" t="s">
        <v>1463</v>
      </c>
      <c r="E828" t="s">
        <v>1554</v>
      </c>
      <c r="F828">
        <v>4</v>
      </c>
      <c r="G828" s="14">
        <v>277.58</v>
      </c>
      <c r="H828" s="17">
        <v>0.22</v>
      </c>
      <c r="I828" t="s">
        <v>1611</v>
      </c>
      <c r="J828" s="14">
        <v>866.04959999999994</v>
      </c>
      <c r="K828" s="14">
        <f t="shared" si="96"/>
        <v>399165.11483188468</v>
      </c>
      <c r="L828" s="14">
        <f t="shared" si="97"/>
        <v>399</v>
      </c>
      <c r="M828" s="14" t="str">
        <f t="shared" si="98"/>
        <v>28-08-2024</v>
      </c>
      <c r="N828" s="14">
        <f t="shared" si="99"/>
        <v>0.15641910026934461</v>
      </c>
      <c r="O828" s="20">
        <f t="shared" si="100"/>
        <v>2.4909683589121827</v>
      </c>
      <c r="P828" s="14">
        <f t="shared" si="101"/>
        <v>470.32005238982697</v>
      </c>
      <c r="Q828" s="14">
        <f t="shared" si="102"/>
        <v>286.9624</v>
      </c>
      <c r="R828" s="14" t="str">
        <f t="shared" si="103"/>
        <v>Aug</v>
      </c>
    </row>
    <row r="829" spans="1:18" x14ac:dyDescent="0.3">
      <c r="A829" t="s">
        <v>2438</v>
      </c>
      <c r="B829" s="1">
        <v>45734</v>
      </c>
      <c r="C829" t="s">
        <v>369</v>
      </c>
      <c r="D829" t="s">
        <v>1395</v>
      </c>
      <c r="E829" t="s">
        <v>1551</v>
      </c>
      <c r="F829">
        <v>1</v>
      </c>
      <c r="G829" s="14">
        <v>36.799999999999997</v>
      </c>
      <c r="H829" s="17">
        <v>0.18</v>
      </c>
      <c r="I829" t="s">
        <v>1609</v>
      </c>
      <c r="J829" s="14">
        <v>30.175999999999998</v>
      </c>
      <c r="K829" s="14">
        <f t="shared" si="96"/>
        <v>399165.11483188468</v>
      </c>
      <c r="L829" s="14">
        <f t="shared" si="97"/>
        <v>399</v>
      </c>
      <c r="M829" s="14" t="str">
        <f t="shared" si="98"/>
        <v>18-03-2025</v>
      </c>
      <c r="N829" s="14">
        <f t="shared" si="99"/>
        <v>0.15636480402704686</v>
      </c>
      <c r="O829" s="20">
        <f t="shared" si="100"/>
        <v>2.4896796897054472</v>
      </c>
      <c r="P829" s="14">
        <f t="shared" si="101"/>
        <v>470.48464679835786</v>
      </c>
      <c r="Q829" s="14">
        <f t="shared" si="102"/>
        <v>17.038999999999998</v>
      </c>
      <c r="R829" s="14" t="str">
        <f t="shared" si="103"/>
        <v>Mar</v>
      </c>
    </row>
    <row r="830" spans="1:18" x14ac:dyDescent="0.3">
      <c r="A830" t="s">
        <v>2439</v>
      </c>
      <c r="B830" s="1">
        <v>45809</v>
      </c>
      <c r="C830" t="s">
        <v>1115</v>
      </c>
      <c r="D830" t="s">
        <v>1509</v>
      </c>
      <c r="E830" t="s">
        <v>1561</v>
      </c>
      <c r="F830">
        <v>1</v>
      </c>
      <c r="G830" s="14">
        <v>539.37</v>
      </c>
      <c r="H830" s="17">
        <v>0.14000000000000001</v>
      </c>
      <c r="I830" t="s">
        <v>1609</v>
      </c>
      <c r="J830" s="14">
        <v>463.85820000000001</v>
      </c>
      <c r="K830" s="14">
        <f t="shared" si="96"/>
        <v>399134.9388318847</v>
      </c>
      <c r="L830" s="14">
        <f t="shared" si="97"/>
        <v>398</v>
      </c>
      <c r="M830" s="14" t="str">
        <f t="shared" si="98"/>
        <v>01-06-2025</v>
      </c>
      <c r="N830" s="14">
        <f t="shared" si="99"/>
        <v>0.15634460300484773</v>
      </c>
      <c r="O830" s="20">
        <f t="shared" si="100"/>
        <v>2.4909529202094687</v>
      </c>
      <c r="P830" s="14">
        <f t="shared" si="101"/>
        <v>470.85531743664711</v>
      </c>
      <c r="Q830" s="14">
        <f t="shared" si="102"/>
        <v>251.09205</v>
      </c>
      <c r="R830" s="14" t="str">
        <f t="shared" si="103"/>
        <v>Jun</v>
      </c>
    </row>
    <row r="831" spans="1:18" x14ac:dyDescent="0.3">
      <c r="A831" t="s">
        <v>2440</v>
      </c>
      <c r="B831" s="1">
        <v>45760</v>
      </c>
      <c r="C831" t="s">
        <v>321</v>
      </c>
      <c r="D831" t="s">
        <v>1373</v>
      </c>
      <c r="E831" t="s">
        <v>1595</v>
      </c>
      <c r="F831">
        <v>1</v>
      </c>
      <c r="G831" s="14">
        <v>27.83</v>
      </c>
      <c r="H831" s="17">
        <v>0.3</v>
      </c>
      <c r="I831" t="s">
        <v>1611</v>
      </c>
      <c r="J831" s="14">
        <v>19.481000000000002</v>
      </c>
      <c r="K831" s="14">
        <f t="shared" si="96"/>
        <v>398671.08063188469</v>
      </c>
      <c r="L831" s="14">
        <f t="shared" si="97"/>
        <v>397</v>
      </c>
      <c r="M831" s="14" t="str">
        <f t="shared" si="98"/>
        <v>13-04-2025</v>
      </c>
      <c r="N831" s="14">
        <f t="shared" si="99"/>
        <v>0.15635858470117356</v>
      </c>
      <c r="O831" s="20">
        <f t="shared" si="100"/>
        <v>2.4922283290377059</v>
      </c>
      <c r="P831" s="14">
        <f t="shared" si="101"/>
        <v>470.79670778518147</v>
      </c>
      <c r="Q831" s="14">
        <f t="shared" si="102"/>
        <v>12.152750000000001</v>
      </c>
      <c r="R831" s="14" t="str">
        <f t="shared" si="103"/>
        <v>Apr</v>
      </c>
    </row>
    <row r="832" spans="1:18" x14ac:dyDescent="0.3">
      <c r="A832" t="s">
        <v>2441</v>
      </c>
      <c r="B832" s="1">
        <v>45456</v>
      </c>
      <c r="C832" t="s">
        <v>899</v>
      </c>
      <c r="D832" t="s">
        <v>1473</v>
      </c>
      <c r="E832" t="s">
        <v>1554</v>
      </c>
      <c r="F832">
        <v>3</v>
      </c>
      <c r="G832" s="14">
        <v>698.72</v>
      </c>
      <c r="H832" s="17">
        <v>0.28000000000000003</v>
      </c>
      <c r="I832" t="s">
        <v>1614</v>
      </c>
      <c r="J832" s="14">
        <v>1509.2352000000001</v>
      </c>
      <c r="K832" s="14">
        <f t="shared" si="96"/>
        <v>398671.08063188469</v>
      </c>
      <c r="L832" s="14">
        <f t="shared" si="97"/>
        <v>397</v>
      </c>
      <c r="M832" s="14" t="str">
        <f t="shared" si="98"/>
        <v>13-06-2024</v>
      </c>
      <c r="N832" s="14">
        <f t="shared" si="99"/>
        <v>0.15623560403739029</v>
      </c>
      <c r="O832" s="20">
        <f t="shared" si="100"/>
        <v>2.4935059217851698</v>
      </c>
      <c r="P832" s="14">
        <f t="shared" si="101"/>
        <v>471.1759601034907</v>
      </c>
      <c r="Q832" s="14">
        <f t="shared" si="102"/>
        <v>552.80880000000002</v>
      </c>
      <c r="R832" s="14" t="str">
        <f t="shared" si="103"/>
        <v>Jun</v>
      </c>
    </row>
    <row r="833" spans="1:18" x14ac:dyDescent="0.3">
      <c r="A833" t="s">
        <v>2442</v>
      </c>
      <c r="B833" s="1">
        <v>45698</v>
      </c>
      <c r="C833" t="s">
        <v>59</v>
      </c>
      <c r="D833" t="s">
        <v>1485</v>
      </c>
      <c r="E833" t="s">
        <v>1582</v>
      </c>
      <c r="F833">
        <v>4</v>
      </c>
      <c r="G833" s="14">
        <v>528.23</v>
      </c>
      <c r="H833" s="17">
        <v>0.15</v>
      </c>
      <c r="I833" t="s">
        <v>1614</v>
      </c>
      <c r="J833" s="14">
        <v>1795.982</v>
      </c>
      <c r="K833" s="14">
        <f t="shared" si="96"/>
        <v>398671.08063188469</v>
      </c>
      <c r="L833" s="14">
        <f t="shared" si="97"/>
        <v>397</v>
      </c>
      <c r="M833" s="14" t="str">
        <f t="shared" si="98"/>
        <v>10-02-2025</v>
      </c>
      <c r="N833" s="14">
        <f t="shared" si="99"/>
        <v>0.15612955057041292</v>
      </c>
      <c r="O833" s="20">
        <f t="shared" si="100"/>
        <v>2.4930719080077792</v>
      </c>
      <c r="P833" s="14">
        <f t="shared" si="101"/>
        <v>470.980978064162</v>
      </c>
      <c r="Q833" s="14">
        <f t="shared" si="102"/>
        <v>582.09050000000002</v>
      </c>
      <c r="R833" s="14" t="str">
        <f t="shared" si="103"/>
        <v>Feb</v>
      </c>
    </row>
    <row r="834" spans="1:18" x14ac:dyDescent="0.3">
      <c r="A834" t="s">
        <v>2443</v>
      </c>
      <c r="B834" s="1">
        <v>45548</v>
      </c>
      <c r="C834" t="s">
        <v>1313</v>
      </c>
      <c r="D834" t="s">
        <v>1425</v>
      </c>
      <c r="E834" t="s">
        <v>1589</v>
      </c>
      <c r="F834">
        <v>2</v>
      </c>
      <c r="G834" s="14">
        <v>780.9</v>
      </c>
      <c r="H834" s="17">
        <v>0.24</v>
      </c>
      <c r="I834" t="s">
        <v>1611</v>
      </c>
      <c r="J834" s="14">
        <v>1186.9680000000001</v>
      </c>
      <c r="K834" s="14">
        <f t="shared" ref="K834:K897" si="104">SUMIF(I834:I2833,"Credit Card",J834:J2833)</f>
        <v>398671.08063188469</v>
      </c>
      <c r="L834" s="14">
        <f t="shared" ref="L834:L897" si="105">COUNTIF(I834:I2833,"Credit Card")</f>
        <v>397</v>
      </c>
      <c r="M834" s="14" t="str">
        <f t="shared" ref="M834:M897" si="106">TEXT(B834:B2833,"dd-mm-yyyy")</f>
        <v>13-09-2024</v>
      </c>
      <c r="N834" s="14">
        <f t="shared" ref="N834:N897" si="107">AVERAGE(H834:H2833)</f>
        <v>0.1561348074748472</v>
      </c>
      <c r="O834" s="20">
        <f t="shared" ref="O834:O897" si="108">AVERAGE(F834:F2833)</f>
        <v>2.4917795168482662</v>
      </c>
      <c r="P834" s="14">
        <f t="shared" ref="P834:P897" si="109">AVERAGE(G834:G2833)</f>
        <v>470.93187941756185</v>
      </c>
      <c r="Q834" s="14">
        <f t="shared" ref="Q834:Q897" si="110">AVERAGE(F834,G834,H834,J834)</f>
        <v>492.52700000000004</v>
      </c>
      <c r="R834" s="14" t="str">
        <f t="shared" ref="R834:R897" si="111">TEXT(M834,"mmm")</f>
        <v>Sep</v>
      </c>
    </row>
    <row r="835" spans="1:18" x14ac:dyDescent="0.3">
      <c r="A835" t="s">
        <v>2444</v>
      </c>
      <c r="B835" s="1">
        <v>45236</v>
      </c>
      <c r="C835" t="s">
        <v>595</v>
      </c>
      <c r="D835" t="s">
        <v>1375</v>
      </c>
      <c r="E835" t="s">
        <v>1584</v>
      </c>
      <c r="F835">
        <v>1</v>
      </c>
      <c r="G835" s="14">
        <v>977.97</v>
      </c>
      <c r="H835" s="17">
        <v>0.06</v>
      </c>
      <c r="I835" t="s">
        <v>1614</v>
      </c>
      <c r="J835" s="14">
        <v>919.29179999999997</v>
      </c>
      <c r="K835" s="14">
        <f t="shared" si="104"/>
        <v>398671.08063188469</v>
      </c>
      <c r="L835" s="14">
        <f t="shared" si="105"/>
        <v>397</v>
      </c>
      <c r="M835" s="14" t="str">
        <f t="shared" si="106"/>
        <v>06-11-2023</v>
      </c>
      <c r="N835" s="14">
        <f t="shared" si="107"/>
        <v>0.15606282018512604</v>
      </c>
      <c r="O835" s="20">
        <f t="shared" si="108"/>
        <v>2.4922016451889091</v>
      </c>
      <c r="P835" s="14">
        <f t="shared" si="109"/>
        <v>470.66581236126774</v>
      </c>
      <c r="Q835" s="14">
        <f t="shared" si="110"/>
        <v>474.58044999999998</v>
      </c>
      <c r="R835" s="14" t="str">
        <f t="shared" si="111"/>
        <v>Nov</v>
      </c>
    </row>
    <row r="836" spans="1:18" x14ac:dyDescent="0.3">
      <c r="A836" t="s">
        <v>2445</v>
      </c>
      <c r="B836" s="1">
        <v>45310</v>
      </c>
      <c r="C836" t="s">
        <v>1154</v>
      </c>
      <c r="D836" t="s">
        <v>1499</v>
      </c>
      <c r="E836" t="s">
        <v>1579</v>
      </c>
      <c r="F836">
        <v>4</v>
      </c>
      <c r="G836" s="14">
        <v>354.65</v>
      </c>
      <c r="H836" s="17">
        <v>0.19</v>
      </c>
      <c r="I836" t="s">
        <v>1609</v>
      </c>
      <c r="J836" s="14">
        <v>1149.066</v>
      </c>
      <c r="K836" s="14">
        <f t="shared" si="104"/>
        <v>398671.08063188469</v>
      </c>
      <c r="L836" s="14">
        <f t="shared" si="105"/>
        <v>397</v>
      </c>
      <c r="M836" s="14" t="str">
        <f t="shared" si="106"/>
        <v>19-01-2024</v>
      </c>
      <c r="N836" s="14">
        <f t="shared" si="107"/>
        <v>0.15614534838116137</v>
      </c>
      <c r="O836" s="20">
        <f t="shared" si="108"/>
        <v>2.4934836053651881</v>
      </c>
      <c r="P836" s="14">
        <f t="shared" si="109"/>
        <v>470.22998402137205</v>
      </c>
      <c r="Q836" s="14">
        <f t="shared" si="110"/>
        <v>376.97649999999999</v>
      </c>
      <c r="R836" s="14" t="str">
        <f t="shared" si="111"/>
        <v>Jan</v>
      </c>
    </row>
    <row r="837" spans="1:18" x14ac:dyDescent="0.3">
      <c r="A837" t="s">
        <v>2446</v>
      </c>
      <c r="B837" s="1">
        <v>45376</v>
      </c>
      <c r="C837" t="s">
        <v>899</v>
      </c>
      <c r="D837" t="s">
        <v>1469</v>
      </c>
      <c r="E837" t="s">
        <v>1598</v>
      </c>
      <c r="F837">
        <v>1</v>
      </c>
      <c r="G837" s="14">
        <v>671.62</v>
      </c>
      <c r="H837" s="17">
        <v>0.09</v>
      </c>
      <c r="I837" t="s">
        <v>1614</v>
      </c>
      <c r="J837" s="14">
        <v>611.17420000000004</v>
      </c>
      <c r="K837" s="14">
        <f t="shared" si="104"/>
        <v>397522.0146318847</v>
      </c>
      <c r="L837" s="14">
        <f t="shared" si="105"/>
        <v>396</v>
      </c>
      <c r="M837" s="14" t="str">
        <f t="shared" si="106"/>
        <v>25-03-2024</v>
      </c>
      <c r="N837" s="14">
        <f t="shared" si="107"/>
        <v>0.15611623862052612</v>
      </c>
      <c r="O837" s="20">
        <f t="shared" si="108"/>
        <v>2.4921882344325694</v>
      </c>
      <c r="P837" s="14">
        <f t="shared" si="109"/>
        <v>470.32936491906884</v>
      </c>
      <c r="Q837" s="14">
        <f t="shared" si="110"/>
        <v>320.97104999999999</v>
      </c>
      <c r="R837" s="14" t="str">
        <f t="shared" si="111"/>
        <v>Mar</v>
      </c>
    </row>
    <row r="838" spans="1:18" x14ac:dyDescent="0.3">
      <c r="A838" t="s">
        <v>2447</v>
      </c>
      <c r="B838" s="1">
        <v>45914</v>
      </c>
      <c r="C838" t="s">
        <v>999</v>
      </c>
      <c r="D838" t="s">
        <v>1497</v>
      </c>
      <c r="E838" t="s">
        <v>1551</v>
      </c>
      <c r="F838">
        <v>1</v>
      </c>
      <c r="G838" s="14">
        <v>867.32</v>
      </c>
      <c r="H838" s="17">
        <v>0.28999999999999998</v>
      </c>
      <c r="I838" t="s">
        <v>1611</v>
      </c>
      <c r="J838" s="14">
        <v>615.79719999999998</v>
      </c>
      <c r="K838" s="14">
        <f t="shared" si="104"/>
        <v>397522.0146318847</v>
      </c>
      <c r="L838" s="14">
        <f t="shared" si="105"/>
        <v>396</v>
      </c>
      <c r="M838" s="14" t="str">
        <f t="shared" si="106"/>
        <v>14-09-2025</v>
      </c>
      <c r="N838" s="14">
        <f t="shared" si="107"/>
        <v>0.15617313727682605</v>
      </c>
      <c r="O838" s="20">
        <f t="shared" si="108"/>
        <v>2.4934723895396549</v>
      </c>
      <c r="P838" s="14">
        <f t="shared" si="109"/>
        <v>470.15613717803524</v>
      </c>
      <c r="Q838" s="14">
        <f t="shared" si="110"/>
        <v>371.10180000000003</v>
      </c>
      <c r="R838" s="14" t="str">
        <f t="shared" si="111"/>
        <v>Sep</v>
      </c>
    </row>
    <row r="839" spans="1:18" x14ac:dyDescent="0.3">
      <c r="A839" t="s">
        <v>2448</v>
      </c>
      <c r="B839" s="1">
        <v>45336</v>
      </c>
      <c r="C839" t="s">
        <v>295</v>
      </c>
      <c r="D839" t="s">
        <v>1353</v>
      </c>
      <c r="E839" t="s">
        <v>1579</v>
      </c>
      <c r="F839">
        <v>3</v>
      </c>
      <c r="G839" s="14">
        <v>240.27</v>
      </c>
      <c r="H839" s="17">
        <v>0.15</v>
      </c>
      <c r="I839" t="s">
        <v>1611</v>
      </c>
      <c r="J839" s="14">
        <v>612.68850000000009</v>
      </c>
      <c r="K839" s="14">
        <f t="shared" si="104"/>
        <v>397522.0146318847</v>
      </c>
      <c r="L839" s="14">
        <f t="shared" si="105"/>
        <v>396</v>
      </c>
      <c r="M839" s="14" t="str">
        <f t="shared" si="106"/>
        <v>14-02-2024</v>
      </c>
      <c r="N839" s="14">
        <f t="shared" si="107"/>
        <v>0.15605786866121607</v>
      </c>
      <c r="O839" s="20">
        <f t="shared" si="108"/>
        <v>2.4947587568002403</v>
      </c>
      <c r="P839" s="14">
        <f t="shared" si="109"/>
        <v>469.8140494408932</v>
      </c>
      <c r="Q839" s="14">
        <f t="shared" si="110"/>
        <v>214.02712500000001</v>
      </c>
      <c r="R839" s="14" t="str">
        <f t="shared" si="111"/>
        <v>Feb</v>
      </c>
    </row>
    <row r="840" spans="1:18" x14ac:dyDescent="0.3">
      <c r="A840" t="s">
        <v>2449</v>
      </c>
      <c r="B840" s="1">
        <v>45728</v>
      </c>
      <c r="C840" t="s">
        <v>275</v>
      </c>
      <c r="D840" t="s">
        <v>1389</v>
      </c>
      <c r="E840" t="s">
        <v>1589</v>
      </c>
      <c r="F840">
        <v>2</v>
      </c>
      <c r="G840" s="14">
        <v>619.12</v>
      </c>
      <c r="H840" s="17">
        <v>0.28000000000000003</v>
      </c>
      <c r="I840" t="s">
        <v>1614</v>
      </c>
      <c r="J840" s="14">
        <v>891.53279999999995</v>
      </c>
      <c r="K840" s="14">
        <f t="shared" si="104"/>
        <v>397522.0146318847</v>
      </c>
      <c r="L840" s="14">
        <f t="shared" si="105"/>
        <v>396</v>
      </c>
      <c r="M840" s="14" t="str">
        <f t="shared" si="106"/>
        <v>12-03-2025</v>
      </c>
      <c r="N840" s="14">
        <f t="shared" si="107"/>
        <v>0.15606309096178608</v>
      </c>
      <c r="O840" s="20">
        <f t="shared" si="108"/>
        <v>2.4943232040043783</v>
      </c>
      <c r="P840" s="14">
        <f t="shared" si="109"/>
        <v>470.01193224213534</v>
      </c>
      <c r="Q840" s="14">
        <f t="shared" si="110"/>
        <v>378.23320000000001</v>
      </c>
      <c r="R840" s="14" t="str">
        <f t="shared" si="111"/>
        <v>Mar</v>
      </c>
    </row>
    <row r="841" spans="1:18" x14ac:dyDescent="0.3">
      <c r="A841" t="s">
        <v>2450</v>
      </c>
      <c r="B841" s="1">
        <v>45755</v>
      </c>
      <c r="C841" t="s">
        <v>693</v>
      </c>
      <c r="D841" t="s">
        <v>1507</v>
      </c>
      <c r="E841" t="s">
        <v>1537</v>
      </c>
      <c r="F841">
        <v>3</v>
      </c>
      <c r="G841" s="14">
        <v>693.42</v>
      </c>
      <c r="H841" s="17">
        <v>0.08</v>
      </c>
      <c r="I841" t="s">
        <v>1611</v>
      </c>
      <c r="J841" s="14">
        <v>1913.8391999999999</v>
      </c>
      <c r="K841" s="14">
        <f t="shared" si="104"/>
        <v>397522.0146318847</v>
      </c>
      <c r="L841" s="14">
        <f t="shared" si="105"/>
        <v>396</v>
      </c>
      <c r="M841" s="14" t="str">
        <f t="shared" si="106"/>
        <v>08-04-2025</v>
      </c>
      <c r="N841" s="14">
        <f t="shared" si="107"/>
        <v>0.15595615661403953</v>
      </c>
      <c r="O841" s="20">
        <f t="shared" si="108"/>
        <v>2.4947497123771174</v>
      </c>
      <c r="P841" s="14">
        <f t="shared" si="109"/>
        <v>469.88327989721904</v>
      </c>
      <c r="Q841" s="14">
        <f t="shared" si="110"/>
        <v>652.58479999999997</v>
      </c>
      <c r="R841" s="14" t="str">
        <f t="shared" si="111"/>
        <v>Apr</v>
      </c>
    </row>
    <row r="842" spans="1:18" x14ac:dyDescent="0.3">
      <c r="A842" t="s">
        <v>2451</v>
      </c>
      <c r="B842" s="1">
        <v>45695</v>
      </c>
      <c r="C842" t="s">
        <v>381</v>
      </c>
      <c r="D842" t="s">
        <v>1429</v>
      </c>
      <c r="E842" t="s">
        <v>1574</v>
      </c>
      <c r="F842">
        <v>4</v>
      </c>
      <c r="G842" s="14">
        <v>751.63</v>
      </c>
      <c r="H842" s="17">
        <v>0.28000000000000003</v>
      </c>
      <c r="I842" t="s">
        <v>1614</v>
      </c>
      <c r="J842" s="14">
        <v>2164.6943999999999</v>
      </c>
      <c r="K842" s="14">
        <f t="shared" si="104"/>
        <v>397522.0146318847</v>
      </c>
      <c r="L842" s="14">
        <f t="shared" si="105"/>
        <v>396</v>
      </c>
      <c r="M842" s="14" t="str">
        <f t="shared" si="106"/>
        <v>07-02-2025</v>
      </c>
      <c r="N842" s="14">
        <f t="shared" si="107"/>
        <v>0.15602174914997569</v>
      </c>
      <c r="O842" s="20">
        <f t="shared" si="108"/>
        <v>2.4943133995207929</v>
      </c>
      <c r="P842" s="14">
        <f t="shared" si="109"/>
        <v>469.69024300593856</v>
      </c>
      <c r="Q842" s="14">
        <f t="shared" si="110"/>
        <v>730.15109999999993</v>
      </c>
      <c r="R842" s="14" t="str">
        <f t="shared" si="111"/>
        <v>Feb</v>
      </c>
    </row>
    <row r="843" spans="1:18" x14ac:dyDescent="0.3">
      <c r="A843" t="s">
        <v>2452</v>
      </c>
      <c r="B843" s="1">
        <v>45380</v>
      </c>
      <c r="C843" t="s">
        <v>387</v>
      </c>
      <c r="D843" t="s">
        <v>1395</v>
      </c>
      <c r="E843" t="s">
        <v>1586</v>
      </c>
      <c r="F843">
        <v>3</v>
      </c>
      <c r="G843" s="14">
        <v>108.14</v>
      </c>
      <c r="H843" s="17">
        <v>0.19</v>
      </c>
      <c r="I843" t="s">
        <v>1614</v>
      </c>
      <c r="J843" s="14">
        <v>262.78019999999998</v>
      </c>
      <c r="K843" s="14">
        <f t="shared" si="104"/>
        <v>397522.0146318847</v>
      </c>
      <c r="L843" s="14">
        <f t="shared" si="105"/>
        <v>396</v>
      </c>
      <c r="M843" s="14" t="str">
        <f t="shared" si="106"/>
        <v>29-03-2024</v>
      </c>
      <c r="N843" s="14">
        <f t="shared" si="107"/>
        <v>0.15591459422270684</v>
      </c>
      <c r="O843" s="20">
        <f t="shared" si="108"/>
        <v>2.4930120282152801</v>
      </c>
      <c r="P843" s="14">
        <f t="shared" si="109"/>
        <v>469.44656127992823</v>
      </c>
      <c r="Q843" s="14">
        <f t="shared" si="110"/>
        <v>93.527549999999991</v>
      </c>
      <c r="R843" s="14" t="str">
        <f t="shared" si="111"/>
        <v>Mar</v>
      </c>
    </row>
    <row r="844" spans="1:18" x14ac:dyDescent="0.3">
      <c r="A844" t="s">
        <v>2453</v>
      </c>
      <c r="B844" s="1">
        <v>45446</v>
      </c>
      <c r="C844" t="s">
        <v>818</v>
      </c>
      <c r="D844" t="s">
        <v>1387</v>
      </c>
      <c r="E844" t="s">
        <v>1554</v>
      </c>
      <c r="F844">
        <v>1</v>
      </c>
      <c r="G844" s="14">
        <v>964.11</v>
      </c>
      <c r="H844" s="17">
        <v>0.17</v>
      </c>
      <c r="I844" t="s">
        <v>1614</v>
      </c>
      <c r="J844" s="14">
        <v>800.21129999999994</v>
      </c>
      <c r="K844" s="14">
        <f t="shared" si="104"/>
        <v>397522.0146318847</v>
      </c>
      <c r="L844" s="14">
        <f t="shared" si="105"/>
        <v>396</v>
      </c>
      <c r="M844" s="14" t="str">
        <f t="shared" si="106"/>
        <v>03-06-2024</v>
      </c>
      <c r="N844" s="14">
        <f t="shared" si="107"/>
        <v>0.15588510857757079</v>
      </c>
      <c r="O844" s="20">
        <f t="shared" si="108"/>
        <v>2.492573457305431</v>
      </c>
      <c r="P844" s="14">
        <f t="shared" si="109"/>
        <v>469.75911020837106</v>
      </c>
      <c r="Q844" s="14">
        <f t="shared" si="110"/>
        <v>441.37282499999998</v>
      </c>
      <c r="R844" s="14" t="str">
        <f t="shared" si="111"/>
        <v>Jun</v>
      </c>
    </row>
    <row r="845" spans="1:18" x14ac:dyDescent="0.3">
      <c r="A845" t="s">
        <v>2454</v>
      </c>
      <c r="B845" s="1">
        <v>45525</v>
      </c>
      <c r="C845" t="s">
        <v>449</v>
      </c>
      <c r="D845" t="s">
        <v>1371</v>
      </c>
      <c r="E845" t="s">
        <v>1537</v>
      </c>
      <c r="F845">
        <v>1</v>
      </c>
      <c r="G845" s="14">
        <v>346.2</v>
      </c>
      <c r="H845" s="17">
        <v>0.28999999999999998</v>
      </c>
      <c r="I845" t="s">
        <v>1609</v>
      </c>
      <c r="J845" s="14">
        <v>245.80199999999999</v>
      </c>
      <c r="K845" s="14">
        <f t="shared" si="104"/>
        <v>397522.0146318847</v>
      </c>
      <c r="L845" s="14">
        <f t="shared" si="105"/>
        <v>396</v>
      </c>
      <c r="M845" s="14" t="str">
        <f t="shared" si="106"/>
        <v>21-08-2024</v>
      </c>
      <c r="N845" s="14">
        <f t="shared" si="107"/>
        <v>0.15587288789235657</v>
      </c>
      <c r="O845" s="20">
        <f t="shared" si="108"/>
        <v>2.4938657286970374</v>
      </c>
      <c r="P845" s="14">
        <f t="shared" si="109"/>
        <v>469.33110077997986</v>
      </c>
      <c r="Q845" s="14">
        <f t="shared" si="110"/>
        <v>148.32300000000001</v>
      </c>
      <c r="R845" s="14" t="str">
        <f t="shared" si="111"/>
        <v>Aug</v>
      </c>
    </row>
    <row r="846" spans="1:18" x14ac:dyDescent="0.3">
      <c r="A846" t="s">
        <v>2455</v>
      </c>
      <c r="B846" s="1">
        <v>45527</v>
      </c>
      <c r="C846" t="s">
        <v>1278</v>
      </c>
      <c r="D846" t="s">
        <v>1419</v>
      </c>
      <c r="E846" t="s">
        <v>1586</v>
      </c>
      <c r="F846">
        <v>3</v>
      </c>
      <c r="G846" s="14">
        <v>791.75</v>
      </c>
      <c r="H846" s="17">
        <v>0.28999999999999998</v>
      </c>
      <c r="I846" t="s">
        <v>1609</v>
      </c>
      <c r="J846" s="14">
        <v>1686.4275</v>
      </c>
      <c r="K846" s="14">
        <f t="shared" si="104"/>
        <v>397276.21263188467</v>
      </c>
      <c r="L846" s="14">
        <f t="shared" si="105"/>
        <v>395</v>
      </c>
      <c r="M846" s="14" t="str">
        <f t="shared" si="106"/>
        <v>23-08-2024</v>
      </c>
      <c r="N846" s="14">
        <f t="shared" si="107"/>
        <v>0.15575665989226326</v>
      </c>
      <c r="O846" s="20">
        <f t="shared" si="108"/>
        <v>2.4951602397271042</v>
      </c>
      <c r="P846" s="14">
        <f t="shared" si="109"/>
        <v>469.43780017406999</v>
      </c>
      <c r="Q846" s="14">
        <f t="shared" si="110"/>
        <v>620.36687499999994</v>
      </c>
      <c r="R846" s="14" t="str">
        <f t="shared" si="111"/>
        <v>Aug</v>
      </c>
    </row>
    <row r="847" spans="1:18" x14ac:dyDescent="0.3">
      <c r="A847" t="s">
        <v>2456</v>
      </c>
      <c r="B847" s="1">
        <v>45265</v>
      </c>
      <c r="C847" t="s">
        <v>1005</v>
      </c>
      <c r="D847" t="s">
        <v>1411</v>
      </c>
      <c r="E847" t="s">
        <v>1582</v>
      </c>
      <c r="F847">
        <v>1</v>
      </c>
      <c r="G847" s="14">
        <v>529.84</v>
      </c>
      <c r="H847" s="17">
        <v>0.13</v>
      </c>
      <c r="I847" t="s">
        <v>1611</v>
      </c>
      <c r="J847" s="14">
        <v>460.96080000000001</v>
      </c>
      <c r="K847" s="14">
        <f t="shared" si="104"/>
        <v>395589.78513188468</v>
      </c>
      <c r="L847" s="14">
        <f t="shared" si="105"/>
        <v>394</v>
      </c>
      <c r="M847" s="14" t="str">
        <f t="shared" si="106"/>
        <v>05-12-2023</v>
      </c>
      <c r="N847" s="14">
        <f t="shared" si="107"/>
        <v>0.15564023028245602</v>
      </c>
      <c r="O847" s="20">
        <f t="shared" si="108"/>
        <v>2.4947223908456881</v>
      </c>
      <c r="P847" s="14">
        <f t="shared" si="109"/>
        <v>469.15825793658001</v>
      </c>
      <c r="Q847" s="14">
        <f t="shared" si="110"/>
        <v>247.98270000000002</v>
      </c>
      <c r="R847" s="14" t="str">
        <f t="shared" si="111"/>
        <v>Dec</v>
      </c>
    </row>
    <row r="848" spans="1:18" x14ac:dyDescent="0.3">
      <c r="A848" t="s">
        <v>2457</v>
      </c>
      <c r="B848" s="1">
        <v>45936</v>
      </c>
      <c r="C848" t="s">
        <v>1292</v>
      </c>
      <c r="D848" t="s">
        <v>1441</v>
      </c>
      <c r="E848" t="s">
        <v>1551</v>
      </c>
      <c r="F848">
        <v>3</v>
      </c>
      <c r="G848" s="14">
        <v>582.57000000000005</v>
      </c>
      <c r="H848" s="17">
        <v>0.11</v>
      </c>
      <c r="I848" t="s">
        <v>1611</v>
      </c>
      <c r="J848" s="14">
        <v>1555.4619</v>
      </c>
      <c r="K848" s="14">
        <f t="shared" si="104"/>
        <v>395589.78513188468</v>
      </c>
      <c r="L848" s="14">
        <f t="shared" si="105"/>
        <v>394</v>
      </c>
      <c r="M848" s="14" t="str">
        <f t="shared" si="106"/>
        <v>06-10-2025</v>
      </c>
      <c r="N848" s="14">
        <f t="shared" si="107"/>
        <v>0.15566248742679845</v>
      </c>
      <c r="O848" s="20">
        <f t="shared" si="108"/>
        <v>2.4960198929210748</v>
      </c>
      <c r="P848" s="14">
        <f t="shared" si="109"/>
        <v>469.10558281326109</v>
      </c>
      <c r="Q848" s="14">
        <f t="shared" si="110"/>
        <v>535.28547500000002</v>
      </c>
      <c r="R848" s="14" t="str">
        <f t="shared" si="111"/>
        <v>Oct</v>
      </c>
    </row>
    <row r="849" spans="1:18" x14ac:dyDescent="0.3">
      <c r="A849" t="s">
        <v>2458</v>
      </c>
      <c r="B849" s="1">
        <v>45242</v>
      </c>
      <c r="C849" t="s">
        <v>687</v>
      </c>
      <c r="D849" t="s">
        <v>1523</v>
      </c>
      <c r="E849" t="s">
        <v>1592</v>
      </c>
      <c r="F849">
        <v>1</v>
      </c>
      <c r="G849" s="14">
        <v>219.81</v>
      </c>
      <c r="H849" s="17">
        <v>0.22</v>
      </c>
      <c r="I849" t="s">
        <v>1614</v>
      </c>
      <c r="J849" s="14">
        <v>171.45179999999999</v>
      </c>
      <c r="K849" s="14">
        <f t="shared" si="104"/>
        <v>395589.78513188468</v>
      </c>
      <c r="L849" s="14">
        <f t="shared" si="105"/>
        <v>394</v>
      </c>
      <c r="M849" s="14" t="str">
        <f t="shared" si="106"/>
        <v>12-11-2023</v>
      </c>
      <c r="N849" s="14">
        <f t="shared" si="107"/>
        <v>0.15570215944020138</v>
      </c>
      <c r="O849" s="20">
        <f t="shared" si="108"/>
        <v>2.4955820300999814</v>
      </c>
      <c r="P849" s="14">
        <f t="shared" si="109"/>
        <v>469.00700382352454</v>
      </c>
      <c r="Q849" s="14">
        <f t="shared" si="110"/>
        <v>98.120450000000005</v>
      </c>
      <c r="R849" s="14" t="str">
        <f t="shared" si="111"/>
        <v>Nov</v>
      </c>
    </row>
    <row r="850" spans="1:18" x14ac:dyDescent="0.3">
      <c r="A850" t="s">
        <v>2459</v>
      </c>
      <c r="B850" s="1">
        <v>45437</v>
      </c>
      <c r="C850" t="s">
        <v>1318</v>
      </c>
      <c r="D850" t="s">
        <v>1473</v>
      </c>
      <c r="E850" t="s">
        <v>1595</v>
      </c>
      <c r="F850">
        <v>4</v>
      </c>
      <c r="G850" s="14">
        <v>883.31</v>
      </c>
      <c r="H850" s="17">
        <v>0.27</v>
      </c>
      <c r="I850" t="s">
        <v>1609</v>
      </c>
      <c r="J850" s="14">
        <v>2579.2651999999998</v>
      </c>
      <c r="K850" s="14">
        <f t="shared" si="104"/>
        <v>395589.78513188468</v>
      </c>
      <c r="L850" s="14">
        <f t="shared" si="105"/>
        <v>394</v>
      </c>
      <c r="M850" s="14" t="str">
        <f t="shared" si="106"/>
        <v>25-05-2024</v>
      </c>
      <c r="N850" s="14">
        <f t="shared" si="107"/>
        <v>0.15564624827449722</v>
      </c>
      <c r="O850" s="20">
        <f t="shared" si="108"/>
        <v>2.4968825362131115</v>
      </c>
      <c r="P850" s="14">
        <f t="shared" si="109"/>
        <v>469.22369687032756</v>
      </c>
      <c r="Q850" s="14">
        <f t="shared" si="110"/>
        <v>866.71129999999994</v>
      </c>
      <c r="R850" s="14" t="str">
        <f t="shared" si="111"/>
        <v>May</v>
      </c>
    </row>
    <row r="851" spans="1:18" x14ac:dyDescent="0.3">
      <c r="A851" t="s">
        <v>2460</v>
      </c>
      <c r="B851" s="1">
        <v>45627</v>
      </c>
      <c r="C851" t="s">
        <v>752</v>
      </c>
      <c r="D851" t="s">
        <v>1367</v>
      </c>
      <c r="E851" t="s">
        <v>1584</v>
      </c>
      <c r="F851">
        <v>4</v>
      </c>
      <c r="G851" s="14">
        <v>329.06</v>
      </c>
      <c r="H851" s="17">
        <v>0.04</v>
      </c>
      <c r="I851" t="s">
        <v>1614</v>
      </c>
      <c r="J851" s="14">
        <v>1263.5904</v>
      </c>
      <c r="K851" s="14">
        <f t="shared" si="104"/>
        <v>393010.51993188466</v>
      </c>
      <c r="L851" s="14">
        <f t="shared" si="105"/>
        <v>393</v>
      </c>
      <c r="M851" s="14" t="str">
        <f t="shared" si="106"/>
        <v>01-12-2024</v>
      </c>
      <c r="N851" s="14">
        <f t="shared" si="107"/>
        <v>0.15554672368639841</v>
      </c>
      <c r="O851" s="20">
        <f t="shared" si="108"/>
        <v>2.4955743399870136</v>
      </c>
      <c r="P851" s="14">
        <f t="shared" si="109"/>
        <v>468.86330844288671</v>
      </c>
      <c r="Q851" s="14">
        <f t="shared" si="110"/>
        <v>399.17259999999999</v>
      </c>
      <c r="R851" s="14" t="str">
        <f t="shared" si="111"/>
        <v>Dec</v>
      </c>
    </row>
    <row r="852" spans="1:18" x14ac:dyDescent="0.3">
      <c r="A852" t="s">
        <v>2461</v>
      </c>
      <c r="B852" s="1">
        <v>45678</v>
      </c>
      <c r="C852" t="s">
        <v>372</v>
      </c>
      <c r="D852" t="s">
        <v>1469</v>
      </c>
      <c r="E852" t="s">
        <v>1577</v>
      </c>
      <c r="F852">
        <v>1</v>
      </c>
      <c r="G852" s="14">
        <v>935.78</v>
      </c>
      <c r="H852" s="17">
        <v>0.03</v>
      </c>
      <c r="I852" t="s">
        <v>1611</v>
      </c>
      <c r="J852" s="14">
        <v>907.70659999999998</v>
      </c>
      <c r="K852" s="14">
        <f t="shared" si="104"/>
        <v>393010.51993188466</v>
      </c>
      <c r="L852" s="14">
        <f t="shared" si="105"/>
        <v>393</v>
      </c>
      <c r="M852" s="14" t="str">
        <f t="shared" si="106"/>
        <v>21-01-2025</v>
      </c>
      <c r="N852" s="14">
        <f t="shared" si="107"/>
        <v>0.15564737414257124</v>
      </c>
      <c r="O852" s="20">
        <f t="shared" si="108"/>
        <v>2.4942638646734134</v>
      </c>
      <c r="P852" s="14">
        <f t="shared" si="109"/>
        <v>468.98508832828992</v>
      </c>
      <c r="Q852" s="14">
        <f t="shared" si="110"/>
        <v>461.12914999999998</v>
      </c>
      <c r="R852" s="14" t="str">
        <f t="shared" si="111"/>
        <v>Jan</v>
      </c>
    </row>
    <row r="853" spans="1:18" x14ac:dyDescent="0.3">
      <c r="A853" t="s">
        <v>2462</v>
      </c>
      <c r="B853" s="1">
        <v>45484</v>
      </c>
      <c r="C853" t="s">
        <v>1008</v>
      </c>
      <c r="D853" t="s">
        <v>1453</v>
      </c>
      <c r="E853" t="s">
        <v>1574</v>
      </c>
      <c r="F853">
        <v>4</v>
      </c>
      <c r="G853" s="14">
        <v>597.79999999999995</v>
      </c>
      <c r="H853" s="17">
        <v>0.2</v>
      </c>
      <c r="I853" t="s">
        <v>1609</v>
      </c>
      <c r="J853" s="14">
        <v>1912.96</v>
      </c>
      <c r="K853" s="14">
        <f t="shared" si="104"/>
        <v>393010.51993188466</v>
      </c>
      <c r="L853" s="14">
        <f t="shared" si="105"/>
        <v>393</v>
      </c>
      <c r="M853" s="14" t="str">
        <f t="shared" si="106"/>
        <v>11-07-2024</v>
      </c>
      <c r="N853" s="14">
        <f t="shared" si="107"/>
        <v>0.1557569184966624</v>
      </c>
      <c r="O853" s="20">
        <f t="shared" si="108"/>
        <v>2.4955666230558662</v>
      </c>
      <c r="P853" s="14">
        <f t="shared" si="109"/>
        <v>468.57811804784365</v>
      </c>
      <c r="Q853" s="14">
        <f t="shared" si="110"/>
        <v>628.74</v>
      </c>
      <c r="R853" s="14" t="str">
        <f t="shared" si="111"/>
        <v>Jul</v>
      </c>
    </row>
    <row r="854" spans="1:18" x14ac:dyDescent="0.3">
      <c r="A854" t="s">
        <v>2463</v>
      </c>
      <c r="B854" s="1">
        <v>45700</v>
      </c>
      <c r="C854" t="s">
        <v>827</v>
      </c>
      <c r="D854" t="s">
        <v>1359</v>
      </c>
      <c r="E854" t="s">
        <v>1595</v>
      </c>
      <c r="F854">
        <v>4</v>
      </c>
      <c r="G854" s="14">
        <v>266.98</v>
      </c>
      <c r="H854" s="17">
        <v>0.16</v>
      </c>
      <c r="I854" t="s">
        <v>1609</v>
      </c>
      <c r="J854" s="14">
        <v>897.05280000000005</v>
      </c>
      <c r="K854" s="14">
        <f t="shared" si="104"/>
        <v>391097.55993188464</v>
      </c>
      <c r="L854" s="14">
        <f t="shared" si="105"/>
        <v>392</v>
      </c>
      <c r="M854" s="14" t="str">
        <f t="shared" si="106"/>
        <v>12-02-2025</v>
      </c>
      <c r="N854" s="14">
        <f t="shared" si="107"/>
        <v>0.15571831196829997</v>
      </c>
      <c r="O854" s="20">
        <f t="shared" si="108"/>
        <v>2.4942538539660375</v>
      </c>
      <c r="P854" s="14">
        <f t="shared" si="109"/>
        <v>468.46535898854864</v>
      </c>
      <c r="Q854" s="14">
        <f t="shared" si="110"/>
        <v>292.04820000000001</v>
      </c>
      <c r="R854" s="14" t="str">
        <f t="shared" si="111"/>
        <v>Feb</v>
      </c>
    </row>
    <row r="855" spans="1:18" x14ac:dyDescent="0.3">
      <c r="A855" t="s">
        <v>2464</v>
      </c>
      <c r="B855" s="1">
        <v>45873</v>
      </c>
      <c r="C855" t="s">
        <v>1228</v>
      </c>
      <c r="D855" t="s">
        <v>1473</v>
      </c>
      <c r="E855" t="s">
        <v>1586</v>
      </c>
      <c r="F855">
        <v>3</v>
      </c>
      <c r="G855" s="14">
        <v>360.18</v>
      </c>
      <c r="H855" s="17">
        <v>0.03</v>
      </c>
      <c r="I855" t="s">
        <v>1609</v>
      </c>
      <c r="J855" s="14">
        <v>1048.1238000000001</v>
      </c>
      <c r="K855" s="14">
        <f t="shared" si="104"/>
        <v>390200.50713188463</v>
      </c>
      <c r="L855" s="14">
        <f t="shared" si="105"/>
        <v>391</v>
      </c>
      <c r="M855" s="14" t="str">
        <f t="shared" si="106"/>
        <v>04-08-2025</v>
      </c>
      <c r="N855" s="14">
        <f t="shared" si="107"/>
        <v>0.15571457250277013</v>
      </c>
      <c r="O855" s="20">
        <f t="shared" si="108"/>
        <v>2.4929387918297627</v>
      </c>
      <c r="P855" s="14">
        <f t="shared" si="109"/>
        <v>468.64132873439019</v>
      </c>
      <c r="Q855" s="14">
        <f t="shared" si="110"/>
        <v>352.83345000000003</v>
      </c>
      <c r="R855" s="14" t="str">
        <f t="shared" si="111"/>
        <v>Aug</v>
      </c>
    </row>
    <row r="856" spans="1:18" x14ac:dyDescent="0.3">
      <c r="A856" t="s">
        <v>2465</v>
      </c>
      <c r="B856" s="1">
        <v>45860</v>
      </c>
      <c r="C856" t="s">
        <v>1136</v>
      </c>
      <c r="D856" t="s">
        <v>1445</v>
      </c>
      <c r="E856" t="s">
        <v>1537</v>
      </c>
      <c r="F856">
        <v>3</v>
      </c>
      <c r="G856" s="14">
        <v>247.41</v>
      </c>
      <c r="H856" s="17">
        <v>0.05</v>
      </c>
      <c r="I856" t="s">
        <v>1614</v>
      </c>
      <c r="J856" s="14">
        <v>705.11850000000004</v>
      </c>
      <c r="K856" s="14">
        <f t="shared" si="104"/>
        <v>389152.38333188469</v>
      </c>
      <c r="L856" s="14">
        <f t="shared" si="105"/>
        <v>390</v>
      </c>
      <c r="M856" s="14" t="str">
        <f t="shared" si="106"/>
        <v>22-07-2025</v>
      </c>
      <c r="N856" s="14">
        <f t="shared" si="107"/>
        <v>0.15582446286334947</v>
      </c>
      <c r="O856" s="20">
        <f t="shared" si="108"/>
        <v>2.4924955565079356</v>
      </c>
      <c r="P856" s="14">
        <f t="shared" si="109"/>
        <v>468.73613758817891</v>
      </c>
      <c r="Q856" s="14">
        <f t="shared" si="110"/>
        <v>238.89462500000002</v>
      </c>
      <c r="R856" s="14" t="str">
        <f t="shared" si="111"/>
        <v>Jul</v>
      </c>
    </row>
    <row r="857" spans="1:18" x14ac:dyDescent="0.3">
      <c r="A857" t="s">
        <v>2466</v>
      </c>
      <c r="B857" s="1">
        <v>45235</v>
      </c>
      <c r="C857" t="s">
        <v>284</v>
      </c>
      <c r="D857" t="s">
        <v>1423</v>
      </c>
      <c r="E857" t="s">
        <v>1586</v>
      </c>
      <c r="F857">
        <v>3</v>
      </c>
      <c r="G857" s="14">
        <v>674.66</v>
      </c>
      <c r="H857" s="17">
        <v>0.23</v>
      </c>
      <c r="I857" t="s">
        <v>1609</v>
      </c>
      <c r="J857" s="14">
        <v>1558.4646</v>
      </c>
      <c r="K857" s="14">
        <f t="shared" si="104"/>
        <v>389152.38333188469</v>
      </c>
      <c r="L857" s="14">
        <f t="shared" si="105"/>
        <v>390</v>
      </c>
      <c r="M857" s="14" t="str">
        <f t="shared" si="106"/>
        <v>05-11-2023</v>
      </c>
      <c r="N857" s="14">
        <f t="shared" si="107"/>
        <v>0.15591704769525092</v>
      </c>
      <c r="O857" s="20">
        <f t="shared" si="108"/>
        <v>2.4920515456212411</v>
      </c>
      <c r="P857" s="14">
        <f t="shared" si="109"/>
        <v>468.9297737540478</v>
      </c>
      <c r="Q857" s="14">
        <f t="shared" si="110"/>
        <v>559.08865000000003</v>
      </c>
      <c r="R857" s="14" t="str">
        <f t="shared" si="111"/>
        <v>Nov</v>
      </c>
    </row>
    <row r="858" spans="1:18" x14ac:dyDescent="0.3">
      <c r="A858" t="s">
        <v>2467</v>
      </c>
      <c r="B858" s="1">
        <v>45874</v>
      </c>
      <c r="C858" t="s">
        <v>1236</v>
      </c>
      <c r="D858" t="s">
        <v>1417</v>
      </c>
      <c r="E858" t="s">
        <v>1554</v>
      </c>
      <c r="F858">
        <v>1</v>
      </c>
      <c r="G858" s="14">
        <v>913.98</v>
      </c>
      <c r="H858" s="17">
        <v>0.27</v>
      </c>
      <c r="I858" t="s">
        <v>1611</v>
      </c>
      <c r="J858" s="14">
        <v>667.20539999999994</v>
      </c>
      <c r="K858" s="14">
        <f t="shared" si="104"/>
        <v>387593.91873188468</v>
      </c>
      <c r="L858" s="14">
        <f t="shared" si="105"/>
        <v>389</v>
      </c>
      <c r="M858" s="14" t="str">
        <f t="shared" si="106"/>
        <v>05-08-2025</v>
      </c>
      <c r="N858" s="14">
        <f t="shared" si="107"/>
        <v>0.15585217645855673</v>
      </c>
      <c r="O858" s="20">
        <f t="shared" si="108"/>
        <v>2.4916067571322928</v>
      </c>
      <c r="P858" s="14">
        <f t="shared" si="109"/>
        <v>468.74962469428789</v>
      </c>
      <c r="Q858" s="14">
        <f t="shared" si="110"/>
        <v>395.61384999999996</v>
      </c>
      <c r="R858" s="14" t="str">
        <f t="shared" si="111"/>
        <v>Aug</v>
      </c>
    </row>
    <row r="859" spans="1:18" x14ac:dyDescent="0.3">
      <c r="A859" t="s">
        <v>2468</v>
      </c>
      <c r="B859" s="1">
        <v>45769</v>
      </c>
      <c r="C859" t="s">
        <v>990</v>
      </c>
      <c r="D859" t="s">
        <v>1519</v>
      </c>
      <c r="E859" t="s">
        <v>1574</v>
      </c>
      <c r="F859">
        <v>4</v>
      </c>
      <c r="G859" s="14">
        <v>370.5</v>
      </c>
      <c r="H859" s="17">
        <v>0.13</v>
      </c>
      <c r="I859" t="s">
        <v>1611</v>
      </c>
      <c r="J859" s="14">
        <v>1289.3399999999999</v>
      </c>
      <c r="K859" s="14">
        <f t="shared" si="104"/>
        <v>387593.91873188468</v>
      </c>
      <c r="L859" s="14">
        <f t="shared" si="105"/>
        <v>389</v>
      </c>
      <c r="M859" s="14" t="str">
        <f t="shared" si="106"/>
        <v>22-04-2025</v>
      </c>
      <c r="N859" s="14">
        <f t="shared" si="107"/>
        <v>0.15575213454484818</v>
      </c>
      <c r="O859" s="20">
        <f t="shared" si="108"/>
        <v>2.4929140373751784</v>
      </c>
      <c r="P859" s="14">
        <f t="shared" si="109"/>
        <v>468.35941402355542</v>
      </c>
      <c r="Q859" s="14">
        <f t="shared" si="110"/>
        <v>415.99249999999995</v>
      </c>
      <c r="R859" s="14" t="str">
        <f t="shared" si="111"/>
        <v>Apr</v>
      </c>
    </row>
    <row r="860" spans="1:18" x14ac:dyDescent="0.3">
      <c r="A860" t="s">
        <v>2469</v>
      </c>
      <c r="B860" s="1">
        <v>45619</v>
      </c>
      <c r="C860" t="s">
        <v>1121</v>
      </c>
      <c r="D860" t="s">
        <v>1477</v>
      </c>
      <c r="E860" t="s">
        <v>1582</v>
      </c>
      <c r="F860">
        <v>1</v>
      </c>
      <c r="G860" s="14">
        <v>735.1</v>
      </c>
      <c r="H860" s="17">
        <v>0.1</v>
      </c>
      <c r="I860" t="s">
        <v>1611</v>
      </c>
      <c r="J860" s="14">
        <v>661.59</v>
      </c>
      <c r="K860" s="14">
        <f t="shared" si="104"/>
        <v>387593.91873188468</v>
      </c>
      <c r="L860" s="14">
        <f t="shared" si="105"/>
        <v>389</v>
      </c>
      <c r="M860" s="14" t="str">
        <f t="shared" si="106"/>
        <v>23-11-2024</v>
      </c>
      <c r="N860" s="14">
        <f t="shared" si="107"/>
        <v>0.15577472413655419</v>
      </c>
      <c r="O860" s="20">
        <f t="shared" si="108"/>
        <v>2.4915920321448053</v>
      </c>
      <c r="P860" s="14">
        <f t="shared" si="109"/>
        <v>468.44525561480418</v>
      </c>
      <c r="Q860" s="14">
        <f t="shared" si="110"/>
        <v>349.44749999999999</v>
      </c>
      <c r="R860" s="14" t="str">
        <f t="shared" si="111"/>
        <v>Nov</v>
      </c>
    </row>
    <row r="861" spans="1:18" x14ac:dyDescent="0.3">
      <c r="A861" t="s">
        <v>2470</v>
      </c>
      <c r="B861" s="1">
        <v>45614</v>
      </c>
      <c r="C861" t="s">
        <v>461</v>
      </c>
      <c r="D861" t="s">
        <v>1491</v>
      </c>
      <c r="E861" t="s">
        <v>1546</v>
      </c>
      <c r="F861">
        <v>3</v>
      </c>
      <c r="G861" s="14">
        <v>448.55</v>
      </c>
      <c r="H861" s="17">
        <v>0.05</v>
      </c>
      <c r="I861" t="s">
        <v>1609</v>
      </c>
      <c r="J861" s="14">
        <v>1278.3675000000001</v>
      </c>
      <c r="K861" s="14">
        <f t="shared" si="104"/>
        <v>387593.91873188468</v>
      </c>
      <c r="L861" s="14">
        <f t="shared" si="105"/>
        <v>389</v>
      </c>
      <c r="M861" s="14" t="str">
        <f t="shared" si="106"/>
        <v>18-11-2024</v>
      </c>
      <c r="N861" s="14">
        <f t="shared" si="107"/>
        <v>0.15582369228768372</v>
      </c>
      <c r="O861" s="20">
        <f t="shared" si="108"/>
        <v>2.4929015949473912</v>
      </c>
      <c r="P861" s="14">
        <f t="shared" si="109"/>
        <v>468.21114258198139</v>
      </c>
      <c r="Q861" s="14">
        <f t="shared" si="110"/>
        <v>432.49187500000005</v>
      </c>
      <c r="R861" s="14" t="str">
        <f t="shared" si="111"/>
        <v>Nov</v>
      </c>
    </row>
    <row r="862" spans="1:18" x14ac:dyDescent="0.3">
      <c r="A862" t="s">
        <v>2471</v>
      </c>
      <c r="B862" s="1">
        <v>45691</v>
      </c>
      <c r="C862" t="s">
        <v>221</v>
      </c>
      <c r="D862" t="s">
        <v>1501</v>
      </c>
      <c r="E862" t="s">
        <v>1582</v>
      </c>
      <c r="F862">
        <v>3</v>
      </c>
      <c r="G862" s="14">
        <v>904.96</v>
      </c>
      <c r="H862" s="17">
        <v>7.0000000000000007E-2</v>
      </c>
      <c r="I862" t="s">
        <v>1614</v>
      </c>
      <c r="J862" s="14">
        <v>2524.8384000000001</v>
      </c>
      <c r="K862" s="14">
        <f t="shared" si="104"/>
        <v>386315.55123188475</v>
      </c>
      <c r="L862" s="14">
        <f t="shared" si="105"/>
        <v>388</v>
      </c>
      <c r="M862" s="14" t="str">
        <f t="shared" si="106"/>
        <v>03-02-2025</v>
      </c>
      <c r="N862" s="14">
        <f t="shared" si="107"/>
        <v>0.15591668322994004</v>
      </c>
      <c r="O862" s="20">
        <f t="shared" si="108"/>
        <v>2.4924559900220373</v>
      </c>
      <c r="P862" s="14">
        <f t="shared" si="109"/>
        <v>468.22841950867905</v>
      </c>
      <c r="Q862" s="14">
        <f t="shared" si="110"/>
        <v>858.21710000000007</v>
      </c>
      <c r="R862" s="14" t="str">
        <f t="shared" si="111"/>
        <v>Feb</v>
      </c>
    </row>
    <row r="863" spans="1:18" x14ac:dyDescent="0.3">
      <c r="A863" t="s">
        <v>2472</v>
      </c>
      <c r="B863" s="1">
        <v>45608</v>
      </c>
      <c r="C863" t="s">
        <v>1187</v>
      </c>
      <c r="D863" t="s">
        <v>1469</v>
      </c>
      <c r="E863" t="s">
        <v>1582</v>
      </c>
      <c r="F863">
        <v>4</v>
      </c>
      <c r="G863" s="14">
        <v>408.72</v>
      </c>
      <c r="H863" s="17">
        <v>0.16</v>
      </c>
      <c r="I863" t="s">
        <v>1614</v>
      </c>
      <c r="J863" s="14">
        <v>1373.2991999999999</v>
      </c>
      <c r="K863" s="14">
        <f t="shared" si="104"/>
        <v>386315.55123188475</v>
      </c>
      <c r="L863" s="14">
        <f t="shared" si="105"/>
        <v>388</v>
      </c>
      <c r="M863" s="14" t="str">
        <f t="shared" si="106"/>
        <v>12-11-2024</v>
      </c>
      <c r="N863" s="14">
        <f t="shared" si="107"/>
        <v>0.15599224759513788</v>
      </c>
      <c r="O863" s="20">
        <f t="shared" si="108"/>
        <v>2.4920096012709574</v>
      </c>
      <c r="P863" s="14">
        <f t="shared" si="109"/>
        <v>467.8443108187131</v>
      </c>
      <c r="Q863" s="14">
        <f t="shared" si="110"/>
        <v>446.54480000000001</v>
      </c>
      <c r="R863" s="14" t="str">
        <f t="shared" si="111"/>
        <v>Nov</v>
      </c>
    </row>
    <row r="864" spans="1:18" x14ac:dyDescent="0.3">
      <c r="A864" t="s">
        <v>2473</v>
      </c>
      <c r="B864" s="1">
        <v>45412</v>
      </c>
      <c r="C864" t="s">
        <v>896</v>
      </c>
      <c r="D864" t="s">
        <v>1475</v>
      </c>
      <c r="E864" t="s">
        <v>1551</v>
      </c>
      <c r="F864">
        <v>4</v>
      </c>
      <c r="G864" s="14">
        <v>770.65</v>
      </c>
      <c r="H864" s="17">
        <v>0.27</v>
      </c>
      <c r="I864" t="s">
        <v>1609</v>
      </c>
      <c r="J864" s="14">
        <v>2250.2979999999998</v>
      </c>
      <c r="K864" s="14">
        <f t="shared" si="104"/>
        <v>386315.55123188475</v>
      </c>
      <c r="L864" s="14">
        <f t="shared" si="105"/>
        <v>388</v>
      </c>
      <c r="M864" s="14" t="str">
        <f t="shared" si="106"/>
        <v>30-04-2024</v>
      </c>
      <c r="N864" s="14">
        <f t="shared" si="107"/>
        <v>0.15598871964407726</v>
      </c>
      <c r="O864" s="20">
        <f t="shared" si="108"/>
        <v>2.4906821449340479</v>
      </c>
      <c r="P864" s="14">
        <f t="shared" si="109"/>
        <v>467.89635686696914</v>
      </c>
      <c r="Q864" s="14">
        <f t="shared" si="110"/>
        <v>756.30449999999996</v>
      </c>
      <c r="R864" s="14" t="str">
        <f t="shared" si="111"/>
        <v>Apr</v>
      </c>
    </row>
    <row r="865" spans="1:18" x14ac:dyDescent="0.3">
      <c r="A865" t="s">
        <v>2474</v>
      </c>
      <c r="B865" s="1">
        <v>45767</v>
      </c>
      <c r="C865" t="s">
        <v>663</v>
      </c>
      <c r="D865" t="s">
        <v>1393</v>
      </c>
      <c r="E865" t="s">
        <v>1561</v>
      </c>
      <c r="F865">
        <v>1</v>
      </c>
      <c r="G865" s="14">
        <v>649.22</v>
      </c>
      <c r="H865" s="17">
        <v>0.03</v>
      </c>
      <c r="I865" t="s">
        <v>1614</v>
      </c>
      <c r="J865" s="14">
        <v>629.74340000000007</v>
      </c>
      <c r="K865" s="14">
        <f t="shared" si="104"/>
        <v>384065.2532318848</v>
      </c>
      <c r="L865" s="14">
        <f t="shared" si="105"/>
        <v>387</v>
      </c>
      <c r="M865" s="14" t="str">
        <f t="shared" si="106"/>
        <v>20-04-2025</v>
      </c>
      <c r="N865" s="14">
        <f t="shared" si="107"/>
        <v>0.15588826917680332</v>
      </c>
      <c r="O865" s="20">
        <f t="shared" si="108"/>
        <v>2.4893523494670293</v>
      </c>
      <c r="P865" s="14">
        <f t="shared" si="109"/>
        <v>467.62961356905441</v>
      </c>
      <c r="Q865" s="14">
        <f t="shared" si="110"/>
        <v>319.99835000000002</v>
      </c>
      <c r="R865" s="14" t="str">
        <f t="shared" si="111"/>
        <v>Apr</v>
      </c>
    </row>
    <row r="866" spans="1:18" x14ac:dyDescent="0.3">
      <c r="A866" t="s">
        <v>2475</v>
      </c>
      <c r="B866" s="1">
        <v>45428</v>
      </c>
      <c r="C866" t="s">
        <v>1092</v>
      </c>
      <c r="D866" t="s">
        <v>1399</v>
      </c>
      <c r="E866" t="s">
        <v>1574</v>
      </c>
      <c r="F866">
        <v>2</v>
      </c>
      <c r="G866" s="14">
        <v>379.78</v>
      </c>
      <c r="H866" s="17">
        <v>0.2</v>
      </c>
      <c r="I866" t="s">
        <v>1609</v>
      </c>
      <c r="J866" s="14">
        <v>607.64800000000002</v>
      </c>
      <c r="K866" s="14">
        <f t="shared" si="104"/>
        <v>384065.2532318848</v>
      </c>
      <c r="L866" s="14">
        <f t="shared" si="105"/>
        <v>387</v>
      </c>
      <c r="M866" s="14" t="str">
        <f t="shared" si="106"/>
        <v>16-05-2024</v>
      </c>
      <c r="N866" s="14">
        <f t="shared" si="107"/>
        <v>0.15599928175985164</v>
      </c>
      <c r="O866" s="20">
        <f t="shared" si="108"/>
        <v>2.4906657113272295</v>
      </c>
      <c r="P866" s="14">
        <f t="shared" si="109"/>
        <v>467.46948095315418</v>
      </c>
      <c r="Q866" s="14">
        <f t="shared" si="110"/>
        <v>247.40699999999998</v>
      </c>
      <c r="R866" s="14" t="str">
        <f t="shared" si="111"/>
        <v>May</v>
      </c>
    </row>
    <row r="867" spans="1:18" x14ac:dyDescent="0.3">
      <c r="A867" t="s">
        <v>2476</v>
      </c>
      <c r="B867" s="1">
        <v>45770</v>
      </c>
      <c r="C867" t="s">
        <v>794</v>
      </c>
      <c r="D867" t="s">
        <v>1419</v>
      </c>
      <c r="E867" t="s">
        <v>1567</v>
      </c>
      <c r="F867">
        <v>3</v>
      </c>
      <c r="G867" s="14">
        <v>924.15</v>
      </c>
      <c r="H867" s="17">
        <v>0.1</v>
      </c>
      <c r="I867" t="s">
        <v>1611</v>
      </c>
      <c r="J867" s="14">
        <v>2495.2049999999999</v>
      </c>
      <c r="K867" s="14">
        <f t="shared" si="104"/>
        <v>383457.60523188469</v>
      </c>
      <c r="L867" s="14">
        <f t="shared" si="105"/>
        <v>386</v>
      </c>
      <c r="M867" s="14" t="str">
        <f t="shared" si="106"/>
        <v>23-04-2025</v>
      </c>
      <c r="N867" s="14">
        <f t="shared" si="107"/>
        <v>0.15596044617446755</v>
      </c>
      <c r="O867" s="20">
        <f t="shared" si="108"/>
        <v>2.4910987790336083</v>
      </c>
      <c r="P867" s="14">
        <f t="shared" si="109"/>
        <v>467.54687678806431</v>
      </c>
      <c r="Q867" s="14">
        <f t="shared" si="110"/>
        <v>855.61374999999998</v>
      </c>
      <c r="R867" s="14" t="str">
        <f t="shared" si="111"/>
        <v>Apr</v>
      </c>
    </row>
    <row r="868" spans="1:18" x14ac:dyDescent="0.3">
      <c r="A868" t="s">
        <v>2477</v>
      </c>
      <c r="B868" s="1">
        <v>45571</v>
      </c>
      <c r="C868" t="s">
        <v>1290</v>
      </c>
      <c r="D868" t="s">
        <v>1423</v>
      </c>
      <c r="E868" t="s">
        <v>1592</v>
      </c>
      <c r="F868">
        <v>3</v>
      </c>
      <c r="G868" s="14">
        <v>144.66999999999999</v>
      </c>
      <c r="H868" s="17">
        <v>0.28999999999999998</v>
      </c>
      <c r="I868" t="s">
        <v>1614</v>
      </c>
      <c r="J868" s="14">
        <v>308.14710000000002</v>
      </c>
      <c r="K868" s="14">
        <f t="shared" si="104"/>
        <v>383457.60523188469</v>
      </c>
      <c r="L868" s="14">
        <f t="shared" si="105"/>
        <v>386</v>
      </c>
      <c r="M868" s="14" t="str">
        <f t="shared" si="106"/>
        <v>06-10-2024</v>
      </c>
      <c r="N868" s="14">
        <f t="shared" si="107"/>
        <v>0.15600988119758988</v>
      </c>
      <c r="O868" s="20">
        <f t="shared" si="108"/>
        <v>2.4906492196511292</v>
      </c>
      <c r="P868" s="14">
        <f t="shared" si="109"/>
        <v>467.14351713858383</v>
      </c>
      <c r="Q868" s="14">
        <f t="shared" si="110"/>
        <v>114.026775</v>
      </c>
      <c r="R868" s="14" t="str">
        <f t="shared" si="111"/>
        <v>Oct</v>
      </c>
    </row>
    <row r="869" spans="1:18" x14ac:dyDescent="0.3">
      <c r="A869" t="s">
        <v>2478</v>
      </c>
      <c r="B869" s="1">
        <v>45700</v>
      </c>
      <c r="C869" t="s">
        <v>419</v>
      </c>
      <c r="D869" t="s">
        <v>1399</v>
      </c>
      <c r="E869" t="s">
        <v>1586</v>
      </c>
      <c r="F869">
        <v>2</v>
      </c>
      <c r="G869" s="14">
        <v>667.17</v>
      </c>
      <c r="H869" s="17">
        <v>0.1</v>
      </c>
      <c r="I869" t="s">
        <v>1611</v>
      </c>
      <c r="J869" s="14">
        <v>1200.9059999999999</v>
      </c>
      <c r="K869" s="14">
        <f t="shared" si="104"/>
        <v>383457.60523188469</v>
      </c>
      <c r="L869" s="14">
        <f t="shared" si="105"/>
        <v>386</v>
      </c>
      <c r="M869" s="14" t="str">
        <f t="shared" si="106"/>
        <v>12-02-2025</v>
      </c>
      <c r="N869" s="14">
        <f t="shared" si="107"/>
        <v>0.15589141071235346</v>
      </c>
      <c r="O869" s="20">
        <f t="shared" si="108"/>
        <v>2.4901988652918465</v>
      </c>
      <c r="P869" s="14">
        <f t="shared" si="109"/>
        <v>467.42863961173902</v>
      </c>
      <c r="Q869" s="14">
        <f t="shared" si="110"/>
        <v>467.54399999999998</v>
      </c>
      <c r="R869" s="14" t="str">
        <f t="shared" si="111"/>
        <v>Feb</v>
      </c>
    </row>
    <row r="870" spans="1:18" x14ac:dyDescent="0.3">
      <c r="A870" t="s">
        <v>2479</v>
      </c>
      <c r="B870" s="1">
        <v>45382</v>
      </c>
      <c r="C870" t="s">
        <v>1223</v>
      </c>
      <c r="D870" t="s">
        <v>1465</v>
      </c>
      <c r="E870" t="s">
        <v>1551</v>
      </c>
      <c r="F870">
        <v>1</v>
      </c>
      <c r="G870" s="14">
        <v>984.6</v>
      </c>
      <c r="H870" s="17">
        <v>0.22</v>
      </c>
      <c r="I870" t="s">
        <v>1609</v>
      </c>
      <c r="J870" s="14">
        <v>767.98800000000006</v>
      </c>
      <c r="K870" s="14">
        <f t="shared" si="104"/>
        <v>383457.60523188469</v>
      </c>
      <c r="L870" s="14">
        <f t="shared" si="105"/>
        <v>386</v>
      </c>
      <c r="M870" s="14" t="str">
        <f t="shared" si="106"/>
        <v>31-03-2024</v>
      </c>
      <c r="N870" s="14">
        <f t="shared" si="107"/>
        <v>0.15594087213776262</v>
      </c>
      <c r="O870" s="20">
        <f t="shared" si="108"/>
        <v>2.4906326695974146</v>
      </c>
      <c r="P870" s="14">
        <f t="shared" si="109"/>
        <v>467.25187734590878</v>
      </c>
      <c r="Q870" s="14">
        <f t="shared" si="110"/>
        <v>438.452</v>
      </c>
      <c r="R870" s="14" t="str">
        <f t="shared" si="111"/>
        <v>Mar</v>
      </c>
    </row>
    <row r="871" spans="1:18" x14ac:dyDescent="0.3">
      <c r="A871" t="s">
        <v>2480</v>
      </c>
      <c r="B871" s="1">
        <v>45260</v>
      </c>
      <c r="C871" t="s">
        <v>887</v>
      </c>
      <c r="D871" t="s">
        <v>1359</v>
      </c>
      <c r="E871" t="s">
        <v>1567</v>
      </c>
      <c r="F871">
        <v>1</v>
      </c>
      <c r="G871" s="14">
        <v>139.29</v>
      </c>
      <c r="H871" s="17">
        <v>0.15</v>
      </c>
      <c r="I871" t="s">
        <v>1609</v>
      </c>
      <c r="J871" s="14">
        <v>139.29</v>
      </c>
      <c r="K871" s="14">
        <f t="shared" si="104"/>
        <v>382689.61723188474</v>
      </c>
      <c r="L871" s="14">
        <f t="shared" si="105"/>
        <v>385</v>
      </c>
      <c r="M871" s="14" t="str">
        <f t="shared" si="106"/>
        <v>30-11-2023</v>
      </c>
      <c r="N871" s="14">
        <f t="shared" si="107"/>
        <v>0.15588413243195021</v>
      </c>
      <c r="O871" s="20">
        <f t="shared" si="108"/>
        <v>2.4919529819708401</v>
      </c>
      <c r="P871" s="14">
        <f t="shared" si="109"/>
        <v>466.79364163053771</v>
      </c>
      <c r="Q871" s="14">
        <f t="shared" si="110"/>
        <v>69.932500000000005</v>
      </c>
      <c r="R871" s="14" t="str">
        <f t="shared" si="111"/>
        <v>Nov</v>
      </c>
    </row>
    <row r="872" spans="1:18" x14ac:dyDescent="0.3">
      <c r="A872" t="s">
        <v>2481</v>
      </c>
      <c r="B872" s="1">
        <v>45702</v>
      </c>
      <c r="C872" t="s">
        <v>134</v>
      </c>
      <c r="D872" t="s">
        <v>1365</v>
      </c>
      <c r="E872" t="s">
        <v>1567</v>
      </c>
      <c r="F872">
        <v>3</v>
      </c>
      <c r="G872" s="14">
        <v>459.57</v>
      </c>
      <c r="H872" s="17">
        <v>0.1</v>
      </c>
      <c r="I872" t="s">
        <v>1614</v>
      </c>
      <c r="J872" s="14">
        <v>1240.8389999999999</v>
      </c>
      <c r="K872" s="14">
        <f t="shared" si="104"/>
        <v>382550.3272318847</v>
      </c>
      <c r="L872" s="14">
        <f t="shared" si="105"/>
        <v>384</v>
      </c>
      <c r="M872" s="14" t="str">
        <f t="shared" si="106"/>
        <v>14-02-2025</v>
      </c>
      <c r="N872" s="14">
        <f t="shared" si="107"/>
        <v>0.15588934886141118</v>
      </c>
      <c r="O872" s="20">
        <f t="shared" si="108"/>
        <v>2.4932756353236512</v>
      </c>
      <c r="P872" s="14">
        <f t="shared" si="109"/>
        <v>467.08398173836616</v>
      </c>
      <c r="Q872" s="14">
        <f t="shared" si="110"/>
        <v>425.87725</v>
      </c>
      <c r="R872" s="14" t="str">
        <f t="shared" si="111"/>
        <v>Feb</v>
      </c>
    </row>
    <row r="873" spans="1:18" x14ac:dyDescent="0.3">
      <c r="A873" t="s">
        <v>2482</v>
      </c>
      <c r="B873" s="1">
        <v>45302</v>
      </c>
      <c r="C873" t="s">
        <v>244</v>
      </c>
      <c r="D873" t="s">
        <v>1413</v>
      </c>
      <c r="E873" t="s">
        <v>1586</v>
      </c>
      <c r="F873">
        <v>1</v>
      </c>
      <c r="G873" s="14">
        <v>517.82000000000005</v>
      </c>
      <c r="H873" s="17">
        <v>0.28999999999999998</v>
      </c>
      <c r="I873" t="s">
        <v>1609</v>
      </c>
      <c r="J873" s="14">
        <v>367.65219999999999</v>
      </c>
      <c r="K873" s="14">
        <f t="shared" si="104"/>
        <v>382550.3272318847</v>
      </c>
      <c r="L873" s="14">
        <f t="shared" si="105"/>
        <v>384</v>
      </c>
      <c r="M873" s="14" t="str">
        <f t="shared" si="106"/>
        <v>11-01-2024</v>
      </c>
      <c r="N873" s="14">
        <f t="shared" si="107"/>
        <v>0.15593894012038312</v>
      </c>
      <c r="O873" s="20">
        <f t="shared" si="108"/>
        <v>2.4928260129947457</v>
      </c>
      <c r="P873" s="14">
        <f t="shared" si="109"/>
        <v>467.09064898036985</v>
      </c>
      <c r="Q873" s="14">
        <f t="shared" si="110"/>
        <v>221.69055</v>
      </c>
      <c r="R873" s="14" t="str">
        <f t="shared" si="111"/>
        <v>Jan</v>
      </c>
    </row>
    <row r="874" spans="1:18" x14ac:dyDescent="0.3">
      <c r="A874" t="s">
        <v>2483</v>
      </c>
      <c r="B874" s="1">
        <v>45653</v>
      </c>
      <c r="C874" t="s">
        <v>1184</v>
      </c>
      <c r="D874" t="s">
        <v>1485</v>
      </c>
      <c r="E874" t="s">
        <v>1561</v>
      </c>
      <c r="F874">
        <v>4</v>
      </c>
      <c r="G874" s="14">
        <v>282.45</v>
      </c>
      <c r="H874" s="17">
        <v>0.28999999999999998</v>
      </c>
      <c r="I874" t="s">
        <v>1614</v>
      </c>
      <c r="J874" s="14">
        <v>802.1579999999999</v>
      </c>
      <c r="K874" s="14">
        <f t="shared" si="104"/>
        <v>382182.67503188469</v>
      </c>
      <c r="L874" s="14">
        <f t="shared" si="105"/>
        <v>383</v>
      </c>
      <c r="M874" s="14" t="str">
        <f t="shared" si="106"/>
        <v>27-12-2024</v>
      </c>
      <c r="N874" s="14">
        <f t="shared" si="107"/>
        <v>0.15581988056453977</v>
      </c>
      <c r="O874" s="20">
        <f t="shared" si="108"/>
        <v>2.4941517909814195</v>
      </c>
      <c r="P874" s="14">
        <f t="shared" si="109"/>
        <v>467.04559627076111</v>
      </c>
      <c r="Q874" s="14">
        <f t="shared" si="110"/>
        <v>272.22449999999998</v>
      </c>
      <c r="R874" s="14" t="str">
        <f t="shared" si="111"/>
        <v>Dec</v>
      </c>
    </row>
    <row r="875" spans="1:18" x14ac:dyDescent="0.3">
      <c r="A875" t="s">
        <v>2484</v>
      </c>
      <c r="B875" s="1">
        <v>45250</v>
      </c>
      <c r="C875" t="s">
        <v>1276</v>
      </c>
      <c r="D875" t="s">
        <v>1507</v>
      </c>
      <c r="E875" t="s">
        <v>1564</v>
      </c>
      <c r="F875">
        <v>2</v>
      </c>
      <c r="G875" s="14">
        <v>386.46</v>
      </c>
      <c r="H875" s="17">
        <v>0.23</v>
      </c>
      <c r="I875" t="s">
        <v>1614</v>
      </c>
      <c r="J875" s="14">
        <v>595.14840000000004</v>
      </c>
      <c r="K875" s="14">
        <f t="shared" si="104"/>
        <v>382182.67503188469</v>
      </c>
      <c r="L875" s="14">
        <f t="shared" si="105"/>
        <v>383</v>
      </c>
      <c r="M875" s="14" t="str">
        <f t="shared" si="106"/>
        <v>20-11-2023</v>
      </c>
      <c r="N875" s="14">
        <f t="shared" si="107"/>
        <v>0.15570060934726382</v>
      </c>
      <c r="O875" s="20">
        <f t="shared" si="108"/>
        <v>2.4928132592400698</v>
      </c>
      <c r="P875" s="14">
        <f t="shared" si="109"/>
        <v>467.20968124522403</v>
      </c>
      <c r="Q875" s="14">
        <f t="shared" si="110"/>
        <v>245.95960000000002</v>
      </c>
      <c r="R875" s="14" t="str">
        <f t="shared" si="111"/>
        <v>Nov</v>
      </c>
    </row>
    <row r="876" spans="1:18" x14ac:dyDescent="0.3">
      <c r="A876" t="s">
        <v>2485</v>
      </c>
      <c r="B876" s="1">
        <v>45661</v>
      </c>
      <c r="C876" t="s">
        <v>640</v>
      </c>
      <c r="D876" t="s">
        <v>1371</v>
      </c>
      <c r="E876" t="s">
        <v>1551</v>
      </c>
      <c r="F876">
        <v>1</v>
      </c>
      <c r="G876" s="14">
        <v>270.45</v>
      </c>
      <c r="H876" s="17">
        <v>0.15</v>
      </c>
      <c r="I876" t="s">
        <v>1614</v>
      </c>
      <c r="J876" s="14">
        <v>229.88249999999999</v>
      </c>
      <c r="K876" s="14">
        <f t="shared" si="104"/>
        <v>382182.67503188469</v>
      </c>
      <c r="L876" s="14">
        <f t="shared" si="105"/>
        <v>383</v>
      </c>
      <c r="M876" s="14" t="str">
        <f t="shared" si="106"/>
        <v>04-01-2025</v>
      </c>
      <c r="N876" s="14">
        <f t="shared" si="107"/>
        <v>0.15563450668654075</v>
      </c>
      <c r="O876" s="20">
        <f t="shared" si="108"/>
        <v>2.4932517052002479</v>
      </c>
      <c r="P876" s="14">
        <f t="shared" si="109"/>
        <v>467.28152259864498</v>
      </c>
      <c r="Q876" s="14">
        <f t="shared" si="110"/>
        <v>125.37062499999999</v>
      </c>
      <c r="R876" s="14" t="str">
        <f t="shared" si="111"/>
        <v>Jan</v>
      </c>
    </row>
    <row r="877" spans="1:18" x14ac:dyDescent="0.3">
      <c r="A877" t="s">
        <v>2486</v>
      </c>
      <c r="B877" s="1">
        <v>45493</v>
      </c>
      <c r="C877" t="s">
        <v>160</v>
      </c>
      <c r="D877" t="s">
        <v>1485</v>
      </c>
      <c r="E877" t="s">
        <v>1574</v>
      </c>
      <c r="F877">
        <v>4</v>
      </c>
      <c r="G877" s="14">
        <v>762.94</v>
      </c>
      <c r="H877" s="17">
        <v>0.09</v>
      </c>
      <c r="I877" t="s">
        <v>1614</v>
      </c>
      <c r="J877" s="14">
        <v>2777.1016</v>
      </c>
      <c r="K877" s="14">
        <f t="shared" si="104"/>
        <v>382182.67503188469</v>
      </c>
      <c r="L877" s="14">
        <f t="shared" si="105"/>
        <v>383</v>
      </c>
      <c r="M877" s="14" t="str">
        <f t="shared" si="106"/>
        <v>20-07-2024</v>
      </c>
      <c r="N877" s="14">
        <f t="shared" si="107"/>
        <v>0.15563952405669795</v>
      </c>
      <c r="O877" s="20">
        <f t="shared" si="108"/>
        <v>2.4945814039582177</v>
      </c>
      <c r="P877" s="14">
        <f t="shared" si="109"/>
        <v>467.45679554842121</v>
      </c>
      <c r="Q877" s="14">
        <f t="shared" si="110"/>
        <v>886.03290000000004</v>
      </c>
      <c r="R877" s="14" t="str">
        <f t="shared" si="111"/>
        <v>Jul</v>
      </c>
    </row>
    <row r="878" spans="1:18" x14ac:dyDescent="0.3">
      <c r="A878" t="s">
        <v>2487</v>
      </c>
      <c r="B878" s="1">
        <v>45242</v>
      </c>
      <c r="C878" t="s">
        <v>1315</v>
      </c>
      <c r="D878" t="s">
        <v>1415</v>
      </c>
      <c r="E878" t="s">
        <v>1582</v>
      </c>
      <c r="F878">
        <v>1</v>
      </c>
      <c r="G878" s="14">
        <v>409.03</v>
      </c>
      <c r="H878" s="17">
        <v>0.25</v>
      </c>
      <c r="I878" t="s">
        <v>1614</v>
      </c>
      <c r="J878" s="14">
        <v>306.77249999999998</v>
      </c>
      <c r="K878" s="14">
        <f t="shared" si="104"/>
        <v>382182.67503188469</v>
      </c>
      <c r="L878" s="14">
        <f t="shared" si="105"/>
        <v>383</v>
      </c>
      <c r="M878" s="14" t="str">
        <f t="shared" si="106"/>
        <v>12-11-2023</v>
      </c>
      <c r="N878" s="14">
        <f t="shared" si="107"/>
        <v>0.15569802630630283</v>
      </c>
      <c r="O878" s="20">
        <f t="shared" si="108"/>
        <v>2.4932396761542592</v>
      </c>
      <c r="P878" s="14">
        <f t="shared" si="109"/>
        <v>467.1934415337584</v>
      </c>
      <c r="Q878" s="14">
        <f t="shared" si="110"/>
        <v>179.263125</v>
      </c>
      <c r="R878" s="14" t="str">
        <f t="shared" si="111"/>
        <v>Nov</v>
      </c>
    </row>
    <row r="879" spans="1:18" x14ac:dyDescent="0.3">
      <c r="A879" t="s">
        <v>2488</v>
      </c>
      <c r="B879" s="1">
        <v>45411</v>
      </c>
      <c r="C879" t="s">
        <v>711</v>
      </c>
      <c r="D879" t="s">
        <v>1525</v>
      </c>
      <c r="E879" t="s">
        <v>1595</v>
      </c>
      <c r="F879">
        <v>2</v>
      </c>
      <c r="G879" s="14">
        <v>891.13</v>
      </c>
      <c r="H879" s="17">
        <v>0.13</v>
      </c>
      <c r="I879" t="s">
        <v>1609</v>
      </c>
      <c r="J879" s="14">
        <v>1550.5662</v>
      </c>
      <c r="K879" s="14">
        <f t="shared" si="104"/>
        <v>382182.67503188469</v>
      </c>
      <c r="L879" s="14">
        <f t="shared" si="105"/>
        <v>383</v>
      </c>
      <c r="M879" s="14" t="str">
        <f t="shared" si="106"/>
        <v>29-04-2024</v>
      </c>
      <c r="N879" s="14">
        <f t="shared" si="107"/>
        <v>0.15561390322539856</v>
      </c>
      <c r="O879" s="20">
        <f t="shared" si="108"/>
        <v>2.494571736525494</v>
      </c>
      <c r="P879" s="14">
        <f t="shared" si="109"/>
        <v>467.24532685180816</v>
      </c>
      <c r="Q879" s="14">
        <f t="shared" si="110"/>
        <v>610.95654999999999</v>
      </c>
      <c r="R879" s="14" t="str">
        <f t="shared" si="111"/>
        <v>Apr</v>
      </c>
    </row>
    <row r="880" spans="1:18" x14ac:dyDescent="0.3">
      <c r="A880" t="s">
        <v>2489</v>
      </c>
      <c r="B880" s="1">
        <v>45593</v>
      </c>
      <c r="C880" t="s">
        <v>130</v>
      </c>
      <c r="D880" t="s">
        <v>1517</v>
      </c>
      <c r="E880" t="s">
        <v>1589</v>
      </c>
      <c r="F880">
        <v>1</v>
      </c>
      <c r="G880" s="14">
        <v>553.38</v>
      </c>
      <c r="H880" s="17">
        <v>0.21</v>
      </c>
      <c r="I880" t="s">
        <v>1611</v>
      </c>
      <c r="J880" s="14">
        <v>437.17020000000002</v>
      </c>
      <c r="K880" s="14">
        <f t="shared" si="104"/>
        <v>380632.10883188469</v>
      </c>
      <c r="L880" s="14">
        <f t="shared" si="105"/>
        <v>382</v>
      </c>
      <c r="M880" s="14" t="str">
        <f t="shared" si="106"/>
        <v>28-10-2024</v>
      </c>
      <c r="N880" s="14">
        <f t="shared" si="107"/>
        <v>0.15563677278184981</v>
      </c>
      <c r="O880" s="20">
        <f t="shared" si="108"/>
        <v>2.4950133184331063</v>
      </c>
      <c r="P880" s="14">
        <f t="shared" si="109"/>
        <v>466.8668583936402</v>
      </c>
      <c r="Q880" s="14">
        <f t="shared" si="110"/>
        <v>247.94005000000001</v>
      </c>
      <c r="R880" s="14" t="str">
        <f t="shared" si="111"/>
        <v>Oct</v>
      </c>
    </row>
    <row r="881" spans="1:18" x14ac:dyDescent="0.3">
      <c r="A881" t="s">
        <v>2490</v>
      </c>
      <c r="B881" s="1">
        <v>45281</v>
      </c>
      <c r="C881" t="s">
        <v>535</v>
      </c>
      <c r="D881" t="s">
        <v>1503</v>
      </c>
      <c r="E881" t="s">
        <v>1582</v>
      </c>
      <c r="F881">
        <v>2</v>
      </c>
      <c r="G881" s="14">
        <v>652.29999999999995</v>
      </c>
      <c r="H881" s="17">
        <v>0.16</v>
      </c>
      <c r="I881" t="s">
        <v>1614</v>
      </c>
      <c r="J881" s="14">
        <v>1095.864</v>
      </c>
      <c r="K881" s="14">
        <f t="shared" si="104"/>
        <v>380632.10883188469</v>
      </c>
      <c r="L881" s="14">
        <f t="shared" si="105"/>
        <v>382</v>
      </c>
      <c r="M881" s="14" t="str">
        <f t="shared" si="106"/>
        <v>21-12-2023</v>
      </c>
      <c r="N881" s="14">
        <f t="shared" si="107"/>
        <v>0.15558819080935815</v>
      </c>
      <c r="O881" s="20">
        <f t="shared" si="108"/>
        <v>2.4963493446336718</v>
      </c>
      <c r="P881" s="14">
        <f t="shared" si="109"/>
        <v>466.78954548782576</v>
      </c>
      <c r="Q881" s="14">
        <f t="shared" si="110"/>
        <v>437.58100000000002</v>
      </c>
      <c r="R881" s="14" t="str">
        <f t="shared" si="111"/>
        <v>Dec</v>
      </c>
    </row>
    <row r="882" spans="1:18" x14ac:dyDescent="0.3">
      <c r="A882" t="s">
        <v>2491</v>
      </c>
      <c r="B882" s="1">
        <v>45575</v>
      </c>
      <c r="C882" t="s">
        <v>422</v>
      </c>
      <c r="D882" t="s">
        <v>1417</v>
      </c>
      <c r="E882" t="s">
        <v>1571</v>
      </c>
      <c r="F882">
        <v>4</v>
      </c>
      <c r="G882" s="14">
        <v>194.36</v>
      </c>
      <c r="H882" s="17">
        <v>0.18</v>
      </c>
      <c r="I882" t="s">
        <v>1614</v>
      </c>
      <c r="J882" s="14">
        <v>637.50080000000014</v>
      </c>
      <c r="K882" s="14">
        <f t="shared" si="104"/>
        <v>380632.10883188469</v>
      </c>
      <c r="L882" s="14">
        <f t="shared" si="105"/>
        <v>382</v>
      </c>
      <c r="M882" s="14" t="str">
        <f t="shared" si="106"/>
        <v>10-10-2024</v>
      </c>
      <c r="N882" s="14">
        <f t="shared" si="107"/>
        <v>0.1555842446472914</v>
      </c>
      <c r="O882" s="20">
        <f t="shared" si="108"/>
        <v>2.4967933064803929</v>
      </c>
      <c r="P882" s="14">
        <f t="shared" si="109"/>
        <v>466.62361484872719</v>
      </c>
      <c r="Q882" s="14">
        <f t="shared" si="110"/>
        <v>209.01020000000005</v>
      </c>
      <c r="R882" s="14" t="str">
        <f t="shared" si="111"/>
        <v>Oct</v>
      </c>
    </row>
    <row r="883" spans="1:18" x14ac:dyDescent="0.3">
      <c r="A883" t="s">
        <v>2492</v>
      </c>
      <c r="B883" s="1">
        <v>45660</v>
      </c>
      <c r="C883" t="s">
        <v>514</v>
      </c>
      <c r="D883" t="s">
        <v>1517</v>
      </c>
      <c r="E883" t="s">
        <v>1542</v>
      </c>
      <c r="F883">
        <v>3</v>
      </c>
      <c r="G883" s="14">
        <v>476.37</v>
      </c>
      <c r="H883" s="17">
        <v>0.21</v>
      </c>
      <c r="I883" t="s">
        <v>1614</v>
      </c>
      <c r="J883" s="14">
        <v>1128.9969000000001</v>
      </c>
      <c r="K883" s="14">
        <f t="shared" si="104"/>
        <v>380632.10883188469</v>
      </c>
      <c r="L883" s="14">
        <f t="shared" si="105"/>
        <v>382</v>
      </c>
      <c r="M883" s="14" t="str">
        <f t="shared" si="106"/>
        <v>03-01-2025</v>
      </c>
      <c r="N883" s="14">
        <f t="shared" si="107"/>
        <v>0.15556238631662647</v>
      </c>
      <c r="O883" s="20">
        <f t="shared" si="108"/>
        <v>2.4954475529499365</v>
      </c>
      <c r="P883" s="14">
        <f t="shared" si="109"/>
        <v>466.86736025145655</v>
      </c>
      <c r="Q883" s="14">
        <f t="shared" si="110"/>
        <v>402.14422500000001</v>
      </c>
      <c r="R883" s="14" t="str">
        <f t="shared" si="111"/>
        <v>Jan</v>
      </c>
    </row>
    <row r="884" spans="1:18" x14ac:dyDescent="0.3">
      <c r="A884" t="s">
        <v>2493</v>
      </c>
      <c r="B884" s="1">
        <v>45360</v>
      </c>
      <c r="C884" t="s">
        <v>1142</v>
      </c>
      <c r="D884" t="s">
        <v>1413</v>
      </c>
      <c r="E884" t="s">
        <v>1558</v>
      </c>
      <c r="F884">
        <v>3</v>
      </c>
      <c r="G884" s="14">
        <v>174.57</v>
      </c>
      <c r="H884" s="17">
        <v>0.15</v>
      </c>
      <c r="I884" t="s">
        <v>1611</v>
      </c>
      <c r="J884" s="14">
        <v>523.71</v>
      </c>
      <c r="K884" s="14">
        <f t="shared" si="104"/>
        <v>380632.10883188469</v>
      </c>
      <c r="L884" s="14">
        <f t="shared" si="105"/>
        <v>382</v>
      </c>
      <c r="M884" s="14" t="str">
        <f t="shared" si="106"/>
        <v>09-03-2024</v>
      </c>
      <c r="N884" s="14">
        <f t="shared" si="107"/>
        <v>0.15551360709289588</v>
      </c>
      <c r="O884" s="20">
        <f t="shared" si="108"/>
        <v>2.4949954450224721</v>
      </c>
      <c r="P884" s="14">
        <f t="shared" si="109"/>
        <v>466.85884534128763</v>
      </c>
      <c r="Q884" s="14">
        <f t="shared" si="110"/>
        <v>175.35750000000002</v>
      </c>
      <c r="R884" s="14" t="str">
        <f t="shared" si="111"/>
        <v>Mar</v>
      </c>
    </row>
    <row r="885" spans="1:18" x14ac:dyDescent="0.3">
      <c r="A885" t="s">
        <v>2494</v>
      </c>
      <c r="B885" s="1">
        <v>45526</v>
      </c>
      <c r="C885" t="s">
        <v>414</v>
      </c>
      <c r="D885" t="s">
        <v>1503</v>
      </c>
      <c r="E885" t="s">
        <v>1537</v>
      </c>
      <c r="F885">
        <v>3</v>
      </c>
      <c r="G885" s="14">
        <v>762</v>
      </c>
      <c r="H885" s="17">
        <v>0.02</v>
      </c>
      <c r="I885" t="s">
        <v>1611</v>
      </c>
      <c r="J885" s="14">
        <v>2240.2800000000002</v>
      </c>
      <c r="K885" s="14">
        <f t="shared" si="104"/>
        <v>380632.10883188469</v>
      </c>
      <c r="L885" s="14">
        <f t="shared" si="105"/>
        <v>382</v>
      </c>
      <c r="M885" s="14" t="str">
        <f t="shared" si="106"/>
        <v>22-08-2024</v>
      </c>
      <c r="N885" s="14">
        <f t="shared" si="107"/>
        <v>0.15551855203199261</v>
      </c>
      <c r="O885" s="20">
        <f t="shared" si="108"/>
        <v>2.4945425261390843</v>
      </c>
      <c r="P885" s="14">
        <f t="shared" si="109"/>
        <v>467.12098780347719</v>
      </c>
      <c r="Q885" s="14">
        <f t="shared" si="110"/>
        <v>751.32500000000005</v>
      </c>
      <c r="R885" s="14" t="str">
        <f t="shared" si="111"/>
        <v>Aug</v>
      </c>
    </row>
    <row r="886" spans="1:18" x14ac:dyDescent="0.3">
      <c r="A886" t="s">
        <v>2495</v>
      </c>
      <c r="B886" s="1">
        <v>45395</v>
      </c>
      <c r="C886" t="s">
        <v>1246</v>
      </c>
      <c r="D886" t="s">
        <v>1477</v>
      </c>
      <c r="E886" t="s">
        <v>1598</v>
      </c>
      <c r="F886">
        <v>1</v>
      </c>
      <c r="G886" s="14">
        <v>44.08</v>
      </c>
      <c r="H886" s="17">
        <v>0.05</v>
      </c>
      <c r="I886" t="s">
        <v>1609</v>
      </c>
      <c r="J886" s="14">
        <v>41.875999999999998</v>
      </c>
      <c r="K886" s="14">
        <f t="shared" si="104"/>
        <v>380632.10883188469</v>
      </c>
      <c r="L886" s="14">
        <f t="shared" si="105"/>
        <v>382</v>
      </c>
      <c r="M886" s="14" t="str">
        <f t="shared" si="106"/>
        <v>13-04-2024</v>
      </c>
      <c r="N886" s="14">
        <f t="shared" si="107"/>
        <v>0.15564020243776641</v>
      </c>
      <c r="O886" s="20">
        <f t="shared" si="108"/>
        <v>2.4940887941158696</v>
      </c>
      <c r="P886" s="14">
        <f t="shared" si="109"/>
        <v>466.85628491999734</v>
      </c>
      <c r="Q886" s="14">
        <f t="shared" si="110"/>
        <v>21.7515</v>
      </c>
      <c r="R886" s="14" t="str">
        <f t="shared" si="111"/>
        <v>Apr</v>
      </c>
    </row>
    <row r="887" spans="1:18" x14ac:dyDescent="0.3">
      <c r="A887" t="s">
        <v>2496</v>
      </c>
      <c r="B887" s="1">
        <v>45466</v>
      </c>
      <c r="C887" t="s">
        <v>1316</v>
      </c>
      <c r="D887" t="s">
        <v>1451</v>
      </c>
      <c r="E887" t="s">
        <v>1582</v>
      </c>
      <c r="F887">
        <v>1</v>
      </c>
      <c r="G887" s="14">
        <v>992.37</v>
      </c>
      <c r="H887" s="17">
        <v>0.24</v>
      </c>
      <c r="I887" t="s">
        <v>1614</v>
      </c>
      <c r="J887" s="14">
        <v>754.20119999999997</v>
      </c>
      <c r="K887" s="14">
        <f t="shared" si="104"/>
        <v>380590.2328318847</v>
      </c>
      <c r="L887" s="14">
        <f t="shared" si="105"/>
        <v>381</v>
      </c>
      <c r="M887" s="14" t="str">
        <f t="shared" si="106"/>
        <v>23-06-2024</v>
      </c>
      <c r="N887" s="14">
        <f t="shared" si="107"/>
        <v>0.1557351172647545</v>
      </c>
      <c r="O887" s="20">
        <f t="shared" si="108"/>
        <v>2.4954311919542489</v>
      </c>
      <c r="P887" s="14">
        <f t="shared" si="109"/>
        <v>467.23613782648425</v>
      </c>
      <c r="Q887" s="14">
        <f t="shared" si="110"/>
        <v>436.95280000000002</v>
      </c>
      <c r="R887" s="14" t="str">
        <f t="shared" si="111"/>
        <v>Jun</v>
      </c>
    </row>
    <row r="888" spans="1:18" x14ac:dyDescent="0.3">
      <c r="A888" t="s">
        <v>2497</v>
      </c>
      <c r="B888" s="1">
        <v>45876</v>
      </c>
      <c r="C888" t="s">
        <v>657</v>
      </c>
      <c r="D888" t="s">
        <v>1395</v>
      </c>
      <c r="E888" t="s">
        <v>1574</v>
      </c>
      <c r="F888">
        <v>3</v>
      </c>
      <c r="G888" s="14">
        <v>465.4</v>
      </c>
      <c r="H888" s="17">
        <v>0.28999999999999998</v>
      </c>
      <c r="I888" t="s">
        <v>1614</v>
      </c>
      <c r="J888" s="14">
        <v>991.30199999999979</v>
      </c>
      <c r="K888" s="14">
        <f t="shared" si="104"/>
        <v>380590.2328318847</v>
      </c>
      <c r="L888" s="14">
        <f t="shared" si="105"/>
        <v>381</v>
      </c>
      <c r="M888" s="14" t="str">
        <f t="shared" si="106"/>
        <v>07-08-2025</v>
      </c>
      <c r="N888" s="14">
        <f t="shared" si="107"/>
        <v>0.1556593394925106</v>
      </c>
      <c r="O888" s="20">
        <f t="shared" si="108"/>
        <v>2.4967760041772293</v>
      </c>
      <c r="P888" s="14">
        <f t="shared" si="109"/>
        <v>466.76389514467354</v>
      </c>
      <c r="Q888" s="14">
        <f t="shared" si="110"/>
        <v>364.99799999999993</v>
      </c>
      <c r="R888" s="14" t="str">
        <f t="shared" si="111"/>
        <v>Aug</v>
      </c>
    </row>
    <row r="889" spans="1:18" x14ac:dyDescent="0.3">
      <c r="A889" t="s">
        <v>2498</v>
      </c>
      <c r="B889" s="1">
        <v>45724</v>
      </c>
      <c r="C889" t="s">
        <v>1059</v>
      </c>
      <c r="D889" t="s">
        <v>1365</v>
      </c>
      <c r="E889" t="s">
        <v>1574</v>
      </c>
      <c r="F889">
        <v>2</v>
      </c>
      <c r="G889" s="14">
        <v>693.61</v>
      </c>
      <c r="H889" s="17">
        <v>0.15</v>
      </c>
      <c r="I889" t="s">
        <v>1611</v>
      </c>
      <c r="J889" s="14">
        <v>1179.1369999999999</v>
      </c>
      <c r="K889" s="14">
        <f t="shared" si="104"/>
        <v>380590.2328318847</v>
      </c>
      <c r="L889" s="14">
        <f t="shared" si="105"/>
        <v>381</v>
      </c>
      <c r="M889" s="14" t="str">
        <f t="shared" si="106"/>
        <v>08-03-2025</v>
      </c>
      <c r="N889" s="14">
        <f t="shared" si="107"/>
        <v>0.15553842080618521</v>
      </c>
      <c r="O889" s="20">
        <f t="shared" si="108"/>
        <v>2.4963230572862991</v>
      </c>
      <c r="P889" s="14">
        <f t="shared" si="109"/>
        <v>466.76512277306654</v>
      </c>
      <c r="Q889" s="14">
        <f t="shared" si="110"/>
        <v>468.72424999999998</v>
      </c>
      <c r="R889" s="14" t="str">
        <f t="shared" si="111"/>
        <v>Mar</v>
      </c>
    </row>
    <row r="890" spans="1:18" x14ac:dyDescent="0.3">
      <c r="A890" t="s">
        <v>2499</v>
      </c>
      <c r="B890" s="1">
        <v>45801</v>
      </c>
      <c r="C890" t="s">
        <v>1286</v>
      </c>
      <c r="D890" t="s">
        <v>1467</v>
      </c>
      <c r="E890" t="s">
        <v>1567</v>
      </c>
      <c r="F890">
        <v>2</v>
      </c>
      <c r="G890" s="14">
        <v>995.11</v>
      </c>
      <c r="H890" s="17">
        <v>0.13</v>
      </c>
      <c r="I890" t="s">
        <v>1611</v>
      </c>
      <c r="J890" s="14">
        <v>1731.4914000000001</v>
      </c>
      <c r="K890" s="14">
        <f t="shared" si="104"/>
        <v>380590.2328318847</v>
      </c>
      <c r="L890" s="14">
        <f t="shared" si="105"/>
        <v>381</v>
      </c>
      <c r="M890" s="14" t="str">
        <f t="shared" si="106"/>
        <v>24-05-2025</v>
      </c>
      <c r="N890" s="14">
        <f t="shared" si="107"/>
        <v>0.15554341037447908</v>
      </c>
      <c r="O890" s="20">
        <f t="shared" si="108"/>
        <v>2.4967701951757464</v>
      </c>
      <c r="P890" s="14">
        <f t="shared" si="109"/>
        <v>466.56075801880809</v>
      </c>
      <c r="Q890" s="14">
        <f t="shared" si="110"/>
        <v>682.18285000000003</v>
      </c>
      <c r="R890" s="14" t="str">
        <f t="shared" si="111"/>
        <v>May</v>
      </c>
    </row>
    <row r="891" spans="1:18" x14ac:dyDescent="0.3">
      <c r="A891" t="s">
        <v>2500</v>
      </c>
      <c r="B891" s="1">
        <v>45749</v>
      </c>
      <c r="C891" t="s">
        <v>1190</v>
      </c>
      <c r="D891" t="s">
        <v>1379</v>
      </c>
      <c r="E891" t="s">
        <v>1554</v>
      </c>
      <c r="F891">
        <v>3</v>
      </c>
      <c r="G891" s="14">
        <v>70.97</v>
      </c>
      <c r="H891" s="17">
        <v>0.06</v>
      </c>
      <c r="I891" t="s">
        <v>1614</v>
      </c>
      <c r="J891" s="14">
        <v>200.1354</v>
      </c>
      <c r="K891" s="14">
        <f t="shared" si="104"/>
        <v>380590.2328318847</v>
      </c>
      <c r="L891" s="14">
        <f t="shared" si="105"/>
        <v>381</v>
      </c>
      <c r="M891" s="14" t="str">
        <f t="shared" si="106"/>
        <v>02-04-2025</v>
      </c>
      <c r="N891" s="14">
        <f t="shared" si="107"/>
        <v>0.15556644320619636</v>
      </c>
      <c r="O891" s="20">
        <f t="shared" si="108"/>
        <v>2.4972181394455171</v>
      </c>
      <c r="P891" s="14">
        <f t="shared" si="109"/>
        <v>466.08415816129576</v>
      </c>
      <c r="Q891" s="14">
        <f t="shared" si="110"/>
        <v>68.541349999999994</v>
      </c>
      <c r="R891" s="14" t="str">
        <f t="shared" si="111"/>
        <v>Apr</v>
      </c>
    </row>
    <row r="892" spans="1:18" x14ac:dyDescent="0.3">
      <c r="A892" t="s">
        <v>2501</v>
      </c>
      <c r="B892" s="1">
        <v>45325</v>
      </c>
      <c r="C892" t="s">
        <v>396</v>
      </c>
      <c r="D892" t="s">
        <v>1499</v>
      </c>
      <c r="E892" t="s">
        <v>1571</v>
      </c>
      <c r="F892">
        <v>3</v>
      </c>
      <c r="G892" s="14">
        <v>470.42</v>
      </c>
      <c r="H892" s="17">
        <v>0.16</v>
      </c>
      <c r="I892" t="s">
        <v>1609</v>
      </c>
      <c r="J892" s="14">
        <v>1185.4584</v>
      </c>
      <c r="K892" s="14">
        <f t="shared" si="104"/>
        <v>380590.2328318847</v>
      </c>
      <c r="L892" s="14">
        <f t="shared" si="105"/>
        <v>381</v>
      </c>
      <c r="M892" s="14" t="str">
        <f t="shared" si="106"/>
        <v>03-02-2024</v>
      </c>
      <c r="N892" s="14">
        <f t="shared" si="107"/>
        <v>0.15565269450872904</v>
      </c>
      <c r="O892" s="20">
        <f t="shared" si="108"/>
        <v>2.4967643652031395</v>
      </c>
      <c r="P892" s="14">
        <f t="shared" si="109"/>
        <v>466.44075938707311</v>
      </c>
      <c r="Q892" s="14">
        <f t="shared" si="110"/>
        <v>414.75959999999998</v>
      </c>
      <c r="R892" s="14" t="str">
        <f t="shared" si="111"/>
        <v>Feb</v>
      </c>
    </row>
    <row r="893" spans="1:18" x14ac:dyDescent="0.3">
      <c r="A893" t="s">
        <v>2502</v>
      </c>
      <c r="B893" s="1">
        <v>45932</v>
      </c>
      <c r="C893" t="s">
        <v>990</v>
      </c>
      <c r="D893" t="s">
        <v>1505</v>
      </c>
      <c r="E893" t="s">
        <v>1589</v>
      </c>
      <c r="F893">
        <v>2</v>
      </c>
      <c r="G893" s="14">
        <v>215.59</v>
      </c>
      <c r="H893" s="17">
        <v>0.18</v>
      </c>
      <c r="I893" t="s">
        <v>1609</v>
      </c>
      <c r="J893" s="14">
        <v>353.56760000000003</v>
      </c>
      <c r="K893" s="14">
        <f t="shared" si="104"/>
        <v>379404.7744318847</v>
      </c>
      <c r="L893" s="14">
        <f t="shared" si="105"/>
        <v>380</v>
      </c>
      <c r="M893" s="14" t="str">
        <f t="shared" si="106"/>
        <v>02-10-2025</v>
      </c>
      <c r="N893" s="14">
        <f t="shared" si="107"/>
        <v>0.15564876740349753</v>
      </c>
      <c r="O893" s="20">
        <f t="shared" si="108"/>
        <v>2.4963097711337654</v>
      </c>
      <c r="P893" s="14">
        <f t="shared" si="109"/>
        <v>466.43716477043989</v>
      </c>
      <c r="Q893" s="14">
        <f t="shared" si="110"/>
        <v>142.83440000000002</v>
      </c>
      <c r="R893" s="14" t="str">
        <f t="shared" si="111"/>
        <v>Oct</v>
      </c>
    </row>
    <row r="894" spans="1:18" x14ac:dyDescent="0.3">
      <c r="A894" t="s">
        <v>2503</v>
      </c>
      <c r="B894" s="1">
        <v>45895</v>
      </c>
      <c r="C894" t="s">
        <v>767</v>
      </c>
      <c r="D894" t="s">
        <v>1517</v>
      </c>
      <c r="E894" t="s">
        <v>1537</v>
      </c>
      <c r="F894">
        <v>1</v>
      </c>
      <c r="G894" s="14">
        <v>533.79999999999995</v>
      </c>
      <c r="H894" s="17">
        <v>0.27</v>
      </c>
      <c r="I894" t="s">
        <v>1614</v>
      </c>
      <c r="J894" s="14">
        <v>389.67399999999998</v>
      </c>
      <c r="K894" s="14">
        <f t="shared" si="104"/>
        <v>379051.20683188469</v>
      </c>
      <c r="L894" s="14">
        <f t="shared" si="105"/>
        <v>379</v>
      </c>
      <c r="M894" s="14" t="str">
        <f t="shared" si="106"/>
        <v>26-08-2025</v>
      </c>
      <c r="N894" s="14">
        <f t="shared" si="107"/>
        <v>0.15562675001416976</v>
      </c>
      <c r="O894" s="20">
        <f t="shared" si="108"/>
        <v>2.4967585141456405</v>
      </c>
      <c r="P894" s="14">
        <f t="shared" si="109"/>
        <v>466.66397052520523</v>
      </c>
      <c r="Q894" s="14">
        <f t="shared" si="110"/>
        <v>231.18599999999998</v>
      </c>
      <c r="R894" s="14" t="str">
        <f t="shared" si="111"/>
        <v>Aug</v>
      </c>
    </row>
    <row r="895" spans="1:18" x14ac:dyDescent="0.3">
      <c r="A895" t="s">
        <v>2504</v>
      </c>
      <c r="B895" s="1">
        <v>45614</v>
      </c>
      <c r="C895" t="s">
        <v>335</v>
      </c>
      <c r="D895" t="s">
        <v>1397</v>
      </c>
      <c r="E895" t="s">
        <v>1551</v>
      </c>
      <c r="F895">
        <v>2</v>
      </c>
      <c r="G895" s="14">
        <v>732.67</v>
      </c>
      <c r="H895" s="17">
        <v>0.24</v>
      </c>
      <c r="I895" t="s">
        <v>1611</v>
      </c>
      <c r="J895" s="14">
        <v>1113.6584</v>
      </c>
      <c r="K895" s="14">
        <f t="shared" si="104"/>
        <v>379051.20683188469</v>
      </c>
      <c r="L895" s="14">
        <f t="shared" si="105"/>
        <v>379</v>
      </c>
      <c r="M895" s="14" t="str">
        <f t="shared" si="106"/>
        <v>18-11-2024</v>
      </c>
      <c r="N895" s="14">
        <f t="shared" si="107"/>
        <v>0.15552324481056271</v>
      </c>
      <c r="O895" s="20">
        <f t="shared" si="108"/>
        <v>2.4981130467376276</v>
      </c>
      <c r="P895" s="14">
        <f t="shared" si="109"/>
        <v>466.60321393744533</v>
      </c>
      <c r="Q895" s="14">
        <f t="shared" si="110"/>
        <v>462.14210000000003</v>
      </c>
      <c r="R895" s="14" t="str">
        <f t="shared" si="111"/>
        <v>Nov</v>
      </c>
    </row>
    <row r="896" spans="1:18" x14ac:dyDescent="0.3">
      <c r="A896" t="s">
        <v>2505</v>
      </c>
      <c r="B896" s="1">
        <v>45247</v>
      </c>
      <c r="C896" t="s">
        <v>1310</v>
      </c>
      <c r="D896" t="s">
        <v>1453</v>
      </c>
      <c r="E896" t="s">
        <v>1582</v>
      </c>
      <c r="F896">
        <v>4</v>
      </c>
      <c r="G896" s="14">
        <v>106.48</v>
      </c>
      <c r="H896" s="17">
        <v>0.1</v>
      </c>
      <c r="I896" t="s">
        <v>1614</v>
      </c>
      <c r="J896" s="14">
        <v>383.32799999999997</v>
      </c>
      <c r="K896" s="14">
        <f t="shared" si="104"/>
        <v>379051.20683188469</v>
      </c>
      <c r="L896" s="14">
        <f t="shared" si="105"/>
        <v>379</v>
      </c>
      <c r="M896" s="14" t="str">
        <f t="shared" si="106"/>
        <v>17-11-2023</v>
      </c>
      <c r="N896" s="14">
        <f t="shared" si="107"/>
        <v>0.15544672601057224</v>
      </c>
      <c r="O896" s="20">
        <f t="shared" si="108"/>
        <v>2.4985642360915565</v>
      </c>
      <c r="P896" s="14">
        <f t="shared" si="109"/>
        <v>466.36221141383788</v>
      </c>
      <c r="Q896" s="14">
        <f t="shared" si="110"/>
        <v>123.47699999999999</v>
      </c>
      <c r="R896" s="14" t="str">
        <f t="shared" si="111"/>
        <v>Nov</v>
      </c>
    </row>
    <row r="897" spans="1:18" x14ac:dyDescent="0.3">
      <c r="A897" t="s">
        <v>2506</v>
      </c>
      <c r="B897" s="1">
        <v>45696</v>
      </c>
      <c r="C897" t="s">
        <v>372</v>
      </c>
      <c r="D897" t="s">
        <v>1447</v>
      </c>
      <c r="E897" t="s">
        <v>1551</v>
      </c>
      <c r="F897">
        <v>1</v>
      </c>
      <c r="G897" s="14">
        <v>38.950000000000003</v>
      </c>
      <c r="H897" s="17">
        <v>0.28000000000000003</v>
      </c>
      <c r="I897" t="s">
        <v>1609</v>
      </c>
      <c r="J897" s="14">
        <v>28.044</v>
      </c>
      <c r="K897" s="14">
        <f t="shared" si="104"/>
        <v>379051.20683188469</v>
      </c>
      <c r="L897" s="14">
        <f t="shared" si="105"/>
        <v>379</v>
      </c>
      <c r="M897" s="14" t="str">
        <f t="shared" si="106"/>
        <v>08-02-2025</v>
      </c>
      <c r="N897" s="14">
        <f t="shared" si="107"/>
        <v>0.15549699502780762</v>
      </c>
      <c r="O897" s="20">
        <f t="shared" si="108"/>
        <v>2.4972030069311679</v>
      </c>
      <c r="P897" s="14">
        <f t="shared" si="109"/>
        <v>466.68848721747679</v>
      </c>
      <c r="Q897" s="14">
        <f t="shared" si="110"/>
        <v>17.0685</v>
      </c>
      <c r="R897" s="14" t="str">
        <f t="shared" si="111"/>
        <v>Feb</v>
      </c>
    </row>
    <row r="898" spans="1:18" x14ac:dyDescent="0.3">
      <c r="A898" t="s">
        <v>2507</v>
      </c>
      <c r="B898" s="1">
        <v>45294</v>
      </c>
      <c r="C898" t="s">
        <v>1252</v>
      </c>
      <c r="D898" t="s">
        <v>1525</v>
      </c>
      <c r="E898" t="s">
        <v>1589</v>
      </c>
      <c r="F898">
        <v>1</v>
      </c>
      <c r="G898" s="14">
        <v>835.17</v>
      </c>
      <c r="H898" s="17">
        <v>0.02</v>
      </c>
      <c r="I898" t="s">
        <v>1614</v>
      </c>
      <c r="J898" s="14">
        <v>818.46659999999997</v>
      </c>
      <c r="K898" s="14">
        <f t="shared" ref="K898:K960" si="112">SUMIF(I898:I2897,"Credit Card",J898:J2897)</f>
        <v>379023.16283188469</v>
      </c>
      <c r="L898" s="14">
        <f t="shared" ref="L898:L960" si="113">COUNTIF(I898:I2897,"Credit Card")</f>
        <v>378</v>
      </c>
      <c r="M898" s="14" t="str">
        <f t="shared" ref="M898:M960" si="114">TEXT(B898:B2897,"dd-mm-yyyy")</f>
        <v>03-01-2024</v>
      </c>
      <c r="N898" s="14">
        <f t="shared" ref="N898:N960" si="115">AVERAGE(H898:H2897)</f>
        <v>0.15538401589443901</v>
      </c>
      <c r="O898" s="20">
        <f t="shared" ref="O898:O960" si="116">AVERAGE(F898:F2897)</f>
        <v>2.4985616303494358</v>
      </c>
      <c r="P898" s="14">
        <f t="shared" ref="P898:P960" si="117">AVERAGE(G898:G2897)</f>
        <v>467.0766346650426</v>
      </c>
      <c r="Q898" s="14">
        <f t="shared" ref="Q898:Q960" si="118">AVERAGE(F898,G898,H898,J898)</f>
        <v>413.66414999999995</v>
      </c>
      <c r="R898" s="14" t="str">
        <f t="shared" ref="R898:R960" si="119">TEXT(M898,"mmm")</f>
        <v>Jan</v>
      </c>
    </row>
    <row r="899" spans="1:18" x14ac:dyDescent="0.3">
      <c r="A899" t="s">
        <v>2508</v>
      </c>
      <c r="B899" s="1">
        <v>45389</v>
      </c>
      <c r="C899" t="s">
        <v>458</v>
      </c>
      <c r="D899" t="s">
        <v>1499</v>
      </c>
      <c r="E899" t="s">
        <v>1551</v>
      </c>
      <c r="F899">
        <v>1</v>
      </c>
      <c r="G899" s="14">
        <v>113.07</v>
      </c>
      <c r="H899" s="17">
        <v>0.24</v>
      </c>
      <c r="I899" t="s">
        <v>1609</v>
      </c>
      <c r="J899" s="14">
        <v>85.933199999999999</v>
      </c>
      <c r="K899" s="14">
        <f t="shared" si="112"/>
        <v>379023.16283188469</v>
      </c>
      <c r="L899" s="14">
        <f t="shared" si="113"/>
        <v>378</v>
      </c>
      <c r="M899" s="14" t="str">
        <f t="shared" si="114"/>
        <v>07-04-2024</v>
      </c>
      <c r="N899" s="14">
        <f t="shared" si="115"/>
        <v>0.15550698048653203</v>
      </c>
      <c r="O899" s="20">
        <f t="shared" si="116"/>
        <v>2.4999227217484812</v>
      </c>
      <c r="P899" s="14">
        <f t="shared" si="117"/>
        <v>466.74230826600996</v>
      </c>
      <c r="Q899" s="14">
        <f t="shared" si="118"/>
        <v>50.0608</v>
      </c>
      <c r="R899" s="14" t="str">
        <f t="shared" si="119"/>
        <v>Apr</v>
      </c>
    </row>
    <row r="900" spans="1:18" x14ac:dyDescent="0.3">
      <c r="A900" t="s">
        <v>2509</v>
      </c>
      <c r="B900" s="1">
        <v>45930</v>
      </c>
      <c r="C900" t="s">
        <v>1287</v>
      </c>
      <c r="D900" t="s">
        <v>1521</v>
      </c>
      <c r="E900" t="s">
        <v>1579</v>
      </c>
      <c r="F900">
        <v>2</v>
      </c>
      <c r="G900" s="14">
        <v>451.33</v>
      </c>
      <c r="H900" s="17">
        <v>0.23</v>
      </c>
      <c r="I900" t="s">
        <v>1614</v>
      </c>
      <c r="J900" s="14">
        <v>695.04819999999995</v>
      </c>
      <c r="K900" s="14">
        <f t="shared" si="112"/>
        <v>378937.22963188466</v>
      </c>
      <c r="L900" s="14">
        <f t="shared" si="113"/>
        <v>377</v>
      </c>
      <c r="M900" s="14" t="str">
        <f t="shared" si="114"/>
        <v>30-09-2025</v>
      </c>
      <c r="N900" s="14">
        <f t="shared" si="115"/>
        <v>0.15543016865061071</v>
      </c>
      <c r="O900" s="20">
        <f t="shared" si="116"/>
        <v>2.5012862878591622</v>
      </c>
      <c r="P900" s="14">
        <f t="shared" si="117"/>
        <v>467.06382854625178</v>
      </c>
      <c r="Q900" s="14">
        <f t="shared" si="118"/>
        <v>287.15204999999997</v>
      </c>
      <c r="R900" s="14" t="str">
        <f t="shared" si="119"/>
        <v>Sep</v>
      </c>
    </row>
    <row r="901" spans="1:18" x14ac:dyDescent="0.3">
      <c r="A901" t="s">
        <v>2510</v>
      </c>
      <c r="B901" s="1">
        <v>45456</v>
      </c>
      <c r="C901" t="s">
        <v>1163</v>
      </c>
      <c r="D901" t="s">
        <v>1505</v>
      </c>
      <c r="E901" t="s">
        <v>1561</v>
      </c>
      <c r="F901">
        <v>3</v>
      </c>
      <c r="G901" s="14">
        <v>619.80999999999995</v>
      </c>
      <c r="H901" s="17">
        <v>0.16</v>
      </c>
      <c r="I901" t="s">
        <v>1614</v>
      </c>
      <c r="J901" s="14">
        <v>1561.9212</v>
      </c>
      <c r="K901" s="14">
        <f t="shared" si="112"/>
        <v>378937.22963188466</v>
      </c>
      <c r="L901" s="14">
        <f t="shared" si="113"/>
        <v>377</v>
      </c>
      <c r="M901" s="14" t="str">
        <f t="shared" si="114"/>
        <v>13-06-2024</v>
      </c>
      <c r="N901" s="14">
        <f t="shared" si="115"/>
        <v>0.15536231621080235</v>
      </c>
      <c r="O901" s="20">
        <f t="shared" si="116"/>
        <v>2.5017424173294618</v>
      </c>
      <c r="P901" s="14">
        <f t="shared" si="117"/>
        <v>467.07814504174434</v>
      </c>
      <c r="Q901" s="14">
        <f t="shared" si="118"/>
        <v>546.22280000000001</v>
      </c>
      <c r="R901" s="14" t="str">
        <f t="shared" si="119"/>
        <v>Jun</v>
      </c>
    </row>
    <row r="902" spans="1:18" x14ac:dyDescent="0.3">
      <c r="A902" t="s">
        <v>2511</v>
      </c>
      <c r="B902" s="1">
        <v>45713</v>
      </c>
      <c r="C902" t="s">
        <v>381</v>
      </c>
      <c r="D902" t="s">
        <v>1457</v>
      </c>
      <c r="E902" t="s">
        <v>1564</v>
      </c>
      <c r="F902">
        <v>4</v>
      </c>
      <c r="G902" s="14">
        <v>46.97</v>
      </c>
      <c r="H902" s="17">
        <v>0.26</v>
      </c>
      <c r="I902" t="s">
        <v>1611</v>
      </c>
      <c r="J902" s="14">
        <v>139.03120000000001</v>
      </c>
      <c r="K902" s="14">
        <f t="shared" si="112"/>
        <v>378937.22963188466</v>
      </c>
      <c r="L902" s="14">
        <f t="shared" si="113"/>
        <v>377</v>
      </c>
      <c r="M902" s="14" t="str">
        <f t="shared" si="114"/>
        <v>25-02-2025</v>
      </c>
      <c r="N902" s="14">
        <f t="shared" si="115"/>
        <v>0.15535809245507448</v>
      </c>
      <c r="O902" s="20">
        <f t="shared" si="116"/>
        <v>2.5012886308242974</v>
      </c>
      <c r="P902" s="14">
        <f t="shared" si="117"/>
        <v>466.93904499169122</v>
      </c>
      <c r="Q902" s="14">
        <f t="shared" si="118"/>
        <v>47.565300000000001</v>
      </c>
      <c r="R902" s="14" t="str">
        <f t="shared" si="119"/>
        <v>Feb</v>
      </c>
    </row>
    <row r="903" spans="1:18" x14ac:dyDescent="0.3">
      <c r="A903" t="s">
        <v>2512</v>
      </c>
      <c r="B903" s="1">
        <v>45784</v>
      </c>
      <c r="C903" t="s">
        <v>607</v>
      </c>
      <c r="D903" t="s">
        <v>1425</v>
      </c>
      <c r="E903" t="s">
        <v>1546</v>
      </c>
      <c r="F903">
        <v>2</v>
      </c>
      <c r="G903" s="14">
        <v>71.48</v>
      </c>
      <c r="H903" s="17">
        <v>0.14000000000000001</v>
      </c>
      <c r="I903" t="s">
        <v>1614</v>
      </c>
      <c r="J903" s="14">
        <v>122.9456</v>
      </c>
      <c r="K903" s="14">
        <f t="shared" si="112"/>
        <v>378937.22963188466</v>
      </c>
      <c r="L903" s="14">
        <f t="shared" si="113"/>
        <v>377</v>
      </c>
      <c r="M903" s="14" t="str">
        <f t="shared" si="114"/>
        <v>07-05-2025</v>
      </c>
      <c r="N903" s="14">
        <f t="shared" si="115"/>
        <v>0.15526270329596334</v>
      </c>
      <c r="O903" s="20">
        <f t="shared" si="116"/>
        <v>2.4999224399681661</v>
      </c>
      <c r="P903" s="14">
        <f t="shared" si="117"/>
        <v>467.32187912568548</v>
      </c>
      <c r="Q903" s="14">
        <f t="shared" si="118"/>
        <v>49.141400000000004</v>
      </c>
      <c r="R903" s="14" t="str">
        <f t="shared" si="119"/>
        <v>May</v>
      </c>
    </row>
    <row r="904" spans="1:18" x14ac:dyDescent="0.3">
      <c r="A904" t="s">
        <v>2513</v>
      </c>
      <c r="B904" s="1">
        <v>45812</v>
      </c>
      <c r="C904" t="s">
        <v>8</v>
      </c>
      <c r="D904" t="s">
        <v>1445</v>
      </c>
      <c r="E904" t="s">
        <v>1598</v>
      </c>
      <c r="F904">
        <v>2</v>
      </c>
      <c r="G904" s="14">
        <v>404.08</v>
      </c>
      <c r="H904" s="17">
        <v>7.0000000000000007E-2</v>
      </c>
      <c r="I904" t="s">
        <v>1609</v>
      </c>
      <c r="J904" s="14">
        <v>751.58879999999988</v>
      </c>
      <c r="K904" s="14">
        <f t="shared" si="112"/>
        <v>378937.22963188466</v>
      </c>
      <c r="L904" s="14">
        <f t="shared" si="113"/>
        <v>377</v>
      </c>
      <c r="M904" s="14" t="str">
        <f t="shared" si="114"/>
        <v>04-06-2025</v>
      </c>
      <c r="N904" s="14">
        <f t="shared" si="115"/>
        <v>0.15527662912013848</v>
      </c>
      <c r="O904" s="20">
        <f t="shared" si="116"/>
        <v>2.5003785735812758</v>
      </c>
      <c r="P904" s="14">
        <f t="shared" si="117"/>
        <v>467.68304872342782</v>
      </c>
      <c r="Q904" s="14">
        <f t="shared" si="118"/>
        <v>289.43469999999996</v>
      </c>
      <c r="R904" s="14" t="str">
        <f t="shared" si="119"/>
        <v>Jun</v>
      </c>
    </row>
    <row r="905" spans="1:18" x14ac:dyDescent="0.3">
      <c r="A905" t="s">
        <v>2514</v>
      </c>
      <c r="B905" s="1">
        <v>45653</v>
      </c>
      <c r="C905" t="s">
        <v>842</v>
      </c>
      <c r="D905" t="s">
        <v>1367</v>
      </c>
      <c r="E905" t="s">
        <v>1589</v>
      </c>
      <c r="F905">
        <v>1</v>
      </c>
      <c r="G905" s="14">
        <v>519.91</v>
      </c>
      <c r="H905" s="17">
        <v>0.05</v>
      </c>
      <c r="I905" t="s">
        <v>1614</v>
      </c>
      <c r="J905" s="14">
        <v>493.91449999999992</v>
      </c>
      <c r="K905" s="14">
        <f t="shared" si="112"/>
        <v>378185.6408318847</v>
      </c>
      <c r="L905" s="14">
        <f t="shared" si="113"/>
        <v>376</v>
      </c>
      <c r="M905" s="14" t="str">
        <f t="shared" si="114"/>
        <v>27-12-2024</v>
      </c>
      <c r="N905" s="14">
        <f t="shared" si="115"/>
        <v>0.15535450732024819</v>
      </c>
      <c r="O905" s="20">
        <f t="shared" si="116"/>
        <v>2.5008355403151401</v>
      </c>
      <c r="P905" s="14">
        <f t="shared" si="117"/>
        <v>467.74113369943097</v>
      </c>
      <c r="Q905" s="14">
        <f t="shared" si="118"/>
        <v>253.71862499999997</v>
      </c>
      <c r="R905" s="14" t="str">
        <f t="shared" si="119"/>
        <v>Dec</v>
      </c>
    </row>
    <row r="906" spans="1:18" x14ac:dyDescent="0.3">
      <c r="A906" t="s">
        <v>2515</v>
      </c>
      <c r="B906" s="1">
        <v>45672</v>
      </c>
      <c r="C906" t="s">
        <v>490</v>
      </c>
      <c r="D906" t="s">
        <v>1429</v>
      </c>
      <c r="E906" t="s">
        <v>1582</v>
      </c>
      <c r="F906">
        <v>3</v>
      </c>
      <c r="G906" s="14">
        <v>566.16</v>
      </c>
      <c r="H906" s="17">
        <v>0.05</v>
      </c>
      <c r="I906" t="s">
        <v>1611</v>
      </c>
      <c r="J906" s="14">
        <v>1613.556</v>
      </c>
      <c r="K906" s="14">
        <f t="shared" si="112"/>
        <v>378185.6408318847</v>
      </c>
      <c r="L906" s="14">
        <f t="shared" si="113"/>
        <v>376</v>
      </c>
      <c r="M906" s="14" t="str">
        <f t="shared" si="114"/>
        <v>15-01-2025</v>
      </c>
      <c r="N906" s="14">
        <f t="shared" si="115"/>
        <v>0.15545080942931605</v>
      </c>
      <c r="O906" s="20">
        <f t="shared" si="116"/>
        <v>2.5022074192368176</v>
      </c>
      <c r="P906" s="14">
        <f t="shared" si="117"/>
        <v>467.69344734997901</v>
      </c>
      <c r="Q906" s="14">
        <f t="shared" si="118"/>
        <v>545.69150000000002</v>
      </c>
      <c r="R906" s="14" t="str">
        <f t="shared" si="119"/>
        <v>Jan</v>
      </c>
    </row>
    <row r="907" spans="1:18" x14ac:dyDescent="0.3">
      <c r="A907" t="s">
        <v>2516</v>
      </c>
      <c r="B907" s="1">
        <v>45799</v>
      </c>
      <c r="C907" t="s">
        <v>1213</v>
      </c>
      <c r="D907" t="s">
        <v>1437</v>
      </c>
      <c r="E907" t="s">
        <v>1574</v>
      </c>
      <c r="F907">
        <v>2</v>
      </c>
      <c r="G907" s="14">
        <v>295.12</v>
      </c>
      <c r="H907" s="17">
        <v>0.09</v>
      </c>
      <c r="I907" t="s">
        <v>1614</v>
      </c>
      <c r="J907" s="14">
        <v>537.11840000000007</v>
      </c>
      <c r="K907" s="14">
        <f t="shared" si="112"/>
        <v>378185.6408318847</v>
      </c>
      <c r="L907" s="14">
        <f t="shared" si="113"/>
        <v>376</v>
      </c>
      <c r="M907" s="14" t="str">
        <f t="shared" si="114"/>
        <v>22-05-2025</v>
      </c>
      <c r="N907" s="14">
        <f t="shared" si="115"/>
        <v>0.15554728775450299</v>
      </c>
      <c r="O907" s="20">
        <f t="shared" si="116"/>
        <v>2.5017519822919296</v>
      </c>
      <c r="P907" s="14">
        <f t="shared" si="117"/>
        <v>467.60335901269622</v>
      </c>
      <c r="Q907" s="14">
        <f t="shared" si="118"/>
        <v>208.58210000000003</v>
      </c>
      <c r="R907" s="14" t="str">
        <f t="shared" si="119"/>
        <v>May</v>
      </c>
    </row>
    <row r="908" spans="1:18" x14ac:dyDescent="0.3">
      <c r="A908" t="s">
        <v>2517</v>
      </c>
      <c r="B908" s="1">
        <v>45848</v>
      </c>
      <c r="C908" t="s">
        <v>384</v>
      </c>
      <c r="D908" t="s">
        <v>1401</v>
      </c>
      <c r="E908" t="s">
        <v>1577</v>
      </c>
      <c r="F908">
        <v>2</v>
      </c>
      <c r="G908" s="14">
        <v>414.18</v>
      </c>
      <c r="H908" s="17">
        <v>0.25</v>
      </c>
      <c r="I908" t="s">
        <v>1611</v>
      </c>
      <c r="J908" s="14">
        <v>621.27</v>
      </c>
      <c r="K908" s="14">
        <f t="shared" si="112"/>
        <v>378185.6408318847</v>
      </c>
      <c r="L908" s="14">
        <f t="shared" si="113"/>
        <v>376</v>
      </c>
      <c r="M908" s="14" t="str">
        <f t="shared" si="114"/>
        <v>10-07-2025</v>
      </c>
      <c r="N908" s="14">
        <f t="shared" si="115"/>
        <v>0.15560731274328918</v>
      </c>
      <c r="O908" s="20">
        <f t="shared" si="116"/>
        <v>2.5022114621291927</v>
      </c>
      <c r="P908" s="14">
        <f t="shared" si="117"/>
        <v>467.76131080666391</v>
      </c>
      <c r="Q908" s="14">
        <f t="shared" si="118"/>
        <v>259.42500000000001</v>
      </c>
      <c r="R908" s="14" t="str">
        <f t="shared" si="119"/>
        <v>Jul</v>
      </c>
    </row>
    <row r="909" spans="1:18" x14ac:dyDescent="0.3">
      <c r="A909" t="s">
        <v>2518</v>
      </c>
      <c r="B909" s="1">
        <v>45918</v>
      </c>
      <c r="C909" t="s">
        <v>854</v>
      </c>
      <c r="D909" t="s">
        <v>1449</v>
      </c>
      <c r="E909" t="s">
        <v>1567</v>
      </c>
      <c r="F909">
        <v>2</v>
      </c>
      <c r="G909" s="14">
        <v>433.75</v>
      </c>
      <c r="H909" s="17">
        <v>0.15</v>
      </c>
      <c r="I909" t="s">
        <v>1609</v>
      </c>
      <c r="J909" s="14">
        <v>867.5</v>
      </c>
      <c r="K909" s="14">
        <f t="shared" si="112"/>
        <v>378185.6408318847</v>
      </c>
      <c r="L909" s="14">
        <f t="shared" si="113"/>
        <v>376</v>
      </c>
      <c r="M909" s="14" t="str">
        <f t="shared" si="114"/>
        <v>18-09-2025</v>
      </c>
      <c r="N909" s="14">
        <f t="shared" si="115"/>
        <v>0.15552079332325552</v>
      </c>
      <c r="O909" s="20">
        <f t="shared" si="116"/>
        <v>2.5026717842759658</v>
      </c>
      <c r="P909" s="14">
        <f t="shared" si="117"/>
        <v>467.81042291556088</v>
      </c>
      <c r="Q909" s="14">
        <f t="shared" si="118"/>
        <v>325.85000000000002</v>
      </c>
      <c r="R909" s="14" t="str">
        <f t="shared" si="119"/>
        <v>Sep</v>
      </c>
    </row>
    <row r="910" spans="1:18" x14ac:dyDescent="0.3">
      <c r="A910" t="s">
        <v>2519</v>
      </c>
      <c r="B910" s="1">
        <v>45288</v>
      </c>
      <c r="C910" t="s">
        <v>893</v>
      </c>
      <c r="D910" t="s">
        <v>1503</v>
      </c>
      <c r="E910" t="s">
        <v>1598</v>
      </c>
      <c r="F910">
        <v>3</v>
      </c>
      <c r="G910" s="14">
        <v>104.33</v>
      </c>
      <c r="H910" s="17">
        <v>0.13</v>
      </c>
      <c r="I910" t="s">
        <v>1614</v>
      </c>
      <c r="J910" s="14">
        <v>272.30130000000003</v>
      </c>
      <c r="K910" s="14">
        <f t="shared" si="112"/>
        <v>377318.1408318847</v>
      </c>
      <c r="L910" s="14">
        <f t="shared" si="113"/>
        <v>375</v>
      </c>
      <c r="M910" s="14" t="str">
        <f t="shared" si="114"/>
        <v>28-12-2023</v>
      </c>
      <c r="N910" s="14">
        <f t="shared" si="115"/>
        <v>0.1555258582712585</v>
      </c>
      <c r="O910" s="20">
        <f t="shared" si="116"/>
        <v>2.5031329510505307</v>
      </c>
      <c r="P910" s="14">
        <f t="shared" si="117"/>
        <v>467.84167100997882</v>
      </c>
      <c r="Q910" s="14">
        <f t="shared" si="118"/>
        <v>94.940325000000001</v>
      </c>
      <c r="R910" s="14" t="str">
        <f t="shared" si="119"/>
        <v>Dec</v>
      </c>
    </row>
    <row r="911" spans="1:18" x14ac:dyDescent="0.3">
      <c r="A911" t="s">
        <v>2520</v>
      </c>
      <c r="B911" s="1">
        <v>45477</v>
      </c>
      <c r="C911" t="s">
        <v>1285</v>
      </c>
      <c r="D911" t="s">
        <v>1338</v>
      </c>
      <c r="E911" t="s">
        <v>1579</v>
      </c>
      <c r="F911">
        <v>1</v>
      </c>
      <c r="G911" s="14">
        <v>221.7</v>
      </c>
      <c r="H911" s="17">
        <v>0.04</v>
      </c>
      <c r="I911" t="s">
        <v>1609</v>
      </c>
      <c r="J911" s="14">
        <v>212.83199999999999</v>
      </c>
      <c r="K911" s="14">
        <f t="shared" si="112"/>
        <v>377318.1408318847</v>
      </c>
      <c r="L911" s="14">
        <f t="shared" si="113"/>
        <v>375</v>
      </c>
      <c r="M911" s="14" t="str">
        <f t="shared" si="114"/>
        <v>04-07-2024</v>
      </c>
      <c r="N911" s="14">
        <f t="shared" si="115"/>
        <v>0.15554929799418896</v>
      </c>
      <c r="O911" s="20">
        <f t="shared" si="116"/>
        <v>2.5026766911341398</v>
      </c>
      <c r="P911" s="14">
        <f t="shared" si="117"/>
        <v>468.17547419731585</v>
      </c>
      <c r="Q911" s="14">
        <f t="shared" si="118"/>
        <v>108.893</v>
      </c>
      <c r="R911" s="14" t="str">
        <f t="shared" si="119"/>
        <v>Jul</v>
      </c>
    </row>
    <row r="912" spans="1:18" x14ac:dyDescent="0.3">
      <c r="A912" t="s">
        <v>2521</v>
      </c>
      <c r="B912" s="1">
        <v>45796</v>
      </c>
      <c r="C912" t="s">
        <v>687</v>
      </c>
      <c r="D912" t="s">
        <v>1467</v>
      </c>
      <c r="E912" t="s">
        <v>1558</v>
      </c>
      <c r="F912">
        <v>2</v>
      </c>
      <c r="G912" s="14">
        <v>491.26</v>
      </c>
      <c r="H912" s="17">
        <v>0.14000000000000001</v>
      </c>
      <c r="I912" t="s">
        <v>1614</v>
      </c>
      <c r="J912" s="14">
        <v>844.96719999999993</v>
      </c>
      <c r="K912" s="14">
        <f t="shared" si="112"/>
        <v>377105.3088318847</v>
      </c>
      <c r="L912" s="14">
        <f t="shared" si="113"/>
        <v>374</v>
      </c>
      <c r="M912" s="14" t="str">
        <f t="shared" si="114"/>
        <v>19-05-2025</v>
      </c>
      <c r="N912" s="14">
        <f t="shared" si="115"/>
        <v>0.15565550139308068</v>
      </c>
      <c r="O912" s="20">
        <f t="shared" si="116"/>
        <v>2.5040578277987855</v>
      </c>
      <c r="P912" s="14">
        <f t="shared" si="117"/>
        <v>468.40201415521784</v>
      </c>
      <c r="Q912" s="14">
        <f t="shared" si="118"/>
        <v>334.59179999999998</v>
      </c>
      <c r="R912" s="14" t="str">
        <f t="shared" si="119"/>
        <v>May</v>
      </c>
    </row>
    <row r="913" spans="1:18" x14ac:dyDescent="0.3">
      <c r="A913" t="s">
        <v>2522</v>
      </c>
      <c r="B913" s="1">
        <v>45630</v>
      </c>
      <c r="C913" t="s">
        <v>598</v>
      </c>
      <c r="D913" t="s">
        <v>1407</v>
      </c>
      <c r="E913" t="s">
        <v>1567</v>
      </c>
      <c r="F913">
        <v>4</v>
      </c>
      <c r="G913" s="14">
        <v>923.14</v>
      </c>
      <c r="H913" s="17">
        <v>0.15</v>
      </c>
      <c r="I913" t="s">
        <v>1609</v>
      </c>
      <c r="J913" s="14">
        <v>3138.6759999999999</v>
      </c>
      <c r="K913" s="14">
        <f t="shared" si="112"/>
        <v>377105.3088318847</v>
      </c>
      <c r="L913" s="14">
        <f t="shared" si="113"/>
        <v>374</v>
      </c>
      <c r="M913" s="14" t="str">
        <f t="shared" si="114"/>
        <v>04-12-2024</v>
      </c>
      <c r="N913" s="14">
        <f t="shared" si="115"/>
        <v>0.15566990387826291</v>
      </c>
      <c r="O913" s="20">
        <f t="shared" si="116"/>
        <v>2.5045215424517742</v>
      </c>
      <c r="P913" s="14">
        <f t="shared" si="117"/>
        <v>468.38098564938088</v>
      </c>
      <c r="Q913" s="14">
        <f t="shared" si="118"/>
        <v>1016.4915</v>
      </c>
      <c r="R913" s="14" t="str">
        <f t="shared" si="119"/>
        <v>Dec</v>
      </c>
    </row>
    <row r="914" spans="1:18" x14ac:dyDescent="0.3">
      <c r="A914" t="s">
        <v>2523</v>
      </c>
      <c r="B914" s="1">
        <v>45625</v>
      </c>
      <c r="C914" t="s">
        <v>634</v>
      </c>
      <c r="D914" t="s">
        <v>1461</v>
      </c>
      <c r="E914" t="s">
        <v>1564</v>
      </c>
      <c r="F914">
        <v>2</v>
      </c>
      <c r="G914" s="14">
        <v>747.65</v>
      </c>
      <c r="H914" s="17">
        <v>0.08</v>
      </c>
      <c r="I914" t="s">
        <v>1609</v>
      </c>
      <c r="J914" s="14">
        <v>1375.6759999999999</v>
      </c>
      <c r="K914" s="14">
        <f t="shared" si="112"/>
        <v>373966.63283188466</v>
      </c>
      <c r="L914" s="14">
        <f t="shared" si="113"/>
        <v>373</v>
      </c>
      <c r="M914" s="14" t="str">
        <f t="shared" si="114"/>
        <v>29-11-2024</v>
      </c>
      <c r="N914" s="14">
        <f t="shared" si="115"/>
        <v>0.15567512478422818</v>
      </c>
      <c r="O914" s="20">
        <f t="shared" si="116"/>
        <v>2.5031444904650813</v>
      </c>
      <c r="P914" s="14">
        <f t="shared" si="117"/>
        <v>467.96223885900275</v>
      </c>
      <c r="Q914" s="14">
        <f t="shared" si="118"/>
        <v>531.35149999999999</v>
      </c>
      <c r="R914" s="14" t="str">
        <f t="shared" si="119"/>
        <v>Nov</v>
      </c>
    </row>
    <row r="915" spans="1:18" x14ac:dyDescent="0.3">
      <c r="A915" t="s">
        <v>2524</v>
      </c>
      <c r="B915" s="1">
        <v>45773</v>
      </c>
      <c r="C915" t="s">
        <v>384</v>
      </c>
      <c r="D915" t="s">
        <v>1417</v>
      </c>
      <c r="E915" t="s">
        <v>1564</v>
      </c>
      <c r="F915">
        <v>3</v>
      </c>
      <c r="G915" s="14">
        <v>94.55</v>
      </c>
      <c r="H915" s="17">
        <v>0.13</v>
      </c>
      <c r="I915" t="s">
        <v>1614</v>
      </c>
      <c r="J915" s="14">
        <v>246.77549999999999</v>
      </c>
      <c r="K915" s="14">
        <f t="shared" si="112"/>
        <v>372590.95683188463</v>
      </c>
      <c r="L915" s="14">
        <f t="shared" si="113"/>
        <v>372</v>
      </c>
      <c r="M915" s="14" t="str">
        <f t="shared" si="114"/>
        <v>26-04-2025</v>
      </c>
      <c r="N915" s="14">
        <f t="shared" si="115"/>
        <v>0.15574487144301546</v>
      </c>
      <c r="O915" s="20">
        <f t="shared" si="116"/>
        <v>2.5036082181060628</v>
      </c>
      <c r="P915" s="14">
        <f t="shared" si="117"/>
        <v>467.70446212062393</v>
      </c>
      <c r="Q915" s="14">
        <f t="shared" si="118"/>
        <v>86.113874999999993</v>
      </c>
      <c r="R915" s="14" t="str">
        <f t="shared" si="119"/>
        <v>Apr</v>
      </c>
    </row>
    <row r="916" spans="1:18" x14ac:dyDescent="0.3">
      <c r="A916" t="s">
        <v>2525</v>
      </c>
      <c r="B916" s="1">
        <v>45308</v>
      </c>
      <c r="C916" t="s">
        <v>153</v>
      </c>
      <c r="D916" t="s">
        <v>1363</v>
      </c>
      <c r="E916" t="s">
        <v>1598</v>
      </c>
      <c r="F916">
        <v>3</v>
      </c>
      <c r="G916" s="14">
        <v>620.12</v>
      </c>
      <c r="H916" s="17">
        <v>0.06</v>
      </c>
      <c r="I916" t="s">
        <v>1609</v>
      </c>
      <c r="J916" s="14">
        <v>1748.7384</v>
      </c>
      <c r="K916" s="14">
        <f t="shared" si="112"/>
        <v>372590.95683188463</v>
      </c>
      <c r="L916" s="14">
        <f t="shared" si="113"/>
        <v>372</v>
      </c>
      <c r="M916" s="14" t="str">
        <f t="shared" si="114"/>
        <v>17-01-2024</v>
      </c>
      <c r="N916" s="14">
        <f t="shared" si="115"/>
        <v>0.15576862132442043</v>
      </c>
      <c r="O916" s="20">
        <f t="shared" si="116"/>
        <v>2.5031502921080064</v>
      </c>
      <c r="P916" s="14">
        <f t="shared" si="117"/>
        <v>468.04870055431451</v>
      </c>
      <c r="Q916" s="14">
        <f t="shared" si="118"/>
        <v>592.9796</v>
      </c>
      <c r="R916" s="14" t="str">
        <f t="shared" si="119"/>
        <v>Jan</v>
      </c>
    </row>
    <row r="917" spans="1:18" x14ac:dyDescent="0.3">
      <c r="A917" t="s">
        <v>2526</v>
      </c>
      <c r="B917" s="1">
        <v>45869</v>
      </c>
      <c r="C917" t="s">
        <v>1307</v>
      </c>
      <c r="D917" t="s">
        <v>1471</v>
      </c>
      <c r="E917" t="s">
        <v>1561</v>
      </c>
      <c r="F917">
        <v>2</v>
      </c>
      <c r="G917" s="14">
        <v>354.09</v>
      </c>
      <c r="H917" s="17">
        <v>0.12</v>
      </c>
      <c r="I917" t="s">
        <v>1614</v>
      </c>
      <c r="J917" s="14">
        <v>623.19839999999999</v>
      </c>
      <c r="K917" s="14">
        <f t="shared" si="112"/>
        <v>370842.21843188466</v>
      </c>
      <c r="L917" s="14">
        <f t="shared" si="113"/>
        <v>371</v>
      </c>
      <c r="M917" s="14" t="str">
        <f t="shared" si="114"/>
        <v>31-07-2025</v>
      </c>
      <c r="N917" s="14">
        <f t="shared" si="115"/>
        <v>0.15585705033764707</v>
      </c>
      <c r="O917" s="20">
        <f t="shared" si="116"/>
        <v>2.502691520447903</v>
      </c>
      <c r="P917" s="14">
        <f t="shared" si="117"/>
        <v>467.90828384199165</v>
      </c>
      <c r="Q917" s="14">
        <f t="shared" si="118"/>
        <v>244.85210000000001</v>
      </c>
      <c r="R917" s="14" t="str">
        <f t="shared" si="119"/>
        <v>Jul</v>
      </c>
    </row>
    <row r="918" spans="1:18" x14ac:dyDescent="0.3">
      <c r="A918" t="s">
        <v>2527</v>
      </c>
      <c r="B918" s="1">
        <v>45621</v>
      </c>
      <c r="C918" t="s">
        <v>447</v>
      </c>
      <c r="D918" t="s">
        <v>1439</v>
      </c>
      <c r="E918" t="s">
        <v>1558</v>
      </c>
      <c r="F918">
        <v>3</v>
      </c>
      <c r="G918" s="14">
        <v>214.94</v>
      </c>
      <c r="H918" s="17">
        <v>0.22</v>
      </c>
      <c r="I918" t="s">
        <v>1614</v>
      </c>
      <c r="J918" s="14">
        <v>502.95960000000002</v>
      </c>
      <c r="K918" s="14">
        <f t="shared" si="112"/>
        <v>370842.21843188466</v>
      </c>
      <c r="L918" s="14">
        <f t="shared" si="113"/>
        <v>371</v>
      </c>
      <c r="M918" s="14" t="str">
        <f t="shared" si="114"/>
        <v>25-11-2024</v>
      </c>
      <c r="N918" s="14">
        <f t="shared" si="115"/>
        <v>0.15589018994054693</v>
      </c>
      <c r="O918" s="20">
        <f t="shared" si="116"/>
        <v>2.5031561151987791</v>
      </c>
      <c r="P918" s="14">
        <f t="shared" si="117"/>
        <v>468.01347634092144</v>
      </c>
      <c r="Q918" s="14">
        <f t="shared" si="118"/>
        <v>180.2799</v>
      </c>
      <c r="R918" s="14" t="str">
        <f t="shared" si="119"/>
        <v>Nov</v>
      </c>
    </row>
    <row r="919" spans="1:18" x14ac:dyDescent="0.3">
      <c r="A919" t="s">
        <v>2528</v>
      </c>
      <c r="B919" s="1">
        <v>45428</v>
      </c>
      <c r="C919" t="s">
        <v>651</v>
      </c>
      <c r="D919" t="s">
        <v>1350</v>
      </c>
      <c r="E919" t="s">
        <v>1579</v>
      </c>
      <c r="F919">
        <v>2</v>
      </c>
      <c r="G919" s="14">
        <v>309.77999999999997</v>
      </c>
      <c r="H919" s="17">
        <v>0.16</v>
      </c>
      <c r="I919" t="s">
        <v>1609</v>
      </c>
      <c r="J919" s="14">
        <v>520.43039999999996</v>
      </c>
      <c r="K919" s="14">
        <f t="shared" si="112"/>
        <v>370842.21843188466</v>
      </c>
      <c r="L919" s="14">
        <f t="shared" si="113"/>
        <v>371</v>
      </c>
      <c r="M919" s="14" t="str">
        <f t="shared" si="114"/>
        <v>16-05-2024</v>
      </c>
      <c r="N919" s="14">
        <f t="shared" si="115"/>
        <v>0.15583088391829025</v>
      </c>
      <c r="O919" s="20">
        <f t="shared" si="116"/>
        <v>2.5026965001342076</v>
      </c>
      <c r="P919" s="14">
        <f t="shared" si="117"/>
        <v>468.24758686482613</v>
      </c>
      <c r="Q919" s="14">
        <f t="shared" si="118"/>
        <v>208.0926</v>
      </c>
      <c r="R919" s="14" t="str">
        <f t="shared" si="119"/>
        <v>May</v>
      </c>
    </row>
    <row r="920" spans="1:18" x14ac:dyDescent="0.3">
      <c r="A920" t="s">
        <v>2529</v>
      </c>
      <c r="B920" s="1">
        <v>45807</v>
      </c>
      <c r="C920" t="s">
        <v>255</v>
      </c>
      <c r="D920" t="s">
        <v>1359</v>
      </c>
      <c r="E920" t="s">
        <v>1551</v>
      </c>
      <c r="F920">
        <v>2</v>
      </c>
      <c r="G920" s="14">
        <v>183.85</v>
      </c>
      <c r="H920" s="17">
        <v>0.14000000000000001</v>
      </c>
      <c r="I920" t="s">
        <v>1611</v>
      </c>
      <c r="J920" s="14">
        <v>316.22199999999998</v>
      </c>
      <c r="K920" s="14">
        <f t="shared" si="112"/>
        <v>370321.78803188464</v>
      </c>
      <c r="L920" s="14">
        <f t="shared" si="113"/>
        <v>370</v>
      </c>
      <c r="M920" s="14" t="str">
        <f t="shared" si="114"/>
        <v>30-05-2025</v>
      </c>
      <c r="N920" s="14">
        <f t="shared" si="115"/>
        <v>0.15582702362562204</v>
      </c>
      <c r="O920" s="20">
        <f t="shared" si="116"/>
        <v>2.5031619598565542</v>
      </c>
      <c r="P920" s="14">
        <f t="shared" si="117"/>
        <v>468.39431611192316</v>
      </c>
      <c r="Q920" s="14">
        <f t="shared" si="118"/>
        <v>125.553</v>
      </c>
      <c r="R920" s="14" t="str">
        <f t="shared" si="119"/>
        <v>May</v>
      </c>
    </row>
    <row r="921" spans="1:18" x14ac:dyDescent="0.3">
      <c r="A921" t="s">
        <v>2530</v>
      </c>
      <c r="B921" s="1">
        <v>45238</v>
      </c>
      <c r="C921" t="s">
        <v>1230</v>
      </c>
      <c r="D921" t="s">
        <v>1473</v>
      </c>
      <c r="E921" t="s">
        <v>1537</v>
      </c>
      <c r="F921">
        <v>1</v>
      </c>
      <c r="G921" s="14">
        <v>550.05999999999995</v>
      </c>
      <c r="H921" s="17">
        <v>0.01</v>
      </c>
      <c r="I921" t="s">
        <v>1609</v>
      </c>
      <c r="J921" s="14">
        <v>544.55939999999998</v>
      </c>
      <c r="K921" s="14">
        <f t="shared" si="112"/>
        <v>370321.78803188464</v>
      </c>
      <c r="L921" s="14">
        <f t="shared" si="113"/>
        <v>370</v>
      </c>
      <c r="M921" s="14" t="str">
        <f t="shared" si="114"/>
        <v>08-11-2023</v>
      </c>
      <c r="N921" s="14">
        <f t="shared" si="115"/>
        <v>0.15584169185882465</v>
      </c>
      <c r="O921" s="20">
        <f t="shared" si="116"/>
        <v>2.5036282823402023</v>
      </c>
      <c r="P921" s="14">
        <f t="shared" si="117"/>
        <v>468.65802724826403</v>
      </c>
      <c r="Q921" s="14">
        <f t="shared" si="118"/>
        <v>273.90734999999995</v>
      </c>
      <c r="R921" s="14" t="str">
        <f t="shared" si="119"/>
        <v>Nov</v>
      </c>
    </row>
    <row r="922" spans="1:18" x14ac:dyDescent="0.3">
      <c r="A922" t="s">
        <v>2531</v>
      </c>
      <c r="B922" s="1">
        <v>45253</v>
      </c>
      <c r="C922" t="s">
        <v>121</v>
      </c>
      <c r="D922" t="s">
        <v>1491</v>
      </c>
      <c r="E922" t="s">
        <v>1554</v>
      </c>
      <c r="F922">
        <v>2</v>
      </c>
      <c r="G922" s="14">
        <v>32.19</v>
      </c>
      <c r="H922" s="17">
        <v>0.13</v>
      </c>
      <c r="I922" t="s">
        <v>1614</v>
      </c>
      <c r="J922" s="14">
        <v>56.010599999999997</v>
      </c>
      <c r="K922" s="14">
        <f t="shared" si="112"/>
        <v>369777.22863188467</v>
      </c>
      <c r="L922" s="14">
        <f t="shared" si="113"/>
        <v>369</v>
      </c>
      <c r="M922" s="14" t="str">
        <f t="shared" si="114"/>
        <v>23-11-2023</v>
      </c>
      <c r="N922" s="14">
        <f t="shared" si="115"/>
        <v>0.15597698099784027</v>
      </c>
      <c r="O922" s="20">
        <f t="shared" si="116"/>
        <v>2.5050231137709447</v>
      </c>
      <c r="P922" s="14">
        <f t="shared" si="117"/>
        <v>468.58251521417156</v>
      </c>
      <c r="Q922" s="14">
        <f t="shared" si="118"/>
        <v>22.582650000000001</v>
      </c>
      <c r="R922" s="14" t="str">
        <f t="shared" si="119"/>
        <v>Nov</v>
      </c>
    </row>
    <row r="923" spans="1:18" x14ac:dyDescent="0.3">
      <c r="A923" t="s">
        <v>2532</v>
      </c>
      <c r="B923" s="1">
        <v>45460</v>
      </c>
      <c r="C923" t="s">
        <v>470</v>
      </c>
      <c r="D923" t="s">
        <v>1399</v>
      </c>
      <c r="E923" t="s">
        <v>1598</v>
      </c>
      <c r="F923">
        <v>2</v>
      </c>
      <c r="G923" s="14">
        <v>892.06</v>
      </c>
      <c r="H923" s="17">
        <v>0.08</v>
      </c>
      <c r="I923" t="s">
        <v>1609</v>
      </c>
      <c r="J923" s="14">
        <v>1641.3904</v>
      </c>
      <c r="K923" s="14">
        <f t="shared" si="112"/>
        <v>369777.22863188467</v>
      </c>
      <c r="L923" s="14">
        <f t="shared" si="113"/>
        <v>369</v>
      </c>
      <c r="M923" s="14" t="str">
        <f t="shared" si="114"/>
        <v>17-06-2024</v>
      </c>
      <c r="N923" s="14">
        <f t="shared" si="115"/>
        <v>0.15600110075735543</v>
      </c>
      <c r="O923" s="20">
        <f t="shared" si="116"/>
        <v>2.5054920303111219</v>
      </c>
      <c r="P923" s="14">
        <f t="shared" si="117"/>
        <v>468.98770789310771</v>
      </c>
      <c r="Q923" s="14">
        <f t="shared" si="118"/>
        <v>633.88260000000002</v>
      </c>
      <c r="R923" s="14" t="str">
        <f t="shared" si="119"/>
        <v>Jun</v>
      </c>
    </row>
    <row r="924" spans="1:18" x14ac:dyDescent="0.3">
      <c r="A924" t="s">
        <v>2533</v>
      </c>
      <c r="B924" s="1">
        <v>45628</v>
      </c>
      <c r="C924" t="s">
        <v>1293</v>
      </c>
      <c r="D924" t="s">
        <v>1449</v>
      </c>
      <c r="E924" t="s">
        <v>1561</v>
      </c>
      <c r="F924">
        <v>1</v>
      </c>
      <c r="G924" s="14">
        <v>127.47</v>
      </c>
      <c r="H924" s="17">
        <v>0.16</v>
      </c>
      <c r="I924" t="s">
        <v>1614</v>
      </c>
      <c r="J924" s="14">
        <v>107.0748</v>
      </c>
      <c r="K924" s="14">
        <f t="shared" si="112"/>
        <v>368135.8382318847</v>
      </c>
      <c r="L924" s="14">
        <f t="shared" si="113"/>
        <v>368</v>
      </c>
      <c r="M924" s="14" t="str">
        <f t="shared" si="114"/>
        <v>02-12-2024</v>
      </c>
      <c r="N924" s="14">
        <f t="shared" si="115"/>
        <v>0.15607173375062436</v>
      </c>
      <c r="O924" s="20">
        <f t="shared" si="116"/>
        <v>2.5059618184433816</v>
      </c>
      <c r="P924" s="14">
        <f t="shared" si="117"/>
        <v>468.59451803055481</v>
      </c>
      <c r="Q924" s="14">
        <f t="shared" si="118"/>
        <v>58.926199999999994</v>
      </c>
      <c r="R924" s="14" t="str">
        <f t="shared" si="119"/>
        <v>Dec</v>
      </c>
    </row>
    <row r="925" spans="1:18" x14ac:dyDescent="0.3">
      <c r="A925" t="s">
        <v>2534</v>
      </c>
      <c r="B925" s="1">
        <v>45778</v>
      </c>
      <c r="C925" t="s">
        <v>1209</v>
      </c>
      <c r="D925" t="s">
        <v>1487</v>
      </c>
      <c r="E925" t="s">
        <v>1584</v>
      </c>
      <c r="F925">
        <v>3</v>
      </c>
      <c r="G925" s="14">
        <v>212.87</v>
      </c>
      <c r="H925" s="17">
        <v>0.18</v>
      </c>
      <c r="I925" t="s">
        <v>1609</v>
      </c>
      <c r="J925" s="14">
        <v>523.66020000000003</v>
      </c>
      <c r="K925" s="14">
        <f t="shared" si="112"/>
        <v>368135.8382318847</v>
      </c>
      <c r="L925" s="14">
        <f t="shared" si="113"/>
        <v>368</v>
      </c>
      <c r="M925" s="14" t="str">
        <f t="shared" si="114"/>
        <v>01-05-2025</v>
      </c>
      <c r="N925" s="14">
        <f t="shared" si="115"/>
        <v>0.15606807954946214</v>
      </c>
      <c r="O925" s="20">
        <f t="shared" si="116"/>
        <v>2.5073627131582126</v>
      </c>
      <c r="P925" s="14">
        <f t="shared" si="117"/>
        <v>468.91184316360653</v>
      </c>
      <c r="Q925" s="14">
        <f t="shared" si="118"/>
        <v>184.92755</v>
      </c>
      <c r="R925" s="14" t="str">
        <f t="shared" si="119"/>
        <v>May</v>
      </c>
    </row>
    <row r="926" spans="1:18" x14ac:dyDescent="0.3">
      <c r="A926" t="s">
        <v>2535</v>
      </c>
      <c r="B926" s="1">
        <v>45471</v>
      </c>
      <c r="C926" t="s">
        <v>598</v>
      </c>
      <c r="D926" t="s">
        <v>1495</v>
      </c>
      <c r="E926" t="s">
        <v>1564</v>
      </c>
      <c r="F926">
        <v>1</v>
      </c>
      <c r="G926" s="14">
        <v>26.37</v>
      </c>
      <c r="H926" s="17">
        <v>0.3</v>
      </c>
      <c r="I926" t="s">
        <v>1614</v>
      </c>
      <c r="J926" s="14">
        <v>18.459</v>
      </c>
      <c r="K926" s="14">
        <f t="shared" si="112"/>
        <v>367612.17803188472</v>
      </c>
      <c r="L926" s="14">
        <f t="shared" si="113"/>
        <v>367</v>
      </c>
      <c r="M926" s="14" t="str">
        <f t="shared" si="114"/>
        <v>28-06-2024</v>
      </c>
      <c r="N926" s="14">
        <f t="shared" si="115"/>
        <v>0.1560457965695268</v>
      </c>
      <c r="O926" s="20">
        <f t="shared" si="116"/>
        <v>2.5069040192226058</v>
      </c>
      <c r="P926" s="14">
        <f t="shared" si="117"/>
        <v>469.15024339001582</v>
      </c>
      <c r="Q926" s="14">
        <f t="shared" si="118"/>
        <v>11.532250000000001</v>
      </c>
      <c r="R926" s="14" t="str">
        <f t="shared" si="119"/>
        <v>Jun</v>
      </c>
    </row>
    <row r="927" spans="1:18" x14ac:dyDescent="0.3">
      <c r="A927" t="s">
        <v>2536</v>
      </c>
      <c r="B927" s="1">
        <v>45770</v>
      </c>
      <c r="C927" t="s">
        <v>1287</v>
      </c>
      <c r="D927" t="s">
        <v>1401</v>
      </c>
      <c r="E927" t="s">
        <v>1595</v>
      </c>
      <c r="F927">
        <v>4</v>
      </c>
      <c r="G927" s="14">
        <v>953.98</v>
      </c>
      <c r="H927" s="17">
        <v>0.16</v>
      </c>
      <c r="I927" t="s">
        <v>1609</v>
      </c>
      <c r="J927" s="14">
        <v>3205.3728000000001</v>
      </c>
      <c r="K927" s="14">
        <f t="shared" si="112"/>
        <v>367612.17803188472</v>
      </c>
      <c r="L927" s="14">
        <f t="shared" si="113"/>
        <v>367</v>
      </c>
      <c r="M927" s="14" t="str">
        <f t="shared" si="114"/>
        <v>23-04-2025</v>
      </c>
      <c r="N927" s="14">
        <f t="shared" si="115"/>
        <v>0.15591163608170719</v>
      </c>
      <c r="O927" s="20">
        <f t="shared" si="116"/>
        <v>2.5083084032106973</v>
      </c>
      <c r="P927" s="14">
        <f t="shared" si="117"/>
        <v>469.56289972122744</v>
      </c>
      <c r="Q927" s="14">
        <f t="shared" si="118"/>
        <v>1040.8782000000001</v>
      </c>
      <c r="R927" s="14" t="str">
        <f t="shared" si="119"/>
        <v>Apr</v>
      </c>
    </row>
    <row r="928" spans="1:18" x14ac:dyDescent="0.3">
      <c r="A928" t="s">
        <v>2537</v>
      </c>
      <c r="B928" s="1">
        <v>45369</v>
      </c>
      <c r="C928" t="s">
        <v>699</v>
      </c>
      <c r="D928" t="s">
        <v>1467</v>
      </c>
      <c r="E928" t="s">
        <v>1598</v>
      </c>
      <c r="F928">
        <v>3</v>
      </c>
      <c r="G928" s="14">
        <v>968.88</v>
      </c>
      <c r="H928" s="17">
        <v>0.15</v>
      </c>
      <c r="I928" t="s">
        <v>1609</v>
      </c>
      <c r="J928" s="14">
        <v>2470.6439999999998</v>
      </c>
      <c r="K928" s="14">
        <f t="shared" si="112"/>
        <v>364406.8052318847</v>
      </c>
      <c r="L928" s="14">
        <f t="shared" si="113"/>
        <v>366</v>
      </c>
      <c r="M928" s="14" t="str">
        <f t="shared" si="114"/>
        <v>18-03-2024</v>
      </c>
      <c r="N928" s="14">
        <f t="shared" si="115"/>
        <v>0.15590782230939537</v>
      </c>
      <c r="O928" s="20">
        <f t="shared" si="116"/>
        <v>2.5069168998554834</v>
      </c>
      <c r="P928" s="14">
        <f t="shared" si="117"/>
        <v>469.11101809783304</v>
      </c>
      <c r="Q928" s="14">
        <f t="shared" si="118"/>
        <v>860.66849999999999</v>
      </c>
      <c r="R928" s="14" t="str">
        <f t="shared" si="119"/>
        <v>Mar</v>
      </c>
    </row>
    <row r="929" spans="1:18" x14ac:dyDescent="0.3">
      <c r="A929" t="s">
        <v>2538</v>
      </c>
      <c r="B929" s="1">
        <v>45910</v>
      </c>
      <c r="C929" t="s">
        <v>616</v>
      </c>
      <c r="D929" t="s">
        <v>1485</v>
      </c>
      <c r="E929" t="s">
        <v>1595</v>
      </c>
      <c r="F929">
        <v>1</v>
      </c>
      <c r="G929" s="14">
        <v>533.04999999999995</v>
      </c>
      <c r="H929" s="17">
        <v>0.11</v>
      </c>
      <c r="I929" t="s">
        <v>1611</v>
      </c>
      <c r="J929" s="14">
        <v>474.41449999999998</v>
      </c>
      <c r="K929" s="14">
        <f t="shared" si="112"/>
        <v>361936.16123188462</v>
      </c>
      <c r="L929" s="14">
        <f t="shared" si="113"/>
        <v>365</v>
      </c>
      <c r="M929" s="14" t="str">
        <f t="shared" si="114"/>
        <v>10-09-2025</v>
      </c>
      <c r="N929" s="14">
        <f t="shared" si="115"/>
        <v>0.1559133384833537</v>
      </c>
      <c r="O929" s="20">
        <f t="shared" si="116"/>
        <v>2.5064565048039942</v>
      </c>
      <c r="P929" s="14">
        <f t="shared" si="117"/>
        <v>468.64438039297573</v>
      </c>
      <c r="Q929" s="14">
        <f t="shared" si="118"/>
        <v>252.14362499999999</v>
      </c>
      <c r="R929" s="14" t="str">
        <f t="shared" si="119"/>
        <v>Sep</v>
      </c>
    </row>
    <row r="930" spans="1:18" x14ac:dyDescent="0.3">
      <c r="A930" t="s">
        <v>2539</v>
      </c>
      <c r="B930" s="1">
        <v>45637</v>
      </c>
      <c r="C930" t="s">
        <v>1190</v>
      </c>
      <c r="D930" t="s">
        <v>1495</v>
      </c>
      <c r="E930" t="s">
        <v>1542</v>
      </c>
      <c r="F930">
        <v>3</v>
      </c>
      <c r="G930" s="14">
        <v>138.86000000000001</v>
      </c>
      <c r="H930" s="17">
        <v>0.11</v>
      </c>
      <c r="I930" t="s">
        <v>1611</v>
      </c>
      <c r="J930" s="14">
        <v>370.75619999999998</v>
      </c>
      <c r="K930" s="14">
        <f t="shared" si="112"/>
        <v>361936.16123188462</v>
      </c>
      <c r="L930" s="14">
        <f t="shared" si="113"/>
        <v>365</v>
      </c>
      <c r="M930" s="14" t="str">
        <f t="shared" si="114"/>
        <v>11-12-2024</v>
      </c>
      <c r="N930" s="14">
        <f t="shared" si="115"/>
        <v>0.1559562481454877</v>
      </c>
      <c r="O930" s="20">
        <f t="shared" si="116"/>
        <v>2.5078644080795121</v>
      </c>
      <c r="P930" s="14">
        <f t="shared" si="117"/>
        <v>468.58418822511857</v>
      </c>
      <c r="Q930" s="14">
        <f t="shared" si="118"/>
        <v>128.18155000000002</v>
      </c>
      <c r="R930" s="14" t="str">
        <f t="shared" si="119"/>
        <v>Dec</v>
      </c>
    </row>
    <row r="931" spans="1:18" x14ac:dyDescent="0.3">
      <c r="A931" t="s">
        <v>2540</v>
      </c>
      <c r="B931" s="1">
        <v>45706</v>
      </c>
      <c r="C931" t="s">
        <v>532</v>
      </c>
      <c r="D931" t="s">
        <v>1377</v>
      </c>
      <c r="E931" t="s">
        <v>1537</v>
      </c>
      <c r="F931">
        <v>1</v>
      </c>
      <c r="G931" s="14">
        <v>588.92999999999995</v>
      </c>
      <c r="H931" s="17">
        <v>0.03</v>
      </c>
      <c r="I931" t="s">
        <v>1614</v>
      </c>
      <c r="J931" s="14">
        <v>571.26209999999992</v>
      </c>
      <c r="K931" s="14">
        <f t="shared" si="112"/>
        <v>361936.16123188462</v>
      </c>
      <c r="L931" s="14">
        <f t="shared" si="113"/>
        <v>365</v>
      </c>
      <c r="M931" s="14" t="str">
        <f t="shared" si="114"/>
        <v>18-02-2025</v>
      </c>
      <c r="N931" s="14">
        <f t="shared" si="115"/>
        <v>0.15599923808762564</v>
      </c>
      <c r="O931" s="20">
        <f t="shared" si="116"/>
        <v>2.5074040380215883</v>
      </c>
      <c r="P931" s="14">
        <f t="shared" si="117"/>
        <v>468.8926299353385</v>
      </c>
      <c r="Q931" s="14">
        <f t="shared" si="118"/>
        <v>290.30552499999999</v>
      </c>
      <c r="R931" s="14" t="str">
        <f t="shared" si="119"/>
        <v>Feb</v>
      </c>
    </row>
    <row r="932" spans="1:18" x14ac:dyDescent="0.3">
      <c r="A932" t="s">
        <v>2541</v>
      </c>
      <c r="B932" s="1">
        <v>45557</v>
      </c>
      <c r="C932" t="s">
        <v>1224</v>
      </c>
      <c r="D932" t="s">
        <v>1437</v>
      </c>
      <c r="E932" t="s">
        <v>1558</v>
      </c>
      <c r="F932">
        <v>2</v>
      </c>
      <c r="G932" s="14">
        <v>576.83000000000004</v>
      </c>
      <c r="H932" s="17">
        <v>0.19</v>
      </c>
      <c r="I932" t="s">
        <v>1611</v>
      </c>
      <c r="J932" s="14">
        <v>934.46460000000013</v>
      </c>
      <c r="K932" s="14">
        <f t="shared" si="112"/>
        <v>361936.16123188462</v>
      </c>
      <c r="L932" s="14">
        <f t="shared" si="113"/>
        <v>365</v>
      </c>
      <c r="M932" s="14" t="str">
        <f t="shared" si="114"/>
        <v>22-09-2024</v>
      </c>
      <c r="N932" s="14">
        <f t="shared" si="115"/>
        <v>0.15611721490231445</v>
      </c>
      <c r="O932" s="20">
        <f t="shared" si="116"/>
        <v>2.5088154650234813</v>
      </c>
      <c r="P932" s="14">
        <f t="shared" si="117"/>
        <v>468.78023539407951</v>
      </c>
      <c r="Q932" s="14">
        <f t="shared" si="118"/>
        <v>378.37115000000006</v>
      </c>
      <c r="R932" s="14" t="str">
        <f t="shared" si="119"/>
        <v>Sep</v>
      </c>
    </row>
    <row r="933" spans="1:18" x14ac:dyDescent="0.3">
      <c r="A933" t="s">
        <v>2542</v>
      </c>
      <c r="B933" s="1">
        <v>45338</v>
      </c>
      <c r="C933" t="s">
        <v>1017</v>
      </c>
      <c r="D933" t="s">
        <v>1463</v>
      </c>
      <c r="E933" t="s">
        <v>1579</v>
      </c>
      <c r="F933">
        <v>1</v>
      </c>
      <c r="G933" s="14">
        <v>681.3</v>
      </c>
      <c r="H933" s="17">
        <v>0.05</v>
      </c>
      <c r="I933" t="s">
        <v>1609</v>
      </c>
      <c r="J933" s="14">
        <v>647.2349999999999</v>
      </c>
      <c r="K933" s="14">
        <f t="shared" si="112"/>
        <v>361936.16123188462</v>
      </c>
      <c r="L933" s="14">
        <f t="shared" si="113"/>
        <v>365</v>
      </c>
      <c r="M933" s="14" t="str">
        <f t="shared" si="114"/>
        <v>16-02-2024</v>
      </c>
      <c r="N933" s="14">
        <f t="shared" si="115"/>
        <v>0.15608545971478144</v>
      </c>
      <c r="O933" s="20">
        <f t="shared" si="116"/>
        <v>2.5092923305014794</v>
      </c>
      <c r="P933" s="14">
        <f t="shared" si="117"/>
        <v>468.67897038507675</v>
      </c>
      <c r="Q933" s="14">
        <f t="shared" si="118"/>
        <v>332.39624999999995</v>
      </c>
      <c r="R933" s="14" t="str">
        <f t="shared" si="119"/>
        <v>Feb</v>
      </c>
    </row>
    <row r="934" spans="1:18" x14ac:dyDescent="0.3">
      <c r="A934" t="s">
        <v>2543</v>
      </c>
      <c r="B934" s="1">
        <v>45441</v>
      </c>
      <c r="C934" t="s">
        <v>1278</v>
      </c>
      <c r="D934" t="s">
        <v>1383</v>
      </c>
      <c r="E934" t="s">
        <v>1586</v>
      </c>
      <c r="F934">
        <v>3</v>
      </c>
      <c r="G934" s="14">
        <v>504.97</v>
      </c>
      <c r="H934" s="17">
        <v>0.3</v>
      </c>
      <c r="I934" t="s">
        <v>1609</v>
      </c>
      <c r="J934" s="14">
        <v>1060.4369999999999</v>
      </c>
      <c r="K934" s="14">
        <f t="shared" si="112"/>
        <v>361288.92623188469</v>
      </c>
      <c r="L934" s="14">
        <f t="shared" si="113"/>
        <v>364</v>
      </c>
      <c r="M934" s="14" t="str">
        <f t="shared" si="114"/>
        <v>29-05-2024</v>
      </c>
      <c r="N934" s="14">
        <f t="shared" si="115"/>
        <v>0.15618497703158707</v>
      </c>
      <c r="O934" s="20">
        <f t="shared" si="116"/>
        <v>2.5107081769653639</v>
      </c>
      <c r="P934" s="14">
        <f t="shared" si="117"/>
        <v>468.47951350926542</v>
      </c>
      <c r="Q934" s="14">
        <f t="shared" si="118"/>
        <v>392.17674999999997</v>
      </c>
      <c r="R934" s="14" t="str">
        <f t="shared" si="119"/>
        <v>May</v>
      </c>
    </row>
    <row r="935" spans="1:18" x14ac:dyDescent="0.3">
      <c r="A935" t="s">
        <v>2544</v>
      </c>
      <c r="B935" s="1">
        <v>45396</v>
      </c>
      <c r="C935" t="s">
        <v>224</v>
      </c>
      <c r="D935" t="s">
        <v>1409</v>
      </c>
      <c r="E935" t="s">
        <v>1577</v>
      </c>
      <c r="F935">
        <v>3</v>
      </c>
      <c r="G935" s="14">
        <v>649.78</v>
      </c>
      <c r="H935" s="17">
        <v>0.1</v>
      </c>
      <c r="I935" t="s">
        <v>1611</v>
      </c>
      <c r="J935" s="14">
        <v>1754.4059999999999</v>
      </c>
      <c r="K935" s="14">
        <f t="shared" si="112"/>
        <v>360228.48923188465</v>
      </c>
      <c r="L935" s="14">
        <f t="shared" si="113"/>
        <v>363</v>
      </c>
      <c r="M935" s="14" t="str">
        <f t="shared" si="114"/>
        <v>14-04-2024</v>
      </c>
      <c r="N935" s="14">
        <f t="shared" si="115"/>
        <v>0.15604993945133502</v>
      </c>
      <c r="O935" s="20">
        <f t="shared" si="116"/>
        <v>2.5102487480235474</v>
      </c>
      <c r="P935" s="14">
        <f t="shared" si="117"/>
        <v>468.44525014166851</v>
      </c>
      <c r="Q935" s="14">
        <f t="shared" si="118"/>
        <v>601.82150000000001</v>
      </c>
      <c r="R935" s="14" t="str">
        <f t="shared" si="119"/>
        <v>Apr</v>
      </c>
    </row>
    <row r="936" spans="1:18" x14ac:dyDescent="0.3">
      <c r="A936" t="s">
        <v>2545</v>
      </c>
      <c r="B936" s="1">
        <v>45317</v>
      </c>
      <c r="C936" t="s">
        <v>785</v>
      </c>
      <c r="D936" t="s">
        <v>1411</v>
      </c>
      <c r="E936" t="s">
        <v>1571</v>
      </c>
      <c r="F936">
        <v>2</v>
      </c>
      <c r="G936" s="14">
        <v>986.73</v>
      </c>
      <c r="H936" s="17">
        <v>0.05</v>
      </c>
      <c r="I936" t="s">
        <v>1611</v>
      </c>
      <c r="J936" s="14">
        <v>1874.787</v>
      </c>
      <c r="K936" s="14">
        <f t="shared" si="112"/>
        <v>360228.48923188465</v>
      </c>
      <c r="L936" s="14">
        <f t="shared" si="113"/>
        <v>363</v>
      </c>
      <c r="M936" s="14" t="str">
        <f t="shared" si="114"/>
        <v>26-01-2024</v>
      </c>
      <c r="N936" s="14">
        <f t="shared" si="115"/>
        <v>0.15610261796585698</v>
      </c>
      <c r="O936" s="20">
        <f t="shared" si="116"/>
        <v>2.5097884554934944</v>
      </c>
      <c r="P936" s="14">
        <f t="shared" si="117"/>
        <v>468.27482274518508</v>
      </c>
      <c r="Q936" s="14">
        <f t="shared" si="118"/>
        <v>715.89175</v>
      </c>
      <c r="R936" s="14" t="str">
        <f t="shared" si="119"/>
        <v>Jan</v>
      </c>
    </row>
    <row r="937" spans="1:18" x14ac:dyDescent="0.3">
      <c r="A937" t="s">
        <v>2546</v>
      </c>
      <c r="B937" s="1">
        <v>45235</v>
      </c>
      <c r="C937" t="s">
        <v>414</v>
      </c>
      <c r="D937" t="s">
        <v>1359</v>
      </c>
      <c r="E937" t="s">
        <v>1586</v>
      </c>
      <c r="F937">
        <v>2</v>
      </c>
      <c r="G937" s="14">
        <v>65.44</v>
      </c>
      <c r="H937" s="17">
        <v>0.05</v>
      </c>
      <c r="I937" t="s">
        <v>1611</v>
      </c>
      <c r="J937" s="14">
        <v>124.336</v>
      </c>
      <c r="K937" s="14">
        <f t="shared" si="112"/>
        <v>360228.48923188465</v>
      </c>
      <c r="L937" s="14">
        <f t="shared" si="113"/>
        <v>363</v>
      </c>
      <c r="M937" s="14" t="str">
        <f t="shared" si="114"/>
        <v>05-11-2023</v>
      </c>
      <c r="N937" s="14">
        <f t="shared" si="115"/>
        <v>0.15620243228191139</v>
      </c>
      <c r="O937" s="20">
        <f t="shared" si="116"/>
        <v>2.5102680307103271</v>
      </c>
      <c r="P937" s="14">
        <f t="shared" si="117"/>
        <v>467.78709445049572</v>
      </c>
      <c r="Q937" s="14">
        <f t="shared" si="118"/>
        <v>47.956499999999998</v>
      </c>
      <c r="R937" s="14" t="str">
        <f t="shared" si="119"/>
        <v>Nov</v>
      </c>
    </row>
    <row r="938" spans="1:18" x14ac:dyDescent="0.3">
      <c r="A938" t="s">
        <v>2547</v>
      </c>
      <c r="B938" s="1">
        <v>45824</v>
      </c>
      <c r="C938" t="s">
        <v>1196</v>
      </c>
      <c r="D938" t="s">
        <v>1459</v>
      </c>
      <c r="E938" t="s">
        <v>1582</v>
      </c>
      <c r="F938">
        <v>3</v>
      </c>
      <c r="G938" s="14">
        <v>953.74</v>
      </c>
      <c r="H938" s="17">
        <v>0.04</v>
      </c>
      <c r="I938" t="s">
        <v>1609</v>
      </c>
      <c r="J938" s="14">
        <v>2746.7712000000001</v>
      </c>
      <c r="K938" s="14">
        <f t="shared" si="112"/>
        <v>360228.48923188465</v>
      </c>
      <c r="L938" s="14">
        <f t="shared" si="113"/>
        <v>363</v>
      </c>
      <c r="M938" s="14" t="str">
        <f t="shared" si="114"/>
        <v>16-06-2025</v>
      </c>
      <c r="N938" s="14">
        <f t="shared" si="115"/>
        <v>0.1563024345721957</v>
      </c>
      <c r="O938" s="20">
        <f t="shared" si="116"/>
        <v>2.5107485090819943</v>
      </c>
      <c r="P938" s="14">
        <f t="shared" si="117"/>
        <v>468.16595235487466</v>
      </c>
      <c r="Q938" s="14">
        <f t="shared" si="118"/>
        <v>925.88779999999997</v>
      </c>
      <c r="R938" s="14" t="str">
        <f t="shared" si="119"/>
        <v>Jun</v>
      </c>
    </row>
    <row r="939" spans="1:18" x14ac:dyDescent="0.3">
      <c r="A939" t="s">
        <v>2548</v>
      </c>
      <c r="B939" s="1">
        <v>45543</v>
      </c>
      <c r="C939" t="s">
        <v>247</v>
      </c>
      <c r="D939" t="s">
        <v>1485</v>
      </c>
      <c r="E939" t="s">
        <v>1574</v>
      </c>
      <c r="F939">
        <v>3</v>
      </c>
      <c r="G939" s="14">
        <v>904.48</v>
      </c>
      <c r="H939" s="17">
        <v>0.21</v>
      </c>
      <c r="I939" t="s">
        <v>1611</v>
      </c>
      <c r="J939" s="14">
        <v>2143.6176</v>
      </c>
      <c r="K939" s="14">
        <f t="shared" si="112"/>
        <v>357481.71803188464</v>
      </c>
      <c r="L939" s="14">
        <f t="shared" si="113"/>
        <v>362</v>
      </c>
      <c r="M939" s="14" t="str">
        <f t="shared" si="114"/>
        <v>08-09-2024</v>
      </c>
      <c r="N939" s="14">
        <f t="shared" si="115"/>
        <v>0.15641205043889897</v>
      </c>
      <c r="O939" s="20">
        <f t="shared" si="116"/>
        <v>2.5102873860933816</v>
      </c>
      <c r="P939" s="14">
        <f t="shared" si="117"/>
        <v>467.70829538254185</v>
      </c>
      <c r="Q939" s="14">
        <f t="shared" si="118"/>
        <v>762.82690000000002</v>
      </c>
      <c r="R939" s="14" t="str">
        <f t="shared" si="119"/>
        <v>Sep</v>
      </c>
    </row>
    <row r="940" spans="1:18" x14ac:dyDescent="0.3">
      <c r="A940" t="s">
        <v>2549</v>
      </c>
      <c r="B940" s="1">
        <v>45595</v>
      </c>
      <c r="C940" t="s">
        <v>1313</v>
      </c>
      <c r="D940" t="s">
        <v>1457</v>
      </c>
      <c r="E940" t="s">
        <v>1586</v>
      </c>
      <c r="F940">
        <v>3</v>
      </c>
      <c r="G940" s="14">
        <v>920.82</v>
      </c>
      <c r="H940" s="17">
        <v>0.1</v>
      </c>
      <c r="I940" t="s">
        <v>1611</v>
      </c>
      <c r="J940" s="14">
        <v>2486.2139999999999</v>
      </c>
      <c r="K940" s="14">
        <f t="shared" si="112"/>
        <v>357481.71803188464</v>
      </c>
      <c r="L940" s="14">
        <f t="shared" si="113"/>
        <v>362</v>
      </c>
      <c r="M940" s="14" t="str">
        <f t="shared" si="114"/>
        <v>30-10-2024</v>
      </c>
      <c r="N940" s="14">
        <f t="shared" si="115"/>
        <v>0.1563614957695017</v>
      </c>
      <c r="O940" s="20">
        <f t="shared" si="116"/>
        <v>2.5098253930613943</v>
      </c>
      <c r="P940" s="14">
        <f t="shared" si="117"/>
        <v>467.29624660460087</v>
      </c>
      <c r="Q940" s="14">
        <f t="shared" si="118"/>
        <v>852.5335</v>
      </c>
      <c r="R940" s="14" t="str">
        <f t="shared" si="119"/>
        <v>Oct</v>
      </c>
    </row>
    <row r="941" spans="1:18" x14ac:dyDescent="0.3">
      <c r="A941" t="s">
        <v>2550</v>
      </c>
      <c r="B941" s="1">
        <v>45803</v>
      </c>
      <c r="C941" t="s">
        <v>963</v>
      </c>
      <c r="D941" t="s">
        <v>1389</v>
      </c>
      <c r="E941" t="s">
        <v>1542</v>
      </c>
      <c r="F941">
        <v>1</v>
      </c>
      <c r="G941" s="14">
        <v>182.28</v>
      </c>
      <c r="H941" s="17">
        <v>0.15</v>
      </c>
      <c r="I941" t="s">
        <v>1614</v>
      </c>
      <c r="J941" s="14">
        <v>154.93799999999999</v>
      </c>
      <c r="K941" s="14">
        <f t="shared" si="112"/>
        <v>357481.71803188464</v>
      </c>
      <c r="L941" s="14">
        <f t="shared" si="113"/>
        <v>362</v>
      </c>
      <c r="M941" s="14" t="str">
        <f t="shared" si="114"/>
        <v>26-05-2025</v>
      </c>
      <c r="N941" s="14">
        <f t="shared" si="115"/>
        <v>0.15641471720082323</v>
      </c>
      <c r="O941" s="20">
        <f t="shared" si="116"/>
        <v>2.5093625275213203</v>
      </c>
      <c r="P941" s="14">
        <f t="shared" si="117"/>
        <v>466.86798999138512</v>
      </c>
      <c r="Q941" s="14">
        <f t="shared" si="118"/>
        <v>84.591999999999999</v>
      </c>
      <c r="R941" s="14" t="str">
        <f t="shared" si="119"/>
        <v>May</v>
      </c>
    </row>
    <row r="942" spans="1:18" x14ac:dyDescent="0.3">
      <c r="A942" t="s">
        <v>2551</v>
      </c>
      <c r="B942" s="1">
        <v>45880</v>
      </c>
      <c r="C942" t="s">
        <v>1266</v>
      </c>
      <c r="D942" t="s">
        <v>1395</v>
      </c>
      <c r="E942" t="s">
        <v>1589</v>
      </c>
      <c r="F942">
        <v>3</v>
      </c>
      <c r="G942" s="14">
        <v>938.68</v>
      </c>
      <c r="H942" s="17">
        <v>0.14000000000000001</v>
      </c>
      <c r="I942" t="s">
        <v>1609</v>
      </c>
      <c r="J942" s="14">
        <v>2421.7944000000002</v>
      </c>
      <c r="K942" s="14">
        <f t="shared" si="112"/>
        <v>357481.71803188464</v>
      </c>
      <c r="L942" s="14">
        <f t="shared" si="113"/>
        <v>362</v>
      </c>
      <c r="M942" s="14" t="str">
        <f t="shared" si="114"/>
        <v>11-08-2025</v>
      </c>
      <c r="N942" s="14">
        <f t="shared" si="115"/>
        <v>0.15642078026055939</v>
      </c>
      <c r="O942" s="20">
        <f t="shared" si="116"/>
        <v>2.5107891461673706</v>
      </c>
      <c r="P942" s="14">
        <f t="shared" si="117"/>
        <v>467.13697674941102</v>
      </c>
      <c r="Q942" s="14">
        <f t="shared" si="118"/>
        <v>840.9036000000001</v>
      </c>
      <c r="R942" s="14" t="str">
        <f t="shared" si="119"/>
        <v>Aug</v>
      </c>
    </row>
    <row r="943" spans="1:18" x14ac:dyDescent="0.3">
      <c r="A943" t="s">
        <v>2552</v>
      </c>
      <c r="B943" s="1">
        <v>45690</v>
      </c>
      <c r="C943" t="s">
        <v>295</v>
      </c>
      <c r="D943" t="s">
        <v>1515</v>
      </c>
      <c r="E943" t="s">
        <v>1558</v>
      </c>
      <c r="F943">
        <v>3</v>
      </c>
      <c r="G943" s="14">
        <v>219.96</v>
      </c>
      <c r="H943" s="17">
        <v>0.18</v>
      </c>
      <c r="I943" t="s">
        <v>1611</v>
      </c>
      <c r="J943" s="14">
        <v>541.10160000000008</v>
      </c>
      <c r="K943" s="14">
        <f t="shared" si="112"/>
        <v>355059.92363188462</v>
      </c>
      <c r="L943" s="14">
        <f t="shared" si="113"/>
        <v>361</v>
      </c>
      <c r="M943" s="14" t="str">
        <f t="shared" si="114"/>
        <v>02-02-2025</v>
      </c>
      <c r="N943" s="14">
        <f t="shared" si="115"/>
        <v>0.15643631553043691</v>
      </c>
      <c r="O943" s="20">
        <f t="shared" si="116"/>
        <v>2.5103263165989387</v>
      </c>
      <c r="P943" s="14">
        <f t="shared" si="117"/>
        <v>466.69086225248526</v>
      </c>
      <c r="Q943" s="14">
        <f t="shared" si="118"/>
        <v>191.06040000000002</v>
      </c>
      <c r="R943" s="14" t="str">
        <f t="shared" si="119"/>
        <v>Feb</v>
      </c>
    </row>
    <row r="944" spans="1:18" x14ac:dyDescent="0.3">
      <c r="A944" t="s">
        <v>2553</v>
      </c>
      <c r="B944" s="1">
        <v>45841</v>
      </c>
      <c r="C944" t="s">
        <v>1294</v>
      </c>
      <c r="D944" t="s">
        <v>1475</v>
      </c>
      <c r="E944" t="s">
        <v>1595</v>
      </c>
      <c r="F944">
        <v>3</v>
      </c>
      <c r="G944" s="14">
        <v>385.74</v>
      </c>
      <c r="H944" s="17">
        <v>0.27</v>
      </c>
      <c r="I944" t="s">
        <v>1609</v>
      </c>
      <c r="J944" s="14">
        <v>844.77059999999994</v>
      </c>
      <c r="K944" s="14">
        <f t="shared" si="112"/>
        <v>355059.92363188462</v>
      </c>
      <c r="L944" s="14">
        <f t="shared" si="113"/>
        <v>361</v>
      </c>
      <c r="M944" s="14" t="str">
        <f t="shared" si="114"/>
        <v>03-07-2025</v>
      </c>
      <c r="N944" s="14">
        <f t="shared" si="115"/>
        <v>0.15641400143529524</v>
      </c>
      <c r="O944" s="20">
        <f t="shared" si="116"/>
        <v>2.5098626104593547</v>
      </c>
      <c r="P944" s="14">
        <f t="shared" si="117"/>
        <v>466.92450890234551</v>
      </c>
      <c r="Q944" s="14">
        <f t="shared" si="118"/>
        <v>308.44515000000001</v>
      </c>
      <c r="R944" s="14" t="str">
        <f t="shared" si="119"/>
        <v>Jul</v>
      </c>
    </row>
    <row r="945" spans="1:18" x14ac:dyDescent="0.3">
      <c r="A945" t="s">
        <v>2554</v>
      </c>
      <c r="B945" s="1">
        <v>45380</v>
      </c>
      <c r="C945" t="s">
        <v>1274</v>
      </c>
      <c r="D945" t="s">
        <v>1495</v>
      </c>
      <c r="E945" t="s">
        <v>1595</v>
      </c>
      <c r="F945">
        <v>2</v>
      </c>
      <c r="G945" s="14">
        <v>830.94</v>
      </c>
      <c r="H945" s="17">
        <v>0.28000000000000003</v>
      </c>
      <c r="I945" t="s">
        <v>1611</v>
      </c>
      <c r="J945" s="14">
        <v>1196.5536</v>
      </c>
      <c r="K945" s="14">
        <f t="shared" si="112"/>
        <v>354215.15303188463</v>
      </c>
      <c r="L945" s="14">
        <f t="shared" si="113"/>
        <v>360</v>
      </c>
      <c r="M945" s="14" t="str">
        <f t="shared" si="114"/>
        <v>29-03-2024</v>
      </c>
      <c r="N945" s="14">
        <f t="shared" si="115"/>
        <v>0.15630633698167942</v>
      </c>
      <c r="O945" s="20">
        <f t="shared" si="116"/>
        <v>2.5093980252559986</v>
      </c>
      <c r="P945" s="14">
        <f t="shared" si="117"/>
        <v>467.00146104348522</v>
      </c>
      <c r="Q945" s="14">
        <f t="shared" si="118"/>
        <v>507.4434</v>
      </c>
      <c r="R945" s="14" t="str">
        <f t="shared" si="119"/>
        <v>Mar</v>
      </c>
    </row>
    <row r="946" spans="1:18" x14ac:dyDescent="0.3">
      <c r="A946" t="s">
        <v>2555</v>
      </c>
      <c r="B946" s="1">
        <v>45503</v>
      </c>
      <c r="C946" t="s">
        <v>1196</v>
      </c>
      <c r="D946" t="s">
        <v>1336</v>
      </c>
      <c r="E946" t="s">
        <v>1571</v>
      </c>
      <c r="F946">
        <v>3</v>
      </c>
      <c r="G946" s="14">
        <v>462.75</v>
      </c>
      <c r="H946" s="17">
        <v>0.22</v>
      </c>
      <c r="I946" t="s">
        <v>1611</v>
      </c>
      <c r="J946" s="14">
        <v>1082.835</v>
      </c>
      <c r="K946" s="14">
        <f t="shared" si="112"/>
        <v>354215.15303188463</v>
      </c>
      <c r="L946" s="14">
        <f t="shared" si="113"/>
        <v>360</v>
      </c>
      <c r="M946" s="14" t="str">
        <f t="shared" si="114"/>
        <v>30-07-2024</v>
      </c>
      <c r="N946" s="14">
        <f t="shared" si="115"/>
        <v>0.15618898056515351</v>
      </c>
      <c r="O946" s="20">
        <f t="shared" si="116"/>
        <v>2.5098813250902068</v>
      </c>
      <c r="P946" s="14">
        <f t="shared" si="117"/>
        <v>466.65616831202738</v>
      </c>
      <c r="Q946" s="14">
        <f t="shared" si="118"/>
        <v>387.20125000000002</v>
      </c>
      <c r="R946" s="14" t="str">
        <f t="shared" si="119"/>
        <v>Jul</v>
      </c>
    </row>
    <row r="947" spans="1:18" x14ac:dyDescent="0.3">
      <c r="A947" t="s">
        <v>2556</v>
      </c>
      <c r="B947" s="1">
        <v>45567</v>
      </c>
      <c r="C947" t="s">
        <v>247</v>
      </c>
      <c r="D947" t="s">
        <v>1361</v>
      </c>
      <c r="E947" t="s">
        <v>1586</v>
      </c>
      <c r="F947">
        <v>4</v>
      </c>
      <c r="G947" s="14">
        <v>973.9</v>
      </c>
      <c r="H947" s="17">
        <v>0.02</v>
      </c>
      <c r="I947" t="s">
        <v>1614</v>
      </c>
      <c r="J947" s="14">
        <v>3817.6880000000001</v>
      </c>
      <c r="K947" s="14">
        <f t="shared" si="112"/>
        <v>354215.15303188463</v>
      </c>
      <c r="L947" s="14">
        <f t="shared" si="113"/>
        <v>360</v>
      </c>
      <c r="M947" s="14" t="str">
        <f t="shared" si="114"/>
        <v>02-10-2024</v>
      </c>
      <c r="N947" s="14">
        <f t="shared" si="115"/>
        <v>0.15612838130643095</v>
      </c>
      <c r="O947" s="20">
        <f t="shared" si="116"/>
        <v>2.5094158752564848</v>
      </c>
      <c r="P947" s="14">
        <f t="shared" si="117"/>
        <v>466.65987787357722</v>
      </c>
      <c r="Q947" s="14">
        <f t="shared" si="118"/>
        <v>1198.902</v>
      </c>
      <c r="R947" s="14" t="str">
        <f t="shared" si="119"/>
        <v>Oct</v>
      </c>
    </row>
    <row r="948" spans="1:18" x14ac:dyDescent="0.3">
      <c r="A948" t="s">
        <v>2557</v>
      </c>
      <c r="B948" s="1">
        <v>45600</v>
      </c>
      <c r="C948" t="s">
        <v>475</v>
      </c>
      <c r="D948" t="s">
        <v>1403</v>
      </c>
      <c r="E948" t="s">
        <v>1542</v>
      </c>
      <c r="F948">
        <v>2</v>
      </c>
      <c r="G948" s="14">
        <v>157.18</v>
      </c>
      <c r="H948" s="17">
        <v>0.15</v>
      </c>
      <c r="I948" t="s">
        <v>1609</v>
      </c>
      <c r="J948" s="14">
        <v>267.20600000000002</v>
      </c>
      <c r="K948" s="14">
        <f t="shared" si="112"/>
        <v>354215.15303188463</v>
      </c>
      <c r="L948" s="14">
        <f t="shared" si="113"/>
        <v>360</v>
      </c>
      <c r="M948" s="14" t="str">
        <f t="shared" si="114"/>
        <v>04-11-2024</v>
      </c>
      <c r="N948" s="14">
        <f t="shared" si="115"/>
        <v>0.15625778090843326</v>
      </c>
      <c r="O948" s="20">
        <f t="shared" si="116"/>
        <v>2.5079989701949414</v>
      </c>
      <c r="P948" s="14">
        <f t="shared" si="117"/>
        <v>466.17771045710725</v>
      </c>
      <c r="Q948" s="14">
        <f t="shared" si="118"/>
        <v>106.63400000000001</v>
      </c>
      <c r="R948" s="14" t="str">
        <f t="shared" si="119"/>
        <v>Nov</v>
      </c>
    </row>
    <row r="949" spans="1:18" x14ac:dyDescent="0.3">
      <c r="A949" t="s">
        <v>2558</v>
      </c>
      <c r="B949" s="1">
        <v>45415</v>
      </c>
      <c r="C949" t="s">
        <v>63</v>
      </c>
      <c r="D949" t="s">
        <v>1479</v>
      </c>
      <c r="E949" t="s">
        <v>1582</v>
      </c>
      <c r="F949">
        <v>3</v>
      </c>
      <c r="G949" s="14">
        <v>239.57</v>
      </c>
      <c r="H949" s="17">
        <v>0.16</v>
      </c>
      <c r="I949" t="s">
        <v>1609</v>
      </c>
      <c r="J949" s="14">
        <v>603.71640000000002</v>
      </c>
      <c r="K949" s="14">
        <f t="shared" si="112"/>
        <v>353947.94703188463</v>
      </c>
      <c r="L949" s="14">
        <f t="shared" si="113"/>
        <v>359</v>
      </c>
      <c r="M949" s="14" t="str">
        <f t="shared" si="114"/>
        <v>03-05-2024</v>
      </c>
      <c r="N949" s="14">
        <f t="shared" si="115"/>
        <v>0.15626373502918342</v>
      </c>
      <c r="O949" s="20">
        <f t="shared" si="116"/>
        <v>2.5084823184063545</v>
      </c>
      <c r="P949" s="14">
        <f t="shared" si="117"/>
        <v>466.47171398751362</v>
      </c>
      <c r="Q949" s="14">
        <f t="shared" si="118"/>
        <v>211.61160000000001</v>
      </c>
      <c r="R949" s="14" t="str">
        <f t="shared" si="119"/>
        <v>May</v>
      </c>
    </row>
    <row r="950" spans="1:18" x14ac:dyDescent="0.3">
      <c r="A950" t="s">
        <v>2559</v>
      </c>
      <c r="B950" s="1">
        <v>45343</v>
      </c>
      <c r="C950" t="s">
        <v>1029</v>
      </c>
      <c r="D950" t="s">
        <v>1350</v>
      </c>
      <c r="E950" t="s">
        <v>1589</v>
      </c>
      <c r="F950">
        <v>4</v>
      </c>
      <c r="G950" s="14">
        <v>583.21</v>
      </c>
      <c r="H950" s="17">
        <v>0.2</v>
      </c>
      <c r="I950" t="s">
        <v>1609</v>
      </c>
      <c r="J950" s="14">
        <v>1866.2719999999999</v>
      </c>
      <c r="K950" s="14">
        <f t="shared" si="112"/>
        <v>353344.23063188465</v>
      </c>
      <c r="L950" s="14">
        <f t="shared" si="113"/>
        <v>358</v>
      </c>
      <c r="M950" s="14" t="str">
        <f t="shared" si="114"/>
        <v>21-02-2024</v>
      </c>
      <c r="N950" s="14">
        <f t="shared" si="115"/>
        <v>0.15626017668159217</v>
      </c>
      <c r="O950" s="20">
        <f t="shared" si="116"/>
        <v>2.5080142063286459</v>
      </c>
      <c r="P950" s="14">
        <f t="shared" si="117"/>
        <v>466.68781085797792</v>
      </c>
      <c r="Q950" s="14">
        <f t="shared" si="118"/>
        <v>613.42049999999995</v>
      </c>
      <c r="R950" s="14" t="str">
        <f t="shared" si="119"/>
        <v>Feb</v>
      </c>
    </row>
    <row r="951" spans="1:18" x14ac:dyDescent="0.3">
      <c r="A951" t="s">
        <v>2560</v>
      </c>
      <c r="B951" s="1">
        <v>45399</v>
      </c>
      <c r="C951" t="s">
        <v>1234</v>
      </c>
      <c r="D951" t="s">
        <v>1495</v>
      </c>
      <c r="E951" t="s">
        <v>1567</v>
      </c>
      <c r="F951">
        <v>3</v>
      </c>
      <c r="G951" s="14">
        <v>758.75</v>
      </c>
      <c r="H951" s="17">
        <v>0.27</v>
      </c>
      <c r="I951" t="s">
        <v>1611</v>
      </c>
      <c r="J951" s="14">
        <v>1661.6624999999999</v>
      </c>
      <c r="K951" s="14">
        <f t="shared" si="112"/>
        <v>351477.9586318846</v>
      </c>
      <c r="L951" s="14">
        <f t="shared" si="113"/>
        <v>357</v>
      </c>
      <c r="M951" s="14" t="str">
        <f t="shared" si="114"/>
        <v>17-04-2024</v>
      </c>
      <c r="N951" s="14">
        <f t="shared" si="115"/>
        <v>0.15621847999587396</v>
      </c>
      <c r="O951" s="20">
        <f t="shared" si="116"/>
        <v>2.5065919129123722</v>
      </c>
      <c r="P951" s="14">
        <f t="shared" si="117"/>
        <v>466.57673155469672</v>
      </c>
      <c r="Q951" s="14">
        <f t="shared" si="118"/>
        <v>605.92062499999997</v>
      </c>
      <c r="R951" s="14" t="str">
        <f t="shared" si="119"/>
        <v>Apr</v>
      </c>
    </row>
    <row r="952" spans="1:18" x14ac:dyDescent="0.3">
      <c r="A952" t="s">
        <v>2561</v>
      </c>
      <c r="B952" s="1">
        <v>45689</v>
      </c>
      <c r="C952" t="s">
        <v>975</v>
      </c>
      <c r="D952" t="s">
        <v>1455</v>
      </c>
      <c r="E952" t="s">
        <v>1558</v>
      </c>
      <c r="F952">
        <v>4</v>
      </c>
      <c r="G952" s="14">
        <v>372.42</v>
      </c>
      <c r="H952" s="17">
        <v>0.19</v>
      </c>
      <c r="I952" t="s">
        <v>1609</v>
      </c>
      <c r="J952" s="14">
        <v>1206.6407999999999</v>
      </c>
      <c r="K952" s="14">
        <f t="shared" si="112"/>
        <v>351477.9586318846</v>
      </c>
      <c r="L952" s="14">
        <f t="shared" si="113"/>
        <v>357</v>
      </c>
      <c r="M952" s="14" t="str">
        <f t="shared" si="114"/>
        <v>01-02-2025</v>
      </c>
      <c r="N952" s="14">
        <f t="shared" si="115"/>
        <v>0.15610990984319825</v>
      </c>
      <c r="O952" s="20">
        <f t="shared" si="116"/>
        <v>2.5061211036689683</v>
      </c>
      <c r="P952" s="14">
        <f t="shared" si="117"/>
        <v>466.29794026801233</v>
      </c>
      <c r="Q952" s="14">
        <f t="shared" si="118"/>
        <v>395.81269999999995</v>
      </c>
      <c r="R952" s="14" t="str">
        <f t="shared" si="119"/>
        <v>Feb</v>
      </c>
    </row>
    <row r="953" spans="1:18" x14ac:dyDescent="0.3">
      <c r="A953" t="s">
        <v>2562</v>
      </c>
      <c r="B953" s="1">
        <v>45699</v>
      </c>
      <c r="C953" t="s">
        <v>517</v>
      </c>
      <c r="D953" t="s">
        <v>1459</v>
      </c>
      <c r="E953" t="s">
        <v>1598</v>
      </c>
      <c r="F953">
        <v>4</v>
      </c>
      <c r="G953" s="14">
        <v>286.27999999999997</v>
      </c>
      <c r="H953" s="17">
        <v>0.28000000000000003</v>
      </c>
      <c r="I953" t="s">
        <v>1611</v>
      </c>
      <c r="J953" s="14">
        <v>824.48639999999989</v>
      </c>
      <c r="K953" s="14">
        <f t="shared" si="112"/>
        <v>350271.3178318846</v>
      </c>
      <c r="L953" s="14">
        <f t="shared" si="113"/>
        <v>356</v>
      </c>
      <c r="M953" s="14" t="str">
        <f t="shared" si="114"/>
        <v>11-02-2025</v>
      </c>
      <c r="N953" s="14">
        <f t="shared" si="115"/>
        <v>0.15607754108469127</v>
      </c>
      <c r="O953" s="20">
        <f t="shared" si="116"/>
        <v>2.5046942852388527</v>
      </c>
      <c r="P953" s="14">
        <f t="shared" si="117"/>
        <v>466.38760401229888</v>
      </c>
      <c r="Q953" s="14">
        <f t="shared" si="118"/>
        <v>278.76159999999993</v>
      </c>
      <c r="R953" s="14" t="str">
        <f t="shared" si="119"/>
        <v>Feb</v>
      </c>
    </row>
    <row r="954" spans="1:18" x14ac:dyDescent="0.3">
      <c r="A954" t="s">
        <v>2563</v>
      </c>
      <c r="B954" s="1">
        <v>45663</v>
      </c>
      <c r="C954" t="s">
        <v>887</v>
      </c>
      <c r="D954" t="s">
        <v>1479</v>
      </c>
      <c r="E954" t="s">
        <v>1577</v>
      </c>
      <c r="F954">
        <v>3</v>
      </c>
      <c r="G954" s="14">
        <v>488.37</v>
      </c>
      <c r="H954" s="17">
        <v>0.27</v>
      </c>
      <c r="I954" t="s">
        <v>1614</v>
      </c>
      <c r="J954" s="14">
        <v>1069.5302999999999</v>
      </c>
      <c r="K954" s="14">
        <f t="shared" si="112"/>
        <v>350271.3178318846</v>
      </c>
      <c r="L954" s="14">
        <f t="shared" si="113"/>
        <v>356</v>
      </c>
      <c r="M954" s="14" t="str">
        <f t="shared" si="114"/>
        <v>06-01-2025</v>
      </c>
      <c r="N954" s="14">
        <f t="shared" si="115"/>
        <v>0.15595906837062309</v>
      </c>
      <c r="O954" s="20">
        <f t="shared" si="116"/>
        <v>2.5032647386664233</v>
      </c>
      <c r="P954" s="14">
        <f t="shared" si="117"/>
        <v>466.55979101422264</v>
      </c>
      <c r="Q954" s="14">
        <f t="shared" si="118"/>
        <v>390.29257499999994</v>
      </c>
      <c r="R954" s="14" t="str">
        <f t="shared" si="119"/>
        <v>Jan</v>
      </c>
    </row>
    <row r="955" spans="1:18" x14ac:dyDescent="0.3">
      <c r="A955" t="s">
        <v>2564</v>
      </c>
      <c r="B955" s="1">
        <v>45377</v>
      </c>
      <c r="C955" t="s">
        <v>1290</v>
      </c>
      <c r="D955" t="s">
        <v>1507</v>
      </c>
      <c r="E955" t="s">
        <v>1567</v>
      </c>
      <c r="F955">
        <v>3</v>
      </c>
      <c r="G955" s="14">
        <v>662.82</v>
      </c>
      <c r="H955" s="17">
        <v>0.01</v>
      </c>
      <c r="I955" t="s">
        <v>1614</v>
      </c>
      <c r="J955" s="14">
        <v>1968.5753999999999</v>
      </c>
      <c r="K955" s="14">
        <f t="shared" si="112"/>
        <v>350271.3178318846</v>
      </c>
      <c r="L955" s="14">
        <f t="shared" si="113"/>
        <v>356</v>
      </c>
      <c r="M955" s="14" t="str">
        <f t="shared" si="114"/>
        <v>26-03-2024</v>
      </c>
      <c r="N955" s="14">
        <f t="shared" si="115"/>
        <v>0.15584993829250887</v>
      </c>
      <c r="O955" s="20">
        <f t="shared" si="116"/>
        <v>2.5027893939187353</v>
      </c>
      <c r="P955" s="14">
        <f t="shared" si="117"/>
        <v>466.53892000083914</v>
      </c>
      <c r="Q955" s="14">
        <f t="shared" si="118"/>
        <v>658.60135000000002</v>
      </c>
      <c r="R955" s="14" t="str">
        <f t="shared" si="119"/>
        <v>Mar</v>
      </c>
    </row>
    <row r="956" spans="1:18" x14ac:dyDescent="0.3">
      <c r="A956" t="s">
        <v>2565</v>
      </c>
      <c r="B956" s="1">
        <v>45412</v>
      </c>
      <c r="C956" t="s">
        <v>1318</v>
      </c>
      <c r="D956" t="s">
        <v>1342</v>
      </c>
      <c r="E956" t="s">
        <v>1589</v>
      </c>
      <c r="F956">
        <v>2</v>
      </c>
      <c r="G956" s="14">
        <v>824.34</v>
      </c>
      <c r="H956" s="17">
        <v>0.1</v>
      </c>
      <c r="I956" t="s">
        <v>1614</v>
      </c>
      <c r="J956" s="14">
        <v>1483.8119999999999</v>
      </c>
      <c r="K956" s="14">
        <f t="shared" si="112"/>
        <v>350271.3178318846</v>
      </c>
      <c r="L956" s="14">
        <f t="shared" si="113"/>
        <v>356</v>
      </c>
      <c r="M956" s="14" t="str">
        <f t="shared" si="114"/>
        <v>30-04-2024</v>
      </c>
      <c r="N956" s="14">
        <f t="shared" si="115"/>
        <v>0.15598964129853615</v>
      </c>
      <c r="O956" s="20">
        <f t="shared" si="116"/>
        <v>2.5023131385489257</v>
      </c>
      <c r="P956" s="14">
        <f t="shared" si="117"/>
        <v>466.35091130352191</v>
      </c>
      <c r="Q956" s="14">
        <f t="shared" si="118"/>
        <v>577.56299999999999</v>
      </c>
      <c r="R956" s="14" t="str">
        <f t="shared" si="119"/>
        <v>Apr</v>
      </c>
    </row>
    <row r="957" spans="1:18" x14ac:dyDescent="0.3">
      <c r="A957" t="s">
        <v>2566</v>
      </c>
      <c r="B957" s="1">
        <v>45349</v>
      </c>
      <c r="C957" t="s">
        <v>396</v>
      </c>
      <c r="D957" t="s">
        <v>1451</v>
      </c>
      <c r="E957" t="s">
        <v>1567</v>
      </c>
      <c r="F957">
        <v>1</v>
      </c>
      <c r="G957" s="14">
        <v>437.12</v>
      </c>
      <c r="H957" s="17">
        <v>0.21</v>
      </c>
      <c r="I957" t="s">
        <v>1609</v>
      </c>
      <c r="J957" s="14">
        <v>345.32479999999998</v>
      </c>
      <c r="K957" s="14">
        <f t="shared" si="112"/>
        <v>350271.3178318846</v>
      </c>
      <c r="L957" s="14">
        <f t="shared" si="113"/>
        <v>356</v>
      </c>
      <c r="M957" s="14" t="str">
        <f t="shared" si="114"/>
        <v>27-02-2024</v>
      </c>
      <c r="N957" s="14">
        <f t="shared" si="115"/>
        <v>0.15604332264206305</v>
      </c>
      <c r="O957" s="20">
        <f t="shared" si="116"/>
        <v>2.5027947427086081</v>
      </c>
      <c r="P957" s="14">
        <f t="shared" si="117"/>
        <v>466.00768111301716</v>
      </c>
      <c r="Q957" s="14">
        <f t="shared" si="118"/>
        <v>195.91370000000001</v>
      </c>
      <c r="R957" s="14" t="str">
        <f t="shared" si="119"/>
        <v>Feb</v>
      </c>
    </row>
    <row r="958" spans="1:18" x14ac:dyDescent="0.3">
      <c r="A958" t="s">
        <v>2567</v>
      </c>
      <c r="B958" s="1">
        <v>45486</v>
      </c>
      <c r="C958" t="s">
        <v>1118</v>
      </c>
      <c r="D958" t="s">
        <v>1509</v>
      </c>
      <c r="E958" t="s">
        <v>1561</v>
      </c>
      <c r="F958">
        <v>3</v>
      </c>
      <c r="G958" s="14">
        <v>23.37</v>
      </c>
      <c r="H958" s="17">
        <v>0.15</v>
      </c>
      <c r="I958" t="s">
        <v>1611</v>
      </c>
      <c r="J958" s="14">
        <v>59.593499999999999</v>
      </c>
      <c r="K958" s="14">
        <f t="shared" si="112"/>
        <v>349925.9930318846</v>
      </c>
      <c r="L958" s="14">
        <f t="shared" si="113"/>
        <v>355</v>
      </c>
      <c r="M958" s="14" t="str">
        <f t="shared" si="114"/>
        <v>13-07-2024</v>
      </c>
      <c r="N958" s="14">
        <f t="shared" si="115"/>
        <v>0.15599154080198824</v>
      </c>
      <c r="O958" s="20">
        <f t="shared" si="116"/>
        <v>2.5042369641507469</v>
      </c>
      <c r="P958" s="14">
        <f t="shared" si="117"/>
        <v>466.0354044154289</v>
      </c>
      <c r="Q958" s="14">
        <f t="shared" si="118"/>
        <v>21.528375</v>
      </c>
      <c r="R958" s="14" t="str">
        <f t="shared" si="119"/>
        <v>Jul</v>
      </c>
    </row>
    <row r="959" spans="1:18" x14ac:dyDescent="0.3">
      <c r="A959" t="s">
        <v>2568</v>
      </c>
      <c r="B959" s="1">
        <v>45761</v>
      </c>
      <c r="C959" t="s">
        <v>616</v>
      </c>
      <c r="D959" t="s">
        <v>1405</v>
      </c>
      <c r="E959" t="s">
        <v>1567</v>
      </c>
      <c r="F959">
        <v>1</v>
      </c>
      <c r="G959" s="14">
        <v>579.69000000000005</v>
      </c>
      <c r="H959" s="17">
        <v>0.02</v>
      </c>
      <c r="I959" t="s">
        <v>1609</v>
      </c>
      <c r="J959" s="14">
        <v>568.09620000000007</v>
      </c>
      <c r="K959" s="14">
        <f t="shared" si="112"/>
        <v>349925.9930318846</v>
      </c>
      <c r="L959" s="14">
        <f t="shared" si="113"/>
        <v>355</v>
      </c>
      <c r="M959" s="14" t="str">
        <f t="shared" si="114"/>
        <v>14-04-2025</v>
      </c>
      <c r="N959" s="14">
        <f t="shared" si="115"/>
        <v>0.15599729636471829</v>
      </c>
      <c r="O959" s="20">
        <f t="shared" si="116"/>
        <v>2.5037607268444555</v>
      </c>
      <c r="P959" s="14">
        <f t="shared" si="117"/>
        <v>466.46063535146675</v>
      </c>
      <c r="Q959" s="14">
        <f t="shared" si="118"/>
        <v>287.20155</v>
      </c>
      <c r="R959" s="14" t="str">
        <f t="shared" si="119"/>
        <v>Apr</v>
      </c>
    </row>
    <row r="960" spans="1:18" x14ac:dyDescent="0.3">
      <c r="A960" t="s">
        <v>2569</v>
      </c>
      <c r="B960" s="1">
        <v>45639</v>
      </c>
      <c r="C960" t="s">
        <v>1251</v>
      </c>
      <c r="D960" t="s">
        <v>1489</v>
      </c>
      <c r="E960" t="s">
        <v>1584</v>
      </c>
      <c r="F960">
        <v>3</v>
      </c>
      <c r="G960" s="14">
        <v>240.51</v>
      </c>
      <c r="H960" s="17">
        <v>7.0000000000000007E-2</v>
      </c>
      <c r="I960" t="s">
        <v>1609</v>
      </c>
      <c r="J960" s="14">
        <v>671.02289999999994</v>
      </c>
      <c r="K960" s="14">
        <f t="shared" si="112"/>
        <v>349357.89683188457</v>
      </c>
      <c r="L960" s="14">
        <f t="shared" si="113"/>
        <v>354</v>
      </c>
      <c r="M960" s="14" t="str">
        <f t="shared" si="114"/>
        <v>13-12-2024</v>
      </c>
      <c r="N960" s="14">
        <f t="shared" si="115"/>
        <v>0.15612806299583823</v>
      </c>
      <c r="O960" s="20">
        <f t="shared" si="116"/>
        <v>2.5052066506202677</v>
      </c>
      <c r="P960" s="14">
        <f t="shared" si="117"/>
        <v>466.3517609623816</v>
      </c>
      <c r="Q960" s="14">
        <f t="shared" si="118"/>
        <v>228.65072499999997</v>
      </c>
      <c r="R960" s="14" t="str">
        <f t="shared" si="119"/>
        <v>Dec</v>
      </c>
    </row>
    <row r="961" spans="1:18" x14ac:dyDescent="0.3">
      <c r="A961" s="2" t="s">
        <v>1601</v>
      </c>
      <c r="B961" s="2" t="s">
        <v>1602</v>
      </c>
      <c r="C961" s="2" t="s">
        <v>0</v>
      </c>
      <c r="D961" s="2" t="s">
        <v>1321</v>
      </c>
      <c r="E961" s="18" t="s">
        <v>1533</v>
      </c>
      <c r="F961" s="2" t="s">
        <v>1603</v>
      </c>
      <c r="G961" s="11" t="s">
        <v>1604</v>
      </c>
      <c r="H961" s="16" t="s">
        <v>1605</v>
      </c>
      <c r="I961" s="2" t="s">
        <v>1606</v>
      </c>
      <c r="J961" s="11" t="s">
        <v>1607</v>
      </c>
      <c r="K961" s="11" t="s">
        <v>3746</v>
      </c>
      <c r="L961" s="2" t="s">
        <v>3745</v>
      </c>
      <c r="M961" s="2" t="s">
        <v>3753</v>
      </c>
      <c r="N961" s="18" t="s">
        <v>3750</v>
      </c>
      <c r="O961" s="19" t="s">
        <v>3751</v>
      </c>
      <c r="P961" s="18" t="s">
        <v>3752</v>
      </c>
      <c r="Q961" s="18" t="s">
        <v>3749</v>
      </c>
      <c r="R961" s="2" t="s">
        <v>3793</v>
      </c>
    </row>
    <row r="962" spans="1:18" x14ac:dyDescent="0.3">
      <c r="A962" t="s">
        <v>2570</v>
      </c>
      <c r="B962" s="1">
        <v>45480</v>
      </c>
      <c r="C962" t="s">
        <v>1230</v>
      </c>
      <c r="D962" t="s">
        <v>1527</v>
      </c>
      <c r="E962" t="s">
        <v>1551</v>
      </c>
      <c r="F962">
        <v>2.4917091350811198</v>
      </c>
      <c r="G962" s="14">
        <v>493.43406960973999</v>
      </c>
      <c r="H962" s="17">
        <v>0.15270144351189599</v>
      </c>
      <c r="I962" t="s">
        <v>1609</v>
      </c>
      <c r="J962" s="14">
        <v>1044.98537089873</v>
      </c>
      <c r="K962" s="14">
        <f t="shared" ref="K962:K1025" si="120">SUMIF(I962:I2961,"Credit Card",J962:J2961)</f>
        <v>348686.87393188459</v>
      </c>
      <c r="L962" s="14">
        <f t="shared" ref="L962:L1025" si="121">COUNTIF(I962:I2961,"Credit Card")</f>
        <v>353</v>
      </c>
      <c r="M962" s="14" t="str">
        <f t="shared" ref="M962:M1025" si="122">TEXT(B962:B2961,"dd-mm-yyyy")</f>
        <v>07-07-2024</v>
      </c>
      <c r="N962" s="14">
        <f t="shared" ref="N962:N1025" si="123">AVERAGE(H962:H2961)</f>
        <v>0.15621095814790353</v>
      </c>
      <c r="O962" s="20">
        <f t="shared" ref="O962:O1025" si="124">AVERAGE(F962:F2961)</f>
        <v>2.5047304298797672</v>
      </c>
      <c r="P962" s="14">
        <f t="shared" ref="P962:P1025" si="125">AVERAGE(G962:G2961)</f>
        <v>466.56912550613754</v>
      </c>
      <c r="Q962" s="14">
        <f t="shared" ref="Q962:Q1025" si="126">AVERAGE(F962,G962,H962,J962)</f>
        <v>385.26596277176577</v>
      </c>
      <c r="R962" s="14" t="str">
        <f t="shared" ref="R962:R1025" si="127">TEXT(M962,"mmm")</f>
        <v>Jul</v>
      </c>
    </row>
    <row r="963" spans="1:18" x14ac:dyDescent="0.3">
      <c r="A963" t="s">
        <v>2571</v>
      </c>
      <c r="B963" s="1">
        <v>45285</v>
      </c>
      <c r="C963" t="s">
        <v>1288</v>
      </c>
      <c r="D963" t="s">
        <v>1481</v>
      </c>
      <c r="E963" t="s">
        <v>1592</v>
      </c>
      <c r="F963">
        <v>2.49173422428112</v>
      </c>
      <c r="G963" s="14">
        <v>493.38230671166002</v>
      </c>
      <c r="H963" s="17">
        <v>0.15270820558248599</v>
      </c>
      <c r="I963" t="s">
        <v>1611</v>
      </c>
      <c r="J963" s="14">
        <v>1044.8773744392799</v>
      </c>
      <c r="K963" s="14">
        <f t="shared" si="120"/>
        <v>347641.8885609858</v>
      </c>
      <c r="L963" s="14">
        <f t="shared" si="121"/>
        <v>352</v>
      </c>
      <c r="M963" s="14" t="str">
        <f t="shared" si="122"/>
        <v>25-12-2023</v>
      </c>
      <c r="N963" s="14">
        <f t="shared" si="123"/>
        <v>0.15621433918319835</v>
      </c>
      <c r="O963" s="20">
        <f t="shared" si="124"/>
        <v>2.504742974479766</v>
      </c>
      <c r="P963" s="14">
        <f t="shared" si="125"/>
        <v>466.54324405709741</v>
      </c>
      <c r="Q963" s="14">
        <f t="shared" si="126"/>
        <v>385.22603089520089</v>
      </c>
      <c r="R963" s="14" t="str">
        <f t="shared" si="127"/>
        <v>Dec</v>
      </c>
    </row>
    <row r="964" spans="1:18" x14ac:dyDescent="0.3">
      <c r="A964" t="s">
        <v>2572</v>
      </c>
      <c r="B964" s="1">
        <v>45446</v>
      </c>
      <c r="C964" t="s">
        <v>211</v>
      </c>
      <c r="D964" t="s">
        <v>1431</v>
      </c>
      <c r="E964" t="s">
        <v>1567</v>
      </c>
      <c r="F964">
        <v>2.4917593134811198</v>
      </c>
      <c r="G964" s="14">
        <v>493.33054381357999</v>
      </c>
      <c r="H964" s="17">
        <v>0.15271496765307599</v>
      </c>
      <c r="I964" t="s">
        <v>1609</v>
      </c>
      <c r="J964" s="14">
        <v>1044.7693779798201</v>
      </c>
      <c r="K964" s="14">
        <f t="shared" si="120"/>
        <v>347641.8885609858</v>
      </c>
      <c r="L964" s="14">
        <f t="shared" si="121"/>
        <v>352</v>
      </c>
      <c r="M964" s="14" t="str">
        <f t="shared" si="122"/>
        <v>03-06-2024</v>
      </c>
      <c r="N964" s="14">
        <f t="shared" si="123"/>
        <v>0.15621772021849312</v>
      </c>
      <c r="O964" s="20">
        <f t="shared" si="124"/>
        <v>2.5047555190797643</v>
      </c>
      <c r="P964" s="14">
        <f t="shared" si="125"/>
        <v>466.5173626080574</v>
      </c>
      <c r="Q964" s="14">
        <f t="shared" si="126"/>
        <v>385.18609901863357</v>
      </c>
      <c r="R964" s="14" t="str">
        <f t="shared" si="127"/>
        <v>Jun</v>
      </c>
    </row>
    <row r="965" spans="1:18" x14ac:dyDescent="0.3">
      <c r="A965" t="s">
        <v>2573</v>
      </c>
      <c r="B965" s="1">
        <v>45259</v>
      </c>
      <c r="C965" t="s">
        <v>1086</v>
      </c>
      <c r="D965" t="s">
        <v>1485</v>
      </c>
      <c r="E965" t="s">
        <v>1567</v>
      </c>
      <c r="F965">
        <v>2.49178440268112</v>
      </c>
      <c r="G965" s="14">
        <v>493.27878091550002</v>
      </c>
      <c r="H965" s="17">
        <v>0.15272172972366499</v>
      </c>
      <c r="I965" t="s">
        <v>1614</v>
      </c>
      <c r="J965" s="14">
        <v>1044.66138152037</v>
      </c>
      <c r="K965" s="14">
        <f t="shared" si="120"/>
        <v>346597.119183006</v>
      </c>
      <c r="L965" s="14">
        <f t="shared" si="121"/>
        <v>351</v>
      </c>
      <c r="M965" s="14" t="str">
        <f t="shared" si="122"/>
        <v>29-11-2023</v>
      </c>
      <c r="N965" s="14">
        <f t="shared" si="123"/>
        <v>0.15622110125378794</v>
      </c>
      <c r="O965" s="20">
        <f t="shared" si="124"/>
        <v>2.5047680636797636</v>
      </c>
      <c r="P965" s="14">
        <f t="shared" si="125"/>
        <v>466.49148115901733</v>
      </c>
      <c r="Q965" s="14">
        <f t="shared" si="126"/>
        <v>385.14616714206869</v>
      </c>
      <c r="R965" s="14" t="str">
        <f t="shared" si="127"/>
        <v>Nov</v>
      </c>
    </row>
    <row r="966" spans="1:18" x14ac:dyDescent="0.3">
      <c r="A966" t="s">
        <v>2574</v>
      </c>
      <c r="B966" s="1">
        <v>45297</v>
      </c>
      <c r="C966" t="s">
        <v>1314</v>
      </c>
      <c r="D966" t="s">
        <v>1451</v>
      </c>
      <c r="E966" t="s">
        <v>1558</v>
      </c>
      <c r="F966">
        <v>2.49180949188111</v>
      </c>
      <c r="G966" s="14">
        <v>493.22701801741999</v>
      </c>
      <c r="H966" s="17">
        <v>0.15272849179425499</v>
      </c>
      <c r="I966" t="s">
        <v>1609</v>
      </c>
      <c r="J966" s="14">
        <v>1044.5533850609199</v>
      </c>
      <c r="K966" s="14">
        <f t="shared" si="120"/>
        <v>346597.119183006</v>
      </c>
      <c r="L966" s="14">
        <f t="shared" si="121"/>
        <v>351</v>
      </c>
      <c r="M966" s="14" t="str">
        <f t="shared" si="122"/>
        <v>06-01-2024</v>
      </c>
      <c r="N966" s="14">
        <f t="shared" si="123"/>
        <v>0.15622448228908273</v>
      </c>
      <c r="O966" s="20">
        <f t="shared" si="124"/>
        <v>2.5047806082797619</v>
      </c>
      <c r="P966" s="14">
        <f t="shared" si="125"/>
        <v>466.46559970997725</v>
      </c>
      <c r="Q966" s="14">
        <f t="shared" si="126"/>
        <v>385.10623526550381</v>
      </c>
      <c r="R966" s="14" t="str">
        <f t="shared" si="127"/>
        <v>Jan</v>
      </c>
    </row>
    <row r="967" spans="1:18" x14ac:dyDescent="0.3">
      <c r="A967" t="s">
        <v>2575</v>
      </c>
      <c r="B967" s="1">
        <v>45499</v>
      </c>
      <c r="C967" t="s">
        <v>405</v>
      </c>
      <c r="D967" t="s">
        <v>1363</v>
      </c>
      <c r="E967" t="s">
        <v>1564</v>
      </c>
      <c r="F967">
        <v>2.4918345810811098</v>
      </c>
      <c r="G967" s="14">
        <v>493.175255119339</v>
      </c>
      <c r="H967" s="17">
        <v>0.15273525386484399</v>
      </c>
      <c r="I967" t="s">
        <v>1614</v>
      </c>
      <c r="J967" s="14">
        <v>1044.4453886014701</v>
      </c>
      <c r="K967" s="14">
        <f t="shared" si="120"/>
        <v>345552.56579794508</v>
      </c>
      <c r="L967" s="14">
        <f t="shared" si="121"/>
        <v>350</v>
      </c>
      <c r="M967" s="14" t="str">
        <f t="shared" si="122"/>
        <v>26-07-2024</v>
      </c>
      <c r="N967" s="14">
        <f t="shared" si="123"/>
        <v>0.15622786332437752</v>
      </c>
      <c r="O967" s="20">
        <f t="shared" si="124"/>
        <v>2.5047931528797607</v>
      </c>
      <c r="P967" s="14">
        <f t="shared" si="125"/>
        <v>466.43971826093718</v>
      </c>
      <c r="Q967" s="14">
        <f t="shared" si="126"/>
        <v>385.06630338893876</v>
      </c>
      <c r="R967" s="14" t="str">
        <f t="shared" si="127"/>
        <v>Jul</v>
      </c>
    </row>
    <row r="968" spans="1:18" x14ac:dyDescent="0.3">
      <c r="A968" t="s">
        <v>2576</v>
      </c>
      <c r="B968" s="1">
        <v>45850</v>
      </c>
      <c r="C968" t="s">
        <v>75</v>
      </c>
      <c r="D968" t="s">
        <v>1445</v>
      </c>
      <c r="E968" t="s">
        <v>1554</v>
      </c>
      <c r="F968">
        <v>2.49185967028111</v>
      </c>
      <c r="G968" s="14">
        <v>493.12349222125903</v>
      </c>
      <c r="H968" s="17">
        <v>0.15274201593543399</v>
      </c>
      <c r="I968" t="s">
        <v>1611</v>
      </c>
      <c r="J968" s="14">
        <v>1044.33739214202</v>
      </c>
      <c r="K968" s="14">
        <f t="shared" si="120"/>
        <v>345552.56579794508</v>
      </c>
      <c r="L968" s="14">
        <f t="shared" si="121"/>
        <v>350</v>
      </c>
      <c r="M968" s="14" t="str">
        <f t="shared" si="122"/>
        <v>12-07-2025</v>
      </c>
      <c r="N968" s="14">
        <f t="shared" si="123"/>
        <v>0.15623124435967234</v>
      </c>
      <c r="O968" s="20">
        <f t="shared" si="124"/>
        <v>2.5048056974797595</v>
      </c>
      <c r="P968" s="14">
        <f t="shared" si="125"/>
        <v>466.41383681189711</v>
      </c>
      <c r="Q968" s="14">
        <f t="shared" si="126"/>
        <v>385.02637151237388</v>
      </c>
      <c r="R968" s="14" t="str">
        <f t="shared" si="127"/>
        <v>Jul</v>
      </c>
    </row>
    <row r="969" spans="1:18" x14ac:dyDescent="0.3">
      <c r="A969" t="s">
        <v>2577</v>
      </c>
      <c r="B969" s="1">
        <v>45248</v>
      </c>
      <c r="C969" t="s">
        <v>511</v>
      </c>
      <c r="D969" t="s">
        <v>1473</v>
      </c>
      <c r="E969" t="s">
        <v>1567</v>
      </c>
      <c r="F969">
        <v>2.4918847594811102</v>
      </c>
      <c r="G969" s="14">
        <v>493.071729323179</v>
      </c>
      <c r="H969" s="17">
        <v>0.15274877800602399</v>
      </c>
      <c r="I969" t="s">
        <v>1611</v>
      </c>
      <c r="J969" s="14">
        <v>1044.2293956825699</v>
      </c>
      <c r="K969" s="14">
        <f t="shared" si="120"/>
        <v>345552.56579794508</v>
      </c>
      <c r="L969" s="14">
        <f t="shared" si="121"/>
        <v>350</v>
      </c>
      <c r="M969" s="14" t="str">
        <f t="shared" si="122"/>
        <v>18-11-2023</v>
      </c>
      <c r="N969" s="14">
        <f t="shared" si="123"/>
        <v>0.15623462539496716</v>
      </c>
      <c r="O969" s="20">
        <f t="shared" si="124"/>
        <v>2.5048182420797582</v>
      </c>
      <c r="P969" s="14">
        <f t="shared" si="125"/>
        <v>466.38795536285704</v>
      </c>
      <c r="Q969" s="14">
        <f t="shared" si="126"/>
        <v>384.98643963580901</v>
      </c>
      <c r="R969" s="14" t="str">
        <f t="shared" si="127"/>
        <v>Nov</v>
      </c>
    </row>
    <row r="970" spans="1:18" x14ac:dyDescent="0.3">
      <c r="A970" t="s">
        <v>2578</v>
      </c>
      <c r="B970" s="1">
        <v>45781</v>
      </c>
      <c r="C970" t="s">
        <v>616</v>
      </c>
      <c r="D970" t="s">
        <v>1531</v>
      </c>
      <c r="E970" t="s">
        <v>1558</v>
      </c>
      <c r="F970">
        <v>2.4919098486811002</v>
      </c>
      <c r="G970" s="14">
        <v>493.01996642509903</v>
      </c>
      <c r="H970" s="17">
        <v>0.15275554007661299</v>
      </c>
      <c r="I970" t="s">
        <v>1611</v>
      </c>
      <c r="J970" s="14">
        <v>1044.1213992231101</v>
      </c>
      <c r="K970" s="14">
        <f t="shared" si="120"/>
        <v>345552.56579794508</v>
      </c>
      <c r="L970" s="14">
        <f t="shared" si="121"/>
        <v>350</v>
      </c>
      <c r="M970" s="14" t="str">
        <f t="shared" si="122"/>
        <v>04-05-2025</v>
      </c>
      <c r="N970" s="14">
        <f t="shared" si="123"/>
        <v>0.15623800643026195</v>
      </c>
      <c r="O970" s="20">
        <f t="shared" si="124"/>
        <v>2.5048307866797566</v>
      </c>
      <c r="P970" s="14">
        <f t="shared" si="125"/>
        <v>466.36207391381697</v>
      </c>
      <c r="Q970" s="14">
        <f t="shared" si="126"/>
        <v>384.94650775924168</v>
      </c>
      <c r="R970" s="14" t="str">
        <f t="shared" si="127"/>
        <v>May</v>
      </c>
    </row>
    <row r="971" spans="1:18" x14ac:dyDescent="0.3">
      <c r="A971" t="s">
        <v>2579</v>
      </c>
      <c r="B971" s="1">
        <v>45869</v>
      </c>
      <c r="C971" t="s">
        <v>1285</v>
      </c>
      <c r="D971" t="s">
        <v>1399</v>
      </c>
      <c r="E971" t="s">
        <v>1537</v>
      </c>
      <c r="F971">
        <v>2.4919349378811</v>
      </c>
      <c r="G971" s="14">
        <v>492.968203527019</v>
      </c>
      <c r="H971" s="17">
        <v>0.15276230214720299</v>
      </c>
      <c r="I971" t="s">
        <v>1611</v>
      </c>
      <c r="J971" s="14">
        <v>1044.01340276366</v>
      </c>
      <c r="K971" s="14">
        <f t="shared" si="120"/>
        <v>345552.56579794508</v>
      </c>
      <c r="L971" s="14">
        <f t="shared" si="121"/>
        <v>350</v>
      </c>
      <c r="M971" s="14" t="str">
        <f t="shared" si="122"/>
        <v>31-07-2025</v>
      </c>
      <c r="N971" s="14">
        <f t="shared" si="123"/>
        <v>0.15624138746555677</v>
      </c>
      <c r="O971" s="20">
        <f t="shared" si="124"/>
        <v>2.5048433312797553</v>
      </c>
      <c r="P971" s="14">
        <f t="shared" si="125"/>
        <v>466.33619246477684</v>
      </c>
      <c r="Q971" s="14">
        <f t="shared" si="126"/>
        <v>384.90657588267686</v>
      </c>
      <c r="R971" s="14" t="str">
        <f t="shared" si="127"/>
        <v>Jul</v>
      </c>
    </row>
    <row r="972" spans="1:18" x14ac:dyDescent="0.3">
      <c r="A972" t="s">
        <v>2580</v>
      </c>
      <c r="B972" s="1">
        <v>45335</v>
      </c>
      <c r="C972" t="s">
        <v>241</v>
      </c>
      <c r="D972" t="s">
        <v>1381</v>
      </c>
      <c r="E972" t="s">
        <v>1584</v>
      </c>
      <c r="F972">
        <v>2.4919600270811002</v>
      </c>
      <c r="G972" s="14">
        <v>492.91644062893897</v>
      </c>
      <c r="H972" s="17">
        <v>0.15276906421779199</v>
      </c>
      <c r="I972" t="s">
        <v>1609</v>
      </c>
      <c r="J972" s="14">
        <v>1043.9054063042099</v>
      </c>
      <c r="K972" s="14">
        <f t="shared" si="120"/>
        <v>345552.56579794508</v>
      </c>
      <c r="L972" s="14">
        <f t="shared" si="121"/>
        <v>350</v>
      </c>
      <c r="M972" s="14" t="str">
        <f t="shared" si="122"/>
        <v>13-02-2024</v>
      </c>
      <c r="N972" s="14">
        <f t="shared" si="123"/>
        <v>0.15624476850085156</v>
      </c>
      <c r="O972" s="20">
        <f t="shared" si="124"/>
        <v>2.5048558758797541</v>
      </c>
      <c r="P972" s="14">
        <f t="shared" si="125"/>
        <v>466.31031101573672</v>
      </c>
      <c r="Q972" s="14">
        <f t="shared" si="126"/>
        <v>384.86664400611198</v>
      </c>
      <c r="R972" s="14" t="str">
        <f t="shared" si="127"/>
        <v>Feb</v>
      </c>
    </row>
    <row r="973" spans="1:18" x14ac:dyDescent="0.3">
      <c r="A973" t="s">
        <v>2581</v>
      </c>
      <c r="B973" s="1">
        <v>45801</v>
      </c>
      <c r="C973" t="s">
        <v>1008</v>
      </c>
      <c r="D973" t="s">
        <v>1411</v>
      </c>
      <c r="E973" t="s">
        <v>1542</v>
      </c>
      <c r="F973">
        <v>2.4919851162811</v>
      </c>
      <c r="G973" s="14">
        <v>492.86467773085798</v>
      </c>
      <c r="H973" s="17">
        <v>0.15277582628838199</v>
      </c>
      <c r="I973" t="s">
        <v>1609</v>
      </c>
      <c r="J973" s="14">
        <v>1043.7974098447601</v>
      </c>
      <c r="K973" s="14">
        <f t="shared" si="120"/>
        <v>344508.66039164085</v>
      </c>
      <c r="L973" s="14">
        <f t="shared" si="121"/>
        <v>349</v>
      </c>
      <c r="M973" s="14" t="str">
        <f t="shared" si="122"/>
        <v>24-05-2025</v>
      </c>
      <c r="N973" s="14">
        <f t="shared" si="123"/>
        <v>0.15624814953614635</v>
      </c>
      <c r="O973" s="20">
        <f t="shared" si="124"/>
        <v>2.5048684204797529</v>
      </c>
      <c r="P973" s="14">
        <f t="shared" si="125"/>
        <v>466.2844295666967</v>
      </c>
      <c r="Q973" s="14">
        <f t="shared" si="126"/>
        <v>384.82671212954688</v>
      </c>
      <c r="R973" s="14" t="str">
        <f t="shared" si="127"/>
        <v>May</v>
      </c>
    </row>
    <row r="974" spans="1:18" x14ac:dyDescent="0.3">
      <c r="A974" t="s">
        <v>2582</v>
      </c>
      <c r="B974" s="1">
        <v>45528</v>
      </c>
      <c r="C974" t="s">
        <v>761</v>
      </c>
      <c r="D974" t="s">
        <v>1509</v>
      </c>
      <c r="E974" t="s">
        <v>1554</v>
      </c>
      <c r="F974">
        <v>2.49201020548109</v>
      </c>
      <c r="G974" s="14">
        <v>492.81291483277801</v>
      </c>
      <c r="H974" s="17">
        <v>0.15278258835897199</v>
      </c>
      <c r="I974" t="s">
        <v>1609</v>
      </c>
      <c r="J974" s="14">
        <v>1043.68941338531</v>
      </c>
      <c r="K974" s="14">
        <f t="shared" si="120"/>
        <v>343464.86298179615</v>
      </c>
      <c r="L974" s="14">
        <f t="shared" si="121"/>
        <v>348</v>
      </c>
      <c r="M974" s="14" t="str">
        <f t="shared" si="122"/>
        <v>24-08-2024</v>
      </c>
      <c r="N974" s="14">
        <f t="shared" si="123"/>
        <v>0.15625153057144117</v>
      </c>
      <c r="O974" s="20">
        <f t="shared" si="124"/>
        <v>2.5048809650797517</v>
      </c>
      <c r="P974" s="14">
        <f t="shared" si="125"/>
        <v>466.25854811765663</v>
      </c>
      <c r="Q974" s="14">
        <f t="shared" si="126"/>
        <v>384.786780252982</v>
      </c>
      <c r="R974" s="14" t="str">
        <f t="shared" si="127"/>
        <v>Aug</v>
      </c>
    </row>
    <row r="975" spans="1:18" x14ac:dyDescent="0.3">
      <c r="A975" t="s">
        <v>2583</v>
      </c>
      <c r="B975" s="1">
        <v>45875</v>
      </c>
      <c r="C975" t="s">
        <v>1264</v>
      </c>
      <c r="D975" t="s">
        <v>1401</v>
      </c>
      <c r="E975" t="s">
        <v>1589</v>
      </c>
      <c r="F975">
        <v>2.4920352946810902</v>
      </c>
      <c r="G975" s="14">
        <v>492.76115193469798</v>
      </c>
      <c r="H975" s="17">
        <v>0.15278935042956099</v>
      </c>
      <c r="I975" t="s">
        <v>1611</v>
      </c>
      <c r="J975" s="14">
        <v>1043.5814169258599</v>
      </c>
      <c r="K975" s="14">
        <f t="shared" si="120"/>
        <v>342421.17356841086</v>
      </c>
      <c r="L975" s="14">
        <f t="shared" si="121"/>
        <v>347</v>
      </c>
      <c r="M975" s="14" t="str">
        <f t="shared" si="122"/>
        <v>06-08-2025</v>
      </c>
      <c r="N975" s="14">
        <f t="shared" si="123"/>
        <v>0.15625491160673596</v>
      </c>
      <c r="O975" s="20">
        <f t="shared" si="124"/>
        <v>2.5048935096797504</v>
      </c>
      <c r="P975" s="14">
        <f t="shared" si="125"/>
        <v>466.2326666686165</v>
      </c>
      <c r="Q975" s="14">
        <f t="shared" si="126"/>
        <v>384.74684837641712</v>
      </c>
      <c r="R975" s="14" t="str">
        <f t="shared" si="127"/>
        <v>Aug</v>
      </c>
    </row>
    <row r="976" spans="1:18" x14ac:dyDescent="0.3">
      <c r="A976" t="s">
        <v>2584</v>
      </c>
      <c r="B976" s="1">
        <v>45829</v>
      </c>
      <c r="C976" t="s">
        <v>1092</v>
      </c>
      <c r="D976" t="s">
        <v>1381</v>
      </c>
      <c r="E976" t="s">
        <v>1586</v>
      </c>
      <c r="F976">
        <v>2.49206038388109</v>
      </c>
      <c r="G976" s="14">
        <v>492.70938903661801</v>
      </c>
      <c r="H976" s="17">
        <v>0.15279611250015099</v>
      </c>
      <c r="I976" t="s">
        <v>1611</v>
      </c>
      <c r="J976" s="14">
        <v>1043.4734204664001</v>
      </c>
      <c r="K976" s="14">
        <f t="shared" si="120"/>
        <v>342421.17356841086</v>
      </c>
      <c r="L976" s="14">
        <f t="shared" si="121"/>
        <v>347</v>
      </c>
      <c r="M976" s="14" t="str">
        <f t="shared" si="122"/>
        <v>21-06-2025</v>
      </c>
      <c r="N976" s="14">
        <f t="shared" si="123"/>
        <v>0.15625829264203078</v>
      </c>
      <c r="O976" s="20">
        <f t="shared" si="124"/>
        <v>2.5049060542797488</v>
      </c>
      <c r="P976" s="14">
        <f t="shared" si="125"/>
        <v>466.20678521957643</v>
      </c>
      <c r="Q976" s="14">
        <f t="shared" si="126"/>
        <v>384.70691649984985</v>
      </c>
      <c r="R976" s="14" t="str">
        <f t="shared" si="127"/>
        <v>Jun</v>
      </c>
    </row>
    <row r="977" spans="1:18" x14ac:dyDescent="0.3">
      <c r="A977" t="s">
        <v>2585</v>
      </c>
      <c r="B977" s="1">
        <v>45636</v>
      </c>
      <c r="C977" t="s">
        <v>1256</v>
      </c>
      <c r="D977" t="s">
        <v>1405</v>
      </c>
      <c r="E977" t="s">
        <v>1571</v>
      </c>
      <c r="F977">
        <v>2.49208547308108</v>
      </c>
      <c r="G977" s="14">
        <v>492.65762613853798</v>
      </c>
      <c r="H977" s="17">
        <v>0.15280287457073999</v>
      </c>
      <c r="I977" t="s">
        <v>1614</v>
      </c>
      <c r="J977" s="14">
        <v>1043.36542400695</v>
      </c>
      <c r="K977" s="14">
        <f t="shared" si="120"/>
        <v>342421.17356841086</v>
      </c>
      <c r="L977" s="14">
        <f t="shared" si="121"/>
        <v>347</v>
      </c>
      <c r="M977" s="14" t="str">
        <f t="shared" si="122"/>
        <v>10-12-2024</v>
      </c>
      <c r="N977" s="14">
        <f t="shared" si="123"/>
        <v>0.1562616736773256</v>
      </c>
      <c r="O977" s="20">
        <f t="shared" si="124"/>
        <v>2.504918598879748</v>
      </c>
      <c r="P977" s="14">
        <f t="shared" si="125"/>
        <v>466.18090377053636</v>
      </c>
      <c r="Q977" s="14">
        <f t="shared" si="126"/>
        <v>384.66698462328497</v>
      </c>
      <c r="R977" s="14" t="str">
        <f t="shared" si="127"/>
        <v>Dec</v>
      </c>
    </row>
    <row r="978" spans="1:18" x14ac:dyDescent="0.3">
      <c r="A978" t="s">
        <v>2586</v>
      </c>
      <c r="B978" s="1">
        <v>45913</v>
      </c>
      <c r="C978" t="s">
        <v>878</v>
      </c>
      <c r="D978" t="s">
        <v>1463</v>
      </c>
      <c r="E978" t="s">
        <v>1598</v>
      </c>
      <c r="F978">
        <v>2.4921105622810802</v>
      </c>
      <c r="G978" s="14">
        <v>492.60586324045801</v>
      </c>
      <c r="H978" s="17">
        <v>0.15280963664132999</v>
      </c>
      <c r="I978" t="s">
        <v>1609</v>
      </c>
      <c r="J978" s="14">
        <v>1043.2574275474999</v>
      </c>
      <c r="K978" s="14">
        <f t="shared" si="120"/>
        <v>342421.17356841086</v>
      </c>
      <c r="L978" s="14">
        <f t="shared" si="121"/>
        <v>347</v>
      </c>
      <c r="M978" s="14" t="str">
        <f t="shared" si="122"/>
        <v>13-09-2025</v>
      </c>
      <c r="N978" s="14">
        <f t="shared" si="123"/>
        <v>0.15626505471262042</v>
      </c>
      <c r="O978" s="20">
        <f t="shared" si="124"/>
        <v>2.5049311434797463</v>
      </c>
      <c r="P978" s="14">
        <f t="shared" si="125"/>
        <v>466.15502232149635</v>
      </c>
      <c r="Q978" s="14">
        <f t="shared" si="126"/>
        <v>384.6270527467201</v>
      </c>
      <c r="R978" s="14" t="str">
        <f t="shared" si="127"/>
        <v>Sep</v>
      </c>
    </row>
    <row r="979" spans="1:18" x14ac:dyDescent="0.3">
      <c r="A979" t="s">
        <v>2587</v>
      </c>
      <c r="B979" s="1">
        <v>45637</v>
      </c>
      <c r="C979" t="s">
        <v>288</v>
      </c>
      <c r="D979" t="s">
        <v>1387</v>
      </c>
      <c r="E979" t="s">
        <v>1554</v>
      </c>
      <c r="F979">
        <v>2.49213565148108</v>
      </c>
      <c r="G979" s="14">
        <v>492.55410034237798</v>
      </c>
      <c r="H979" s="17">
        <v>0.15281639871191999</v>
      </c>
      <c r="I979" t="s">
        <v>1609</v>
      </c>
      <c r="J979" s="14">
        <v>1043.1494310880501</v>
      </c>
      <c r="K979" s="14">
        <f t="shared" si="120"/>
        <v>341377.91614086332</v>
      </c>
      <c r="L979" s="14">
        <f t="shared" si="121"/>
        <v>346</v>
      </c>
      <c r="M979" s="14" t="str">
        <f t="shared" si="122"/>
        <v>11-12-2024</v>
      </c>
      <c r="N979" s="14">
        <f t="shared" si="123"/>
        <v>0.15626843574791519</v>
      </c>
      <c r="O979" s="20">
        <f t="shared" si="124"/>
        <v>2.5049436880797451</v>
      </c>
      <c r="P979" s="14">
        <f t="shared" si="125"/>
        <v>466.12914087245622</v>
      </c>
      <c r="Q979" s="14">
        <f t="shared" si="126"/>
        <v>384.58712087015527</v>
      </c>
      <c r="R979" s="14" t="str">
        <f t="shared" si="127"/>
        <v>Dec</v>
      </c>
    </row>
    <row r="980" spans="1:18" x14ac:dyDescent="0.3">
      <c r="A980" t="s">
        <v>2588</v>
      </c>
      <c r="B980" s="1">
        <v>45517</v>
      </c>
      <c r="C980" t="s">
        <v>338</v>
      </c>
      <c r="D980" t="s">
        <v>1411</v>
      </c>
      <c r="E980" t="s">
        <v>1554</v>
      </c>
      <c r="F980">
        <v>2.4921607406810802</v>
      </c>
      <c r="G980" s="14">
        <v>492.50233744429698</v>
      </c>
      <c r="H980" s="17">
        <v>0.15282316078250899</v>
      </c>
      <c r="I980" t="s">
        <v>1614</v>
      </c>
      <c r="J980" s="14">
        <v>1043.0414346286</v>
      </c>
      <c r="K980" s="14">
        <f t="shared" si="120"/>
        <v>340334.76670977526</v>
      </c>
      <c r="L980" s="14">
        <f t="shared" si="121"/>
        <v>345</v>
      </c>
      <c r="M980" s="14" t="str">
        <f t="shared" si="122"/>
        <v>13-08-2024</v>
      </c>
      <c r="N980" s="14">
        <f t="shared" si="123"/>
        <v>0.15627181678321</v>
      </c>
      <c r="O980" s="20">
        <f t="shared" si="124"/>
        <v>2.5049562326797439</v>
      </c>
      <c r="P980" s="14">
        <f t="shared" si="125"/>
        <v>466.10325942341615</v>
      </c>
      <c r="Q980" s="14">
        <f t="shared" si="126"/>
        <v>384.54718899359011</v>
      </c>
      <c r="R980" s="14" t="str">
        <f t="shared" si="127"/>
        <v>Aug</v>
      </c>
    </row>
    <row r="981" spans="1:18" x14ac:dyDescent="0.3">
      <c r="A981" t="s">
        <v>2589</v>
      </c>
      <c r="B981" s="1">
        <v>45369</v>
      </c>
      <c r="C981" t="s">
        <v>767</v>
      </c>
      <c r="D981" t="s">
        <v>1453</v>
      </c>
      <c r="E981" t="s">
        <v>1582</v>
      </c>
      <c r="F981">
        <v>2.4921858298810702</v>
      </c>
      <c r="G981" s="14">
        <v>492.45057454621701</v>
      </c>
      <c r="H981" s="17">
        <v>0.15282992285309899</v>
      </c>
      <c r="I981" t="s">
        <v>1614</v>
      </c>
      <c r="J981" s="14">
        <v>1042.9334381691499</v>
      </c>
      <c r="K981" s="14">
        <f t="shared" si="120"/>
        <v>340334.76670977526</v>
      </c>
      <c r="L981" s="14">
        <f t="shared" si="121"/>
        <v>345</v>
      </c>
      <c r="M981" s="14" t="str">
        <f t="shared" si="122"/>
        <v>18-03-2024</v>
      </c>
      <c r="N981" s="14">
        <f t="shared" si="123"/>
        <v>0.1562751978185048</v>
      </c>
      <c r="O981" s="20">
        <f t="shared" si="124"/>
        <v>2.5049687772797427</v>
      </c>
      <c r="P981" s="14">
        <f t="shared" si="125"/>
        <v>466.07737797437608</v>
      </c>
      <c r="Q981" s="14">
        <f t="shared" si="126"/>
        <v>384.50725711702523</v>
      </c>
      <c r="R981" s="14" t="str">
        <f t="shared" si="127"/>
        <v>Mar</v>
      </c>
    </row>
    <row r="982" spans="1:18" x14ac:dyDescent="0.3">
      <c r="A982" t="s">
        <v>2590</v>
      </c>
      <c r="B982" s="1">
        <v>45843</v>
      </c>
      <c r="C982" t="s">
        <v>487</v>
      </c>
      <c r="D982" t="s">
        <v>1477</v>
      </c>
      <c r="E982" t="s">
        <v>1592</v>
      </c>
      <c r="F982">
        <v>2.49221091908107</v>
      </c>
      <c r="G982" s="14">
        <v>492.39881164813698</v>
      </c>
      <c r="H982" s="17">
        <v>0.15283668492368899</v>
      </c>
      <c r="I982" t="s">
        <v>1614</v>
      </c>
      <c r="J982" s="14">
        <v>1042.82544170969</v>
      </c>
      <c r="K982" s="14">
        <f t="shared" si="120"/>
        <v>340334.76670977526</v>
      </c>
      <c r="L982" s="14">
        <f t="shared" si="121"/>
        <v>345</v>
      </c>
      <c r="M982" s="14" t="str">
        <f t="shared" si="122"/>
        <v>05-07-2025</v>
      </c>
      <c r="N982" s="14">
        <f t="shared" si="123"/>
        <v>0.15627857885379964</v>
      </c>
      <c r="O982" s="20">
        <f t="shared" si="124"/>
        <v>2.5049813218797414</v>
      </c>
      <c r="P982" s="14">
        <f t="shared" si="125"/>
        <v>466.05149652533606</v>
      </c>
      <c r="Q982" s="14">
        <f t="shared" si="126"/>
        <v>384.46732524045797</v>
      </c>
      <c r="R982" s="14" t="str">
        <f t="shared" si="127"/>
        <v>Jul</v>
      </c>
    </row>
    <row r="983" spans="1:18" x14ac:dyDescent="0.3">
      <c r="A983" t="s">
        <v>2591</v>
      </c>
      <c r="B983" s="1">
        <v>45447</v>
      </c>
      <c r="C983" t="s">
        <v>1217</v>
      </c>
      <c r="D983" t="s">
        <v>1419</v>
      </c>
      <c r="E983" t="s">
        <v>1595</v>
      </c>
      <c r="F983">
        <v>2.4922360082810702</v>
      </c>
      <c r="G983" s="14">
        <v>492.34704875005701</v>
      </c>
      <c r="H983" s="17">
        <v>0.15284344699427799</v>
      </c>
      <c r="I983" t="s">
        <v>1609</v>
      </c>
      <c r="J983" s="14">
        <v>1042.71744525024</v>
      </c>
      <c r="K983" s="14">
        <f t="shared" si="120"/>
        <v>340334.76670977526</v>
      </c>
      <c r="L983" s="14">
        <f t="shared" si="121"/>
        <v>345</v>
      </c>
      <c r="M983" s="14" t="str">
        <f t="shared" si="122"/>
        <v>04-06-2024</v>
      </c>
      <c r="N983" s="14">
        <f t="shared" si="123"/>
        <v>0.15628195988909444</v>
      </c>
      <c r="O983" s="20">
        <f t="shared" si="124"/>
        <v>2.5049938664797402</v>
      </c>
      <c r="P983" s="14">
        <f t="shared" si="125"/>
        <v>466.02561507629588</v>
      </c>
      <c r="Q983" s="14">
        <f t="shared" si="126"/>
        <v>384.42739336389309</v>
      </c>
      <c r="R983" s="14" t="str">
        <f t="shared" si="127"/>
        <v>Jun</v>
      </c>
    </row>
    <row r="984" spans="1:18" x14ac:dyDescent="0.3">
      <c r="A984" t="s">
        <v>2592</v>
      </c>
      <c r="B984" s="1">
        <v>45394</v>
      </c>
      <c r="C984" t="s">
        <v>1297</v>
      </c>
      <c r="D984" t="s">
        <v>1471</v>
      </c>
      <c r="E984" t="s">
        <v>1574</v>
      </c>
      <c r="F984">
        <v>2.4922610974810699</v>
      </c>
      <c r="G984" s="14">
        <v>492.29528585197698</v>
      </c>
      <c r="H984" s="17">
        <v>0.15285020906486799</v>
      </c>
      <c r="I984" t="s">
        <v>1611</v>
      </c>
      <c r="J984" s="14">
        <v>1042.6094487907901</v>
      </c>
      <c r="K984" s="14">
        <f t="shared" si="120"/>
        <v>339292.04926452506</v>
      </c>
      <c r="L984" s="14">
        <f t="shared" si="121"/>
        <v>344</v>
      </c>
      <c r="M984" s="14" t="str">
        <f t="shared" si="122"/>
        <v>12-04-2024</v>
      </c>
      <c r="N984" s="14">
        <f t="shared" si="123"/>
        <v>0.15628534092438925</v>
      </c>
      <c r="O984" s="20">
        <f t="shared" si="124"/>
        <v>2.5050064110797385</v>
      </c>
      <c r="P984" s="14">
        <f t="shared" si="125"/>
        <v>465.99973362725581</v>
      </c>
      <c r="Q984" s="14">
        <f t="shared" si="126"/>
        <v>384.38746148732827</v>
      </c>
      <c r="R984" s="14" t="str">
        <f t="shared" si="127"/>
        <v>Apr</v>
      </c>
    </row>
    <row r="985" spans="1:18" x14ac:dyDescent="0.3">
      <c r="A985" t="s">
        <v>2593</v>
      </c>
      <c r="B985" s="1">
        <v>45466</v>
      </c>
      <c r="C985" t="s">
        <v>1151</v>
      </c>
      <c r="D985" t="s">
        <v>1357</v>
      </c>
      <c r="E985" t="s">
        <v>1567</v>
      </c>
      <c r="F985">
        <v>2.4922861866810599</v>
      </c>
      <c r="G985" s="14">
        <v>492.24352295389701</v>
      </c>
      <c r="H985" s="17">
        <v>0.15285697113545699</v>
      </c>
      <c r="I985" t="s">
        <v>1609</v>
      </c>
      <c r="J985" s="14">
        <v>1042.50145233134</v>
      </c>
      <c r="K985" s="14">
        <f t="shared" si="120"/>
        <v>339292.04926452506</v>
      </c>
      <c r="L985" s="14">
        <f t="shared" si="121"/>
        <v>344</v>
      </c>
      <c r="M985" s="14" t="str">
        <f t="shared" si="122"/>
        <v>23-06-2024</v>
      </c>
      <c r="N985" s="14">
        <f t="shared" si="123"/>
        <v>0.15628872195968405</v>
      </c>
      <c r="O985" s="20">
        <f t="shared" si="124"/>
        <v>2.5050189556797378</v>
      </c>
      <c r="P985" s="14">
        <f t="shared" si="125"/>
        <v>465.97385217821574</v>
      </c>
      <c r="Q985" s="14">
        <f t="shared" si="126"/>
        <v>384.34752961076339</v>
      </c>
      <c r="R985" s="14" t="str">
        <f t="shared" si="127"/>
        <v>Jun</v>
      </c>
    </row>
    <row r="986" spans="1:18" x14ac:dyDescent="0.3">
      <c r="A986" t="s">
        <v>2594</v>
      </c>
      <c r="B986" s="1">
        <v>45908</v>
      </c>
      <c r="C986" t="s">
        <v>613</v>
      </c>
      <c r="D986" t="s">
        <v>1467</v>
      </c>
      <c r="E986" t="s">
        <v>1561</v>
      </c>
      <c r="F986">
        <v>2.4923112758810602</v>
      </c>
      <c r="G986" s="14">
        <v>492.19176005581602</v>
      </c>
      <c r="H986" s="17">
        <v>0.15286373320604699</v>
      </c>
      <c r="I986" t="s">
        <v>1609</v>
      </c>
      <c r="J986" s="14">
        <v>1042.39345587189</v>
      </c>
      <c r="K986" s="14">
        <f t="shared" si="120"/>
        <v>338249.54781219375</v>
      </c>
      <c r="L986" s="14">
        <f t="shared" si="121"/>
        <v>343</v>
      </c>
      <c r="M986" s="14" t="str">
        <f t="shared" si="122"/>
        <v>08-09-2025</v>
      </c>
      <c r="N986" s="14">
        <f t="shared" si="123"/>
        <v>0.15629210299497884</v>
      </c>
      <c r="O986" s="20">
        <f t="shared" si="124"/>
        <v>2.5050315002797365</v>
      </c>
      <c r="P986" s="14">
        <f t="shared" si="125"/>
        <v>465.94797072917567</v>
      </c>
      <c r="Q986" s="14">
        <f t="shared" si="126"/>
        <v>384.30759773419828</v>
      </c>
      <c r="R986" s="14" t="str">
        <f t="shared" si="127"/>
        <v>Sep</v>
      </c>
    </row>
    <row r="987" spans="1:18" x14ac:dyDescent="0.3">
      <c r="A987" t="s">
        <v>2595</v>
      </c>
      <c r="B987" s="1">
        <v>45552</v>
      </c>
      <c r="C987" t="s">
        <v>1190</v>
      </c>
      <c r="D987" t="s">
        <v>1340</v>
      </c>
      <c r="E987" t="s">
        <v>1551</v>
      </c>
      <c r="F987">
        <v>2.4923363650810599</v>
      </c>
      <c r="G987" s="14">
        <v>492.13999715773599</v>
      </c>
      <c r="H987" s="17">
        <v>0.15287049527663699</v>
      </c>
      <c r="I987" t="s">
        <v>1611</v>
      </c>
      <c r="J987" s="14">
        <v>1042.2854594124301</v>
      </c>
      <c r="K987" s="14">
        <f t="shared" si="120"/>
        <v>337207.15435632184</v>
      </c>
      <c r="L987" s="14">
        <f t="shared" si="121"/>
        <v>342</v>
      </c>
      <c r="M987" s="14" t="str">
        <f t="shared" si="122"/>
        <v>17-09-2024</v>
      </c>
      <c r="N987" s="14">
        <f t="shared" si="123"/>
        <v>0.15629548403027363</v>
      </c>
      <c r="O987" s="20">
        <f t="shared" si="124"/>
        <v>2.5050440448797349</v>
      </c>
      <c r="P987" s="14">
        <f t="shared" si="125"/>
        <v>465.92208928013565</v>
      </c>
      <c r="Q987" s="14">
        <f t="shared" si="126"/>
        <v>384.26766585763096</v>
      </c>
      <c r="R987" s="14" t="str">
        <f t="shared" si="127"/>
        <v>Sep</v>
      </c>
    </row>
    <row r="988" spans="1:18" x14ac:dyDescent="0.3">
      <c r="A988" t="s">
        <v>2596</v>
      </c>
      <c r="B988" s="1">
        <v>45294</v>
      </c>
      <c r="C988" t="s">
        <v>693</v>
      </c>
      <c r="D988" t="s">
        <v>1529</v>
      </c>
      <c r="E988" t="s">
        <v>1567</v>
      </c>
      <c r="F988">
        <v>2.4923614542810602</v>
      </c>
      <c r="G988" s="14">
        <v>492.08823425965602</v>
      </c>
      <c r="H988" s="17">
        <v>0.15287725734722599</v>
      </c>
      <c r="I988" t="s">
        <v>1609</v>
      </c>
      <c r="J988" s="14">
        <v>1042.17746295298</v>
      </c>
      <c r="K988" s="14">
        <f t="shared" si="120"/>
        <v>337207.15435632184</v>
      </c>
      <c r="L988" s="14">
        <f t="shared" si="121"/>
        <v>342</v>
      </c>
      <c r="M988" s="14" t="str">
        <f t="shared" si="122"/>
        <v>03-01-2024</v>
      </c>
      <c r="N988" s="14">
        <f t="shared" si="123"/>
        <v>0.15629886506556845</v>
      </c>
      <c r="O988" s="20">
        <f t="shared" si="124"/>
        <v>2.5050565894797336</v>
      </c>
      <c r="P988" s="14">
        <f t="shared" si="125"/>
        <v>465.89620783109552</v>
      </c>
      <c r="Q988" s="14">
        <f t="shared" si="126"/>
        <v>384.22773398106608</v>
      </c>
      <c r="R988" s="14" t="str">
        <f t="shared" si="127"/>
        <v>Jan</v>
      </c>
    </row>
    <row r="989" spans="1:18" x14ac:dyDescent="0.3">
      <c r="A989" t="s">
        <v>2597</v>
      </c>
      <c r="B989" s="1">
        <v>45710</v>
      </c>
      <c r="C989" t="s">
        <v>654</v>
      </c>
      <c r="D989" t="s">
        <v>1487</v>
      </c>
      <c r="E989" t="s">
        <v>1567</v>
      </c>
      <c r="F989">
        <v>2.4923865434810502</v>
      </c>
      <c r="G989" s="14">
        <v>492.03647136157599</v>
      </c>
      <c r="H989" s="17">
        <v>0.15288401941781599</v>
      </c>
      <c r="I989" t="s">
        <v>1609</v>
      </c>
      <c r="J989" s="14">
        <v>1042.0694664935299</v>
      </c>
      <c r="K989" s="14">
        <f t="shared" si="120"/>
        <v>336164.97689336888</v>
      </c>
      <c r="L989" s="14">
        <f t="shared" si="121"/>
        <v>341</v>
      </c>
      <c r="M989" s="14" t="str">
        <f t="shared" si="122"/>
        <v>22-02-2025</v>
      </c>
      <c r="N989" s="14">
        <f t="shared" si="123"/>
        <v>0.15630224610086327</v>
      </c>
      <c r="O989" s="20">
        <f t="shared" si="124"/>
        <v>2.5050691340797324</v>
      </c>
      <c r="P989" s="14">
        <f t="shared" si="125"/>
        <v>465.8703263820554</v>
      </c>
      <c r="Q989" s="14">
        <f t="shared" si="126"/>
        <v>384.1878021045012</v>
      </c>
      <c r="R989" s="14" t="str">
        <f t="shared" si="127"/>
        <v>Feb</v>
      </c>
    </row>
    <row r="990" spans="1:18" x14ac:dyDescent="0.3">
      <c r="A990" t="s">
        <v>2598</v>
      </c>
      <c r="B990" s="1">
        <v>45923</v>
      </c>
      <c r="C990" t="s">
        <v>499</v>
      </c>
      <c r="D990" t="s">
        <v>1359</v>
      </c>
      <c r="E990" t="s">
        <v>1546</v>
      </c>
      <c r="F990">
        <v>2.4924116326810499</v>
      </c>
      <c r="G990" s="14">
        <v>491.98470846349602</v>
      </c>
      <c r="H990" s="17">
        <v>0.15289078148840499</v>
      </c>
      <c r="I990" t="s">
        <v>1611</v>
      </c>
      <c r="J990" s="14">
        <v>1041.9614700340801</v>
      </c>
      <c r="K990" s="14">
        <f t="shared" si="120"/>
        <v>335122.90742687532</v>
      </c>
      <c r="L990" s="14">
        <f t="shared" si="121"/>
        <v>340</v>
      </c>
      <c r="M990" s="14" t="str">
        <f t="shared" si="122"/>
        <v>23-09-2025</v>
      </c>
      <c r="N990" s="14">
        <f t="shared" si="123"/>
        <v>0.15630562713615806</v>
      </c>
      <c r="O990" s="20">
        <f t="shared" si="124"/>
        <v>2.5050816786797312</v>
      </c>
      <c r="P990" s="14">
        <f t="shared" si="125"/>
        <v>465.84444493301538</v>
      </c>
      <c r="Q990" s="14">
        <f t="shared" si="126"/>
        <v>384.14787022793638</v>
      </c>
      <c r="R990" s="14" t="str">
        <f t="shared" si="127"/>
        <v>Sep</v>
      </c>
    </row>
    <row r="991" spans="1:18" x14ac:dyDescent="0.3">
      <c r="A991" t="s">
        <v>2599</v>
      </c>
      <c r="B991" s="1">
        <v>45302</v>
      </c>
      <c r="C991" t="s">
        <v>1092</v>
      </c>
      <c r="D991" t="s">
        <v>1531</v>
      </c>
      <c r="E991" t="s">
        <v>1551</v>
      </c>
      <c r="F991">
        <v>2.4924367218810501</v>
      </c>
      <c r="G991" s="14">
        <v>491.93294556541599</v>
      </c>
      <c r="H991" s="17">
        <v>0.15289754355899501</v>
      </c>
      <c r="I991" t="s">
        <v>1609</v>
      </c>
      <c r="J991" s="14">
        <v>1041.85347357463</v>
      </c>
      <c r="K991" s="14">
        <f t="shared" si="120"/>
        <v>335122.90742687532</v>
      </c>
      <c r="L991" s="14">
        <f t="shared" si="121"/>
        <v>340</v>
      </c>
      <c r="M991" s="14" t="str">
        <f t="shared" si="122"/>
        <v>11-01-2024</v>
      </c>
      <c r="N991" s="14">
        <f t="shared" si="123"/>
        <v>0.15630900817145288</v>
      </c>
      <c r="O991" s="20">
        <f t="shared" si="124"/>
        <v>2.5050942232797291</v>
      </c>
      <c r="P991" s="14">
        <f t="shared" si="125"/>
        <v>465.81856348397531</v>
      </c>
      <c r="Q991" s="14">
        <f t="shared" si="126"/>
        <v>384.1079383513715</v>
      </c>
      <c r="R991" s="14" t="str">
        <f t="shared" si="127"/>
        <v>Jan</v>
      </c>
    </row>
    <row r="992" spans="1:18" x14ac:dyDescent="0.3">
      <c r="A992" t="s">
        <v>2600</v>
      </c>
      <c r="B992" s="1">
        <v>45217</v>
      </c>
      <c r="C992" t="s">
        <v>118</v>
      </c>
      <c r="D992" t="s">
        <v>1340</v>
      </c>
      <c r="E992" t="s">
        <v>1598</v>
      </c>
      <c r="F992">
        <v>2.4924618110810499</v>
      </c>
      <c r="G992" s="14">
        <v>491.881182667335</v>
      </c>
      <c r="H992" s="17">
        <v>0.15290430562958501</v>
      </c>
      <c r="I992" t="s">
        <v>1611</v>
      </c>
      <c r="J992" s="14">
        <v>1041.7454771151799</v>
      </c>
      <c r="K992" s="14">
        <f t="shared" si="120"/>
        <v>334081.05395330064</v>
      </c>
      <c r="L992" s="14">
        <f t="shared" si="121"/>
        <v>339</v>
      </c>
      <c r="M992" s="14" t="str">
        <f t="shared" si="122"/>
        <v>18-10-2023</v>
      </c>
      <c r="N992" s="14">
        <f t="shared" si="123"/>
        <v>0.1563123892067477</v>
      </c>
      <c r="O992" s="20">
        <f t="shared" si="124"/>
        <v>2.5051067678797283</v>
      </c>
      <c r="P992" s="14">
        <f t="shared" si="125"/>
        <v>465.7926820349353</v>
      </c>
      <c r="Q992" s="14">
        <f t="shared" si="126"/>
        <v>384.0680064748064</v>
      </c>
      <c r="R992" s="14" t="str">
        <f t="shared" si="127"/>
        <v>Oct</v>
      </c>
    </row>
    <row r="993" spans="1:18" x14ac:dyDescent="0.3">
      <c r="A993" t="s">
        <v>2601</v>
      </c>
      <c r="B993" s="1">
        <v>45593</v>
      </c>
      <c r="C993" t="s">
        <v>1233</v>
      </c>
      <c r="D993" t="s">
        <v>1439</v>
      </c>
      <c r="E993" t="s">
        <v>1579</v>
      </c>
      <c r="F993">
        <v>2.4924869002810399</v>
      </c>
      <c r="G993" s="14">
        <v>491.82941976925503</v>
      </c>
      <c r="H993" s="17">
        <v>0.15291106770017401</v>
      </c>
      <c r="I993" t="s">
        <v>1614</v>
      </c>
      <c r="J993" s="14">
        <v>1041.6374806557201</v>
      </c>
      <c r="K993" s="14">
        <f t="shared" si="120"/>
        <v>334081.05395330064</v>
      </c>
      <c r="L993" s="14">
        <f t="shared" si="121"/>
        <v>339</v>
      </c>
      <c r="M993" s="14" t="str">
        <f t="shared" si="122"/>
        <v>28-10-2024</v>
      </c>
      <c r="N993" s="14">
        <f t="shared" si="123"/>
        <v>0.15631577024204246</v>
      </c>
      <c r="O993" s="20">
        <f t="shared" si="124"/>
        <v>2.5051193124797275</v>
      </c>
      <c r="P993" s="14">
        <f t="shared" si="125"/>
        <v>465.76680058589511</v>
      </c>
      <c r="Q993" s="14">
        <f t="shared" si="126"/>
        <v>384.02807459823907</v>
      </c>
      <c r="R993" s="14" t="str">
        <f t="shared" si="127"/>
        <v>Oct</v>
      </c>
    </row>
    <row r="994" spans="1:18" x14ac:dyDescent="0.3">
      <c r="A994" t="s">
        <v>2602</v>
      </c>
      <c r="B994" s="1">
        <v>45597</v>
      </c>
      <c r="C994" t="s">
        <v>1219</v>
      </c>
      <c r="D994" t="s">
        <v>1483</v>
      </c>
      <c r="E994" t="s">
        <v>1567</v>
      </c>
      <c r="F994">
        <v>2.4925119894810401</v>
      </c>
      <c r="G994" s="14">
        <v>491.777656871175</v>
      </c>
      <c r="H994" s="17">
        <v>0.15291782977076401</v>
      </c>
      <c r="I994" t="s">
        <v>1609</v>
      </c>
      <c r="J994" s="14">
        <v>1041.52948419627</v>
      </c>
      <c r="K994" s="14">
        <f t="shared" si="120"/>
        <v>334081.05395330064</v>
      </c>
      <c r="L994" s="14">
        <f t="shared" si="121"/>
        <v>339</v>
      </c>
      <c r="M994" s="14" t="str">
        <f t="shared" si="122"/>
        <v>01-11-2024</v>
      </c>
      <c r="N994" s="14">
        <f t="shared" si="123"/>
        <v>0.15631915127733725</v>
      </c>
      <c r="O994" s="20">
        <f t="shared" si="124"/>
        <v>2.5051318570797254</v>
      </c>
      <c r="P994" s="14">
        <f t="shared" si="125"/>
        <v>465.7409191368551</v>
      </c>
      <c r="Q994" s="14">
        <f t="shared" si="126"/>
        <v>383.98814272167419</v>
      </c>
      <c r="R994" s="14" t="str">
        <f t="shared" si="127"/>
        <v>Nov</v>
      </c>
    </row>
    <row r="995" spans="1:18" x14ac:dyDescent="0.3">
      <c r="A995" t="s">
        <v>2603</v>
      </c>
      <c r="B995" s="1">
        <v>45620</v>
      </c>
      <c r="C995" t="s">
        <v>1274</v>
      </c>
      <c r="D995" t="s">
        <v>1357</v>
      </c>
      <c r="E995" t="s">
        <v>1561</v>
      </c>
      <c r="F995">
        <v>2.4925370786810399</v>
      </c>
      <c r="G995" s="14">
        <v>491.72589397309503</v>
      </c>
      <c r="H995" s="17">
        <v>0.15292459184135301</v>
      </c>
      <c r="I995" t="s">
        <v>1609</v>
      </c>
      <c r="J995" s="14">
        <v>1041.4214877368199</v>
      </c>
      <c r="K995" s="14">
        <f t="shared" si="120"/>
        <v>333039.52446910436</v>
      </c>
      <c r="L995" s="14">
        <f t="shared" si="121"/>
        <v>338</v>
      </c>
      <c r="M995" s="14" t="str">
        <f t="shared" si="122"/>
        <v>24-11-2024</v>
      </c>
      <c r="N995" s="14">
        <f t="shared" si="123"/>
        <v>0.15632253231263207</v>
      </c>
      <c r="O995" s="20">
        <f t="shared" si="124"/>
        <v>2.5051444016797242</v>
      </c>
      <c r="P995" s="14">
        <f t="shared" si="125"/>
        <v>465.71503768781497</v>
      </c>
      <c r="Q995" s="14">
        <f t="shared" si="126"/>
        <v>383.94821084510932</v>
      </c>
      <c r="R995" s="14" t="str">
        <f t="shared" si="127"/>
        <v>Nov</v>
      </c>
    </row>
    <row r="996" spans="1:18" x14ac:dyDescent="0.3">
      <c r="A996" t="s">
        <v>2604</v>
      </c>
      <c r="B996" s="1">
        <v>45215</v>
      </c>
      <c r="C996" t="s">
        <v>1080</v>
      </c>
      <c r="D996" t="s">
        <v>1491</v>
      </c>
      <c r="E996" t="s">
        <v>1542</v>
      </c>
      <c r="F996">
        <v>2.4925621678810299</v>
      </c>
      <c r="G996" s="14">
        <v>491.674131075015</v>
      </c>
      <c r="H996" s="17">
        <v>0.15293135391194301</v>
      </c>
      <c r="I996" t="s">
        <v>1609</v>
      </c>
      <c r="J996" s="14">
        <v>1041.3134912773701</v>
      </c>
      <c r="K996" s="14">
        <f t="shared" si="120"/>
        <v>331998.10298136756</v>
      </c>
      <c r="L996" s="14">
        <f t="shared" si="121"/>
        <v>337</v>
      </c>
      <c r="M996" s="14" t="str">
        <f t="shared" si="122"/>
        <v>16-10-2023</v>
      </c>
      <c r="N996" s="14">
        <f t="shared" si="123"/>
        <v>0.15632591334792686</v>
      </c>
      <c r="O996" s="20">
        <f t="shared" si="124"/>
        <v>2.505156946279723</v>
      </c>
      <c r="P996" s="14">
        <f t="shared" si="125"/>
        <v>465.68915623877496</v>
      </c>
      <c r="Q996" s="14">
        <f t="shared" si="126"/>
        <v>383.90827896854449</v>
      </c>
      <c r="R996" s="14" t="str">
        <f t="shared" si="127"/>
        <v>Oct</v>
      </c>
    </row>
    <row r="997" spans="1:18" x14ac:dyDescent="0.3">
      <c r="A997" t="s">
        <v>2605</v>
      </c>
      <c r="B997" s="1">
        <v>45878</v>
      </c>
      <c r="C997" t="s">
        <v>708</v>
      </c>
      <c r="D997" t="s">
        <v>1365</v>
      </c>
      <c r="E997" t="s">
        <v>1551</v>
      </c>
      <c r="F997">
        <v>2.4925872570810301</v>
      </c>
      <c r="G997" s="14">
        <v>491.62236817693503</v>
      </c>
      <c r="H997" s="17">
        <v>0.15293811598253301</v>
      </c>
      <c r="I997" t="s">
        <v>1614</v>
      </c>
      <c r="J997" s="14">
        <v>1041.20549481792</v>
      </c>
      <c r="K997" s="14">
        <f t="shared" si="120"/>
        <v>330956.78949009016</v>
      </c>
      <c r="L997" s="14">
        <f t="shared" si="121"/>
        <v>336</v>
      </c>
      <c r="M997" s="14" t="str">
        <f t="shared" si="122"/>
        <v>09-08-2025</v>
      </c>
      <c r="N997" s="14">
        <f t="shared" si="123"/>
        <v>0.15632929438322171</v>
      </c>
      <c r="O997" s="20">
        <f t="shared" si="124"/>
        <v>2.5051694908797217</v>
      </c>
      <c r="P997" s="14">
        <f t="shared" si="125"/>
        <v>465.66327478973483</v>
      </c>
      <c r="Q997" s="14">
        <f t="shared" si="126"/>
        <v>383.86834709197967</v>
      </c>
      <c r="R997" s="14" t="str">
        <f t="shared" si="127"/>
        <v>Aug</v>
      </c>
    </row>
    <row r="998" spans="1:18" x14ac:dyDescent="0.3">
      <c r="A998" t="s">
        <v>2606</v>
      </c>
      <c r="B998" s="1">
        <v>45635</v>
      </c>
      <c r="C998" t="s">
        <v>310</v>
      </c>
      <c r="D998" t="s">
        <v>1340</v>
      </c>
      <c r="E998" t="s">
        <v>1564</v>
      </c>
      <c r="F998">
        <v>2.4926123462810299</v>
      </c>
      <c r="G998" s="14">
        <v>491.57060527885398</v>
      </c>
      <c r="H998" s="17">
        <v>0.15294487805312201</v>
      </c>
      <c r="I998" t="s">
        <v>1611</v>
      </c>
      <c r="J998" s="14">
        <v>1041.0974983584699</v>
      </c>
      <c r="K998" s="14">
        <f t="shared" si="120"/>
        <v>330956.78949009016</v>
      </c>
      <c r="L998" s="14">
        <f t="shared" si="121"/>
        <v>336</v>
      </c>
      <c r="M998" s="14" t="str">
        <f t="shared" si="122"/>
        <v>09-12-2024</v>
      </c>
      <c r="N998" s="14">
        <f t="shared" si="123"/>
        <v>0.15633267541851648</v>
      </c>
      <c r="O998" s="20">
        <f t="shared" si="124"/>
        <v>2.5051820354797201</v>
      </c>
      <c r="P998" s="14">
        <f t="shared" si="125"/>
        <v>465.63739334069481</v>
      </c>
      <c r="Q998" s="14">
        <f t="shared" si="126"/>
        <v>383.82841521541451</v>
      </c>
      <c r="R998" s="14" t="str">
        <f t="shared" si="127"/>
        <v>Dec</v>
      </c>
    </row>
    <row r="999" spans="1:18" x14ac:dyDescent="0.3">
      <c r="A999" t="s">
        <v>2607</v>
      </c>
      <c r="B999" s="1">
        <v>45329</v>
      </c>
      <c r="C999" t="s">
        <v>1313</v>
      </c>
      <c r="D999" t="s">
        <v>1353</v>
      </c>
      <c r="E999" t="s">
        <v>1592</v>
      </c>
      <c r="F999">
        <v>2.4926374354810301</v>
      </c>
      <c r="G999" s="14">
        <v>491.518842380774</v>
      </c>
      <c r="H999" s="17">
        <v>0.15295164012371201</v>
      </c>
      <c r="I999" t="s">
        <v>1611</v>
      </c>
      <c r="J999" s="14">
        <v>1040.9895018990101</v>
      </c>
      <c r="K999" s="14">
        <f t="shared" si="120"/>
        <v>330956.78949009016</v>
      </c>
      <c r="L999" s="14">
        <f t="shared" si="121"/>
        <v>336</v>
      </c>
      <c r="M999" s="14" t="str">
        <f t="shared" si="122"/>
        <v>07-02-2024</v>
      </c>
      <c r="N999" s="14">
        <f t="shared" si="123"/>
        <v>0.1563360564538113</v>
      </c>
      <c r="O999" s="20">
        <f t="shared" si="124"/>
        <v>2.5051945800797188</v>
      </c>
      <c r="P999" s="14">
        <f t="shared" si="125"/>
        <v>465.61151189165469</v>
      </c>
      <c r="Q999" s="14">
        <f t="shared" si="126"/>
        <v>383.78848333884719</v>
      </c>
      <c r="R999" s="14" t="str">
        <f t="shared" si="127"/>
        <v>Feb</v>
      </c>
    </row>
    <row r="1000" spans="1:18" x14ac:dyDescent="0.3">
      <c r="A1000" t="s">
        <v>2608</v>
      </c>
      <c r="B1000" s="1">
        <v>45378</v>
      </c>
      <c r="C1000" t="s">
        <v>622</v>
      </c>
      <c r="D1000" t="s">
        <v>1399</v>
      </c>
      <c r="E1000" t="s">
        <v>1582</v>
      </c>
      <c r="F1000">
        <v>2.4926625246810201</v>
      </c>
      <c r="G1000" s="14">
        <v>491.46707948269398</v>
      </c>
      <c r="H1000" s="17">
        <v>0.15295840219430201</v>
      </c>
      <c r="I1000" t="s">
        <v>1614</v>
      </c>
      <c r="J1000" s="14">
        <v>1040.88150543956</v>
      </c>
      <c r="K1000" s="14">
        <f t="shared" si="120"/>
        <v>330956.78949009016</v>
      </c>
      <c r="L1000" s="14">
        <f t="shared" si="121"/>
        <v>336</v>
      </c>
      <c r="M1000" s="14" t="str">
        <f t="shared" si="122"/>
        <v>27-03-2024</v>
      </c>
      <c r="N1000" s="14">
        <f t="shared" si="123"/>
        <v>0.15633943748910611</v>
      </c>
      <c r="O1000" s="20">
        <f t="shared" si="124"/>
        <v>2.5052071246797176</v>
      </c>
      <c r="P1000" s="14">
        <f t="shared" si="125"/>
        <v>465.58563044261462</v>
      </c>
      <c r="Q1000" s="14">
        <f t="shared" si="126"/>
        <v>383.74855146228231</v>
      </c>
      <c r="R1000" s="14" t="str">
        <f t="shared" si="127"/>
        <v>Mar</v>
      </c>
    </row>
    <row r="1001" spans="1:18" x14ac:dyDescent="0.3">
      <c r="A1001" t="s">
        <v>2609</v>
      </c>
      <c r="B1001" s="1">
        <v>45264</v>
      </c>
      <c r="C1001" t="s">
        <v>1252</v>
      </c>
      <c r="D1001" t="s">
        <v>1521</v>
      </c>
      <c r="E1001" t="s">
        <v>1551</v>
      </c>
      <c r="F1001">
        <v>2.4926876138810199</v>
      </c>
      <c r="G1001" s="14">
        <v>491.415316584614</v>
      </c>
      <c r="H1001" s="17">
        <v>0.15296516426489101</v>
      </c>
      <c r="I1001" t="s">
        <v>1609</v>
      </c>
      <c r="J1001" s="14">
        <v>1040.7735089801099</v>
      </c>
      <c r="K1001" s="14">
        <f t="shared" si="120"/>
        <v>330956.78949009016</v>
      </c>
      <c r="L1001" s="14">
        <f t="shared" si="121"/>
        <v>336</v>
      </c>
      <c r="M1001" s="14" t="str">
        <f t="shared" si="122"/>
        <v>04-12-2023</v>
      </c>
      <c r="N1001" s="14">
        <f t="shared" si="123"/>
        <v>0.15634281852440091</v>
      </c>
      <c r="O1001" s="20">
        <f t="shared" si="124"/>
        <v>2.5052196692797164</v>
      </c>
      <c r="P1001" s="14">
        <f t="shared" si="125"/>
        <v>465.5597489935746</v>
      </c>
      <c r="Q1001" s="14">
        <f t="shared" si="126"/>
        <v>383.70861958571743</v>
      </c>
      <c r="R1001" s="14" t="str">
        <f t="shared" si="127"/>
        <v>Dec</v>
      </c>
    </row>
    <row r="1002" spans="1:18" x14ac:dyDescent="0.3">
      <c r="A1002" t="s">
        <v>2610</v>
      </c>
      <c r="B1002" s="1">
        <v>45486</v>
      </c>
      <c r="C1002" t="s">
        <v>264</v>
      </c>
      <c r="D1002" t="s">
        <v>1385</v>
      </c>
      <c r="E1002" t="s">
        <v>1598</v>
      </c>
      <c r="F1002">
        <v>2.4927127030810201</v>
      </c>
      <c r="G1002" s="14">
        <v>491.36355368653398</v>
      </c>
      <c r="H1002" s="17">
        <v>0.15297192633548101</v>
      </c>
      <c r="I1002" t="s">
        <v>1614</v>
      </c>
      <c r="J1002" s="14">
        <v>1040.6655125206601</v>
      </c>
      <c r="K1002" s="14">
        <f t="shared" si="120"/>
        <v>329916.01598110999</v>
      </c>
      <c r="L1002" s="14">
        <f t="shared" si="121"/>
        <v>335</v>
      </c>
      <c r="M1002" s="14" t="str">
        <f t="shared" si="122"/>
        <v>13-07-2024</v>
      </c>
      <c r="N1002" s="14">
        <f t="shared" si="123"/>
        <v>0.1563461995596957</v>
      </c>
      <c r="O1002" s="20">
        <f t="shared" si="124"/>
        <v>2.5052322138797152</v>
      </c>
      <c r="P1002" s="14">
        <f t="shared" si="125"/>
        <v>465.53386754453447</v>
      </c>
      <c r="Q1002" s="14">
        <f t="shared" si="126"/>
        <v>383.66868770915261</v>
      </c>
      <c r="R1002" s="14" t="str">
        <f t="shared" si="127"/>
        <v>Jul</v>
      </c>
    </row>
    <row r="1003" spans="1:18" x14ac:dyDescent="0.3">
      <c r="A1003" t="s">
        <v>2611</v>
      </c>
      <c r="B1003" s="1">
        <v>45241</v>
      </c>
      <c r="C1003" t="s">
        <v>954</v>
      </c>
      <c r="D1003" t="s">
        <v>1379</v>
      </c>
      <c r="E1003" t="s">
        <v>1567</v>
      </c>
      <c r="F1003">
        <v>2.4927377922810199</v>
      </c>
      <c r="G1003" s="14">
        <v>491.311790788454</v>
      </c>
      <c r="H1003" s="17">
        <v>0.15297868840607001</v>
      </c>
      <c r="I1003" t="s">
        <v>1611</v>
      </c>
      <c r="J1003" s="14">
        <v>1040.55751606121</v>
      </c>
      <c r="K1003" s="14">
        <f t="shared" si="120"/>
        <v>329916.01598110999</v>
      </c>
      <c r="L1003" s="14">
        <f t="shared" si="121"/>
        <v>335</v>
      </c>
      <c r="M1003" s="14" t="str">
        <f t="shared" si="122"/>
        <v>11-11-2023</v>
      </c>
      <c r="N1003" s="14">
        <f t="shared" si="123"/>
        <v>0.15634958059499049</v>
      </c>
      <c r="O1003" s="20">
        <f t="shared" si="124"/>
        <v>2.5052447584797135</v>
      </c>
      <c r="P1003" s="14">
        <f t="shared" si="125"/>
        <v>465.5079860954944</v>
      </c>
      <c r="Q1003" s="14">
        <f t="shared" si="126"/>
        <v>383.62875583258779</v>
      </c>
      <c r="R1003" s="14" t="str">
        <f t="shared" si="127"/>
        <v>Nov</v>
      </c>
    </row>
    <row r="1004" spans="1:18" x14ac:dyDescent="0.3">
      <c r="A1004" t="s">
        <v>2612</v>
      </c>
      <c r="B1004" s="1">
        <v>45649</v>
      </c>
      <c r="C1004" t="s">
        <v>1053</v>
      </c>
      <c r="D1004" t="s">
        <v>1391</v>
      </c>
      <c r="E1004" t="s">
        <v>1571</v>
      </c>
      <c r="F1004">
        <v>2.4927628814810099</v>
      </c>
      <c r="G1004" s="14">
        <v>491.26002789037398</v>
      </c>
      <c r="H1004" s="17">
        <v>0.15298545047666001</v>
      </c>
      <c r="I1004" t="s">
        <v>1611</v>
      </c>
      <c r="J1004" s="14">
        <v>1040.4495196017599</v>
      </c>
      <c r="K1004" s="14">
        <f t="shared" si="120"/>
        <v>329916.01598110999</v>
      </c>
      <c r="L1004" s="14">
        <f t="shared" si="121"/>
        <v>335</v>
      </c>
      <c r="M1004" s="14" t="str">
        <f t="shared" si="122"/>
        <v>23-12-2024</v>
      </c>
      <c r="N1004" s="14">
        <f t="shared" si="123"/>
        <v>0.15635296163028531</v>
      </c>
      <c r="O1004" s="20">
        <f t="shared" si="124"/>
        <v>2.5052573030797127</v>
      </c>
      <c r="P1004" s="14">
        <f t="shared" si="125"/>
        <v>465.48210464645427</v>
      </c>
      <c r="Q1004" s="14">
        <f t="shared" si="126"/>
        <v>383.58882395602291</v>
      </c>
      <c r="R1004" s="14" t="str">
        <f t="shared" si="127"/>
        <v>Dec</v>
      </c>
    </row>
    <row r="1005" spans="1:18" x14ac:dyDescent="0.3">
      <c r="A1005" t="s">
        <v>2613</v>
      </c>
      <c r="B1005" s="1">
        <v>45677</v>
      </c>
      <c r="C1005" t="s">
        <v>304</v>
      </c>
      <c r="D1005" t="s">
        <v>1399</v>
      </c>
      <c r="E1005" t="s">
        <v>1592</v>
      </c>
      <c r="F1005">
        <v>2.4927879706810101</v>
      </c>
      <c r="G1005" s="14">
        <v>491.20826499229298</v>
      </c>
      <c r="H1005" s="17">
        <v>0.15299221254725001</v>
      </c>
      <c r="I1005" t="s">
        <v>1611</v>
      </c>
      <c r="J1005" s="14">
        <v>1040.3415231423</v>
      </c>
      <c r="K1005" s="14">
        <f t="shared" si="120"/>
        <v>329916.01598110999</v>
      </c>
      <c r="L1005" s="14">
        <f t="shared" si="121"/>
        <v>335</v>
      </c>
      <c r="M1005" s="14" t="str">
        <f t="shared" si="122"/>
        <v>20-01-2025</v>
      </c>
      <c r="N1005" s="14">
        <f t="shared" si="123"/>
        <v>0.1563563426655801</v>
      </c>
      <c r="O1005" s="20">
        <f t="shared" si="124"/>
        <v>2.5052698476797111</v>
      </c>
      <c r="P1005" s="14">
        <f t="shared" si="125"/>
        <v>465.4562231974142</v>
      </c>
      <c r="Q1005" s="14">
        <f t="shared" si="126"/>
        <v>383.5488920794553</v>
      </c>
      <c r="R1005" s="14" t="str">
        <f t="shared" si="127"/>
        <v>Jan</v>
      </c>
    </row>
    <row r="1006" spans="1:18" x14ac:dyDescent="0.3">
      <c r="A1006" t="s">
        <v>2614</v>
      </c>
      <c r="B1006" s="1">
        <v>45538</v>
      </c>
      <c r="C1006" t="s">
        <v>663</v>
      </c>
      <c r="D1006" t="s">
        <v>1419</v>
      </c>
      <c r="E1006" t="s">
        <v>1579</v>
      </c>
      <c r="F1006">
        <v>2.4928130598810099</v>
      </c>
      <c r="G1006" s="14">
        <v>491.15650209421301</v>
      </c>
      <c r="H1006" s="17">
        <v>0.15299897461783901</v>
      </c>
      <c r="I1006" t="s">
        <v>1614</v>
      </c>
      <c r="J1006" s="14">
        <v>1040.23352668285</v>
      </c>
      <c r="K1006" s="14">
        <f t="shared" si="120"/>
        <v>329916.01598110999</v>
      </c>
      <c r="L1006" s="14">
        <f t="shared" si="121"/>
        <v>335</v>
      </c>
      <c r="M1006" s="14" t="str">
        <f t="shared" si="122"/>
        <v>03-09-2024</v>
      </c>
      <c r="N1006" s="14">
        <f t="shared" si="123"/>
        <v>0.15635972370087492</v>
      </c>
      <c r="O1006" s="20">
        <f t="shared" si="124"/>
        <v>2.5052823922797098</v>
      </c>
      <c r="P1006" s="14">
        <f t="shared" si="125"/>
        <v>465.43034174837419</v>
      </c>
      <c r="Q1006" s="14">
        <f t="shared" si="126"/>
        <v>383.50896020289048</v>
      </c>
      <c r="R1006" s="14" t="str">
        <f t="shared" si="127"/>
        <v>Sep</v>
      </c>
    </row>
    <row r="1007" spans="1:18" x14ac:dyDescent="0.3">
      <c r="A1007" t="s">
        <v>2615</v>
      </c>
      <c r="B1007" s="1">
        <v>45606</v>
      </c>
      <c r="C1007" t="s">
        <v>1291</v>
      </c>
      <c r="D1007" t="s">
        <v>1451</v>
      </c>
      <c r="E1007" t="s">
        <v>1567</v>
      </c>
      <c r="F1007">
        <v>2.4928381490810101</v>
      </c>
      <c r="G1007" s="14">
        <v>491.10473919613298</v>
      </c>
      <c r="H1007" s="17">
        <v>0.15300573668842901</v>
      </c>
      <c r="I1007" t="s">
        <v>1611</v>
      </c>
      <c r="J1007" s="14">
        <v>1040.1255302233999</v>
      </c>
      <c r="K1007" s="14">
        <f t="shared" si="120"/>
        <v>329916.01598110999</v>
      </c>
      <c r="L1007" s="14">
        <f t="shared" si="121"/>
        <v>335</v>
      </c>
      <c r="M1007" s="14" t="str">
        <f t="shared" si="122"/>
        <v>10-11-2024</v>
      </c>
      <c r="N1007" s="14">
        <f t="shared" si="123"/>
        <v>0.15636310473616974</v>
      </c>
      <c r="O1007" s="20">
        <f t="shared" si="124"/>
        <v>2.5052949368797082</v>
      </c>
      <c r="P1007" s="14">
        <f t="shared" si="125"/>
        <v>465.404460299334</v>
      </c>
      <c r="Q1007" s="14">
        <f t="shared" si="126"/>
        <v>383.4690283263256</v>
      </c>
      <c r="R1007" s="14" t="str">
        <f t="shared" si="127"/>
        <v>Nov</v>
      </c>
    </row>
    <row r="1008" spans="1:18" x14ac:dyDescent="0.3">
      <c r="A1008" t="s">
        <v>2616</v>
      </c>
      <c r="B1008" s="1">
        <v>45570</v>
      </c>
      <c r="C1008" t="s">
        <v>258</v>
      </c>
      <c r="D1008" t="s">
        <v>1489</v>
      </c>
      <c r="E1008" t="s">
        <v>1589</v>
      </c>
      <c r="F1008">
        <v>2.4928632382810001</v>
      </c>
      <c r="G1008" s="14">
        <v>491.05297629805301</v>
      </c>
      <c r="H1008" s="17">
        <v>0.15301249875901801</v>
      </c>
      <c r="I1008" t="s">
        <v>1611</v>
      </c>
      <c r="J1008" s="14">
        <v>1040.01753376395</v>
      </c>
      <c r="K1008" s="14">
        <f t="shared" si="120"/>
        <v>329916.01598110999</v>
      </c>
      <c r="L1008" s="14">
        <f t="shared" si="121"/>
        <v>335</v>
      </c>
      <c r="M1008" s="14" t="str">
        <f t="shared" si="122"/>
        <v>05-10-2024</v>
      </c>
      <c r="N1008" s="14">
        <f t="shared" si="123"/>
        <v>0.15636648577146453</v>
      </c>
      <c r="O1008" s="20">
        <f t="shared" si="124"/>
        <v>2.5053074814797074</v>
      </c>
      <c r="P1008" s="14">
        <f t="shared" si="125"/>
        <v>465.37857885029399</v>
      </c>
      <c r="Q1008" s="14">
        <f t="shared" si="126"/>
        <v>383.42909644976078</v>
      </c>
      <c r="R1008" s="14" t="str">
        <f t="shared" si="127"/>
        <v>Oct</v>
      </c>
    </row>
    <row r="1009" spans="1:18" x14ac:dyDescent="0.3">
      <c r="A1009" t="s">
        <v>2617</v>
      </c>
      <c r="B1009" s="1">
        <v>45466</v>
      </c>
      <c r="C1009" t="s">
        <v>44</v>
      </c>
      <c r="D1009" t="s">
        <v>1393</v>
      </c>
      <c r="E1009" t="s">
        <v>1577</v>
      </c>
      <c r="F1009">
        <v>2.4928883274809999</v>
      </c>
      <c r="G1009" s="14">
        <v>491.00121339997298</v>
      </c>
      <c r="H1009" s="17">
        <v>0.15301926082960801</v>
      </c>
      <c r="I1009" t="s">
        <v>1611</v>
      </c>
      <c r="J1009" s="14">
        <v>1039.9095373045</v>
      </c>
      <c r="K1009" s="14">
        <f t="shared" si="120"/>
        <v>329916.01598110999</v>
      </c>
      <c r="L1009" s="14">
        <f t="shared" si="121"/>
        <v>335</v>
      </c>
      <c r="M1009" s="14" t="str">
        <f t="shared" si="122"/>
        <v>23-06-2024</v>
      </c>
      <c r="N1009" s="14">
        <f t="shared" si="123"/>
        <v>0.15636986680675932</v>
      </c>
      <c r="O1009" s="20">
        <f t="shared" si="124"/>
        <v>2.5053200260797057</v>
      </c>
      <c r="P1009" s="14">
        <f t="shared" si="125"/>
        <v>465.35269740125392</v>
      </c>
      <c r="Q1009" s="14">
        <f t="shared" si="126"/>
        <v>383.3891645731959</v>
      </c>
      <c r="R1009" s="14" t="str">
        <f t="shared" si="127"/>
        <v>Jun</v>
      </c>
    </row>
    <row r="1010" spans="1:18" x14ac:dyDescent="0.3">
      <c r="A1010" t="s">
        <v>2618</v>
      </c>
      <c r="B1010" s="1">
        <v>45218</v>
      </c>
      <c r="C1010" t="s">
        <v>663</v>
      </c>
      <c r="D1010" t="s">
        <v>1421</v>
      </c>
      <c r="E1010" t="s">
        <v>1592</v>
      </c>
      <c r="F1010">
        <v>2.4929134166810001</v>
      </c>
      <c r="G1010" s="14">
        <v>490.94945050189301</v>
      </c>
      <c r="H1010" s="17">
        <v>0.15302602290019801</v>
      </c>
      <c r="I1010" t="s">
        <v>1609</v>
      </c>
      <c r="J1010" s="14">
        <v>1039.8015408450401</v>
      </c>
      <c r="K1010" s="14">
        <f t="shared" si="120"/>
        <v>329916.01598110999</v>
      </c>
      <c r="L1010" s="14">
        <f t="shared" si="121"/>
        <v>335</v>
      </c>
      <c r="M1010" s="14" t="str">
        <f t="shared" si="122"/>
        <v>19-10-2023</v>
      </c>
      <c r="N1010" s="14">
        <f t="shared" si="123"/>
        <v>0.15637324784205411</v>
      </c>
      <c r="O1010" s="20">
        <f t="shared" si="124"/>
        <v>2.5053325706797045</v>
      </c>
      <c r="P1010" s="14">
        <f t="shared" si="125"/>
        <v>465.32681595221379</v>
      </c>
      <c r="Q1010" s="14">
        <f t="shared" si="126"/>
        <v>383.34923269662858</v>
      </c>
      <c r="R1010" s="14" t="str">
        <f t="shared" si="127"/>
        <v>Oct</v>
      </c>
    </row>
    <row r="1011" spans="1:18" x14ac:dyDescent="0.3">
      <c r="A1011" t="s">
        <v>2619</v>
      </c>
      <c r="B1011" s="1">
        <v>45607</v>
      </c>
      <c r="C1011" t="s">
        <v>1241</v>
      </c>
      <c r="D1011" t="s">
        <v>1375</v>
      </c>
      <c r="E1011" t="s">
        <v>1589</v>
      </c>
      <c r="F1011">
        <v>2.4929385058809999</v>
      </c>
      <c r="G1011" s="14">
        <v>490.89768760381202</v>
      </c>
      <c r="H1011" s="17">
        <v>0.15303278497078701</v>
      </c>
      <c r="I1011" t="s">
        <v>1614</v>
      </c>
      <c r="J1011" s="14">
        <v>1039.69354438559</v>
      </c>
      <c r="K1011" s="14">
        <f t="shared" si="120"/>
        <v>328876.21444026497</v>
      </c>
      <c r="L1011" s="14">
        <f t="shared" si="121"/>
        <v>334</v>
      </c>
      <c r="M1011" s="14" t="str">
        <f t="shared" si="122"/>
        <v>11-11-2024</v>
      </c>
      <c r="N1011" s="14">
        <f t="shared" si="123"/>
        <v>0.15637662887734893</v>
      </c>
      <c r="O1011" s="20">
        <f t="shared" si="124"/>
        <v>2.5053451152797033</v>
      </c>
      <c r="P1011" s="14">
        <f t="shared" si="125"/>
        <v>465.30093450317378</v>
      </c>
      <c r="Q1011" s="14">
        <f t="shared" si="126"/>
        <v>383.30930082006347</v>
      </c>
      <c r="R1011" s="14" t="str">
        <f t="shared" si="127"/>
        <v>Nov</v>
      </c>
    </row>
    <row r="1012" spans="1:18" x14ac:dyDescent="0.3">
      <c r="A1012" t="s">
        <v>2620</v>
      </c>
      <c r="B1012" s="1">
        <v>45291</v>
      </c>
      <c r="C1012" t="s">
        <v>258</v>
      </c>
      <c r="D1012" t="s">
        <v>1437</v>
      </c>
      <c r="E1012" t="s">
        <v>1571</v>
      </c>
      <c r="F1012">
        <v>2.4929635950809899</v>
      </c>
      <c r="G1012" s="14">
        <v>490.84592470573199</v>
      </c>
      <c r="H1012" s="17">
        <v>0.15303954704137701</v>
      </c>
      <c r="I1012" t="s">
        <v>1611</v>
      </c>
      <c r="J1012" s="14">
        <v>1039.58554792614</v>
      </c>
      <c r="K1012" s="14">
        <f t="shared" si="120"/>
        <v>328876.21444026497</v>
      </c>
      <c r="L1012" s="14">
        <f t="shared" si="121"/>
        <v>334</v>
      </c>
      <c r="M1012" s="14" t="str">
        <f t="shared" si="122"/>
        <v>31-12-2023</v>
      </c>
      <c r="N1012" s="14">
        <f t="shared" si="123"/>
        <v>0.15638000991264372</v>
      </c>
      <c r="O1012" s="20">
        <f t="shared" si="124"/>
        <v>2.505357659879702</v>
      </c>
      <c r="P1012" s="14">
        <f t="shared" si="125"/>
        <v>465.27505305413365</v>
      </c>
      <c r="Q1012" s="14">
        <f t="shared" si="126"/>
        <v>383.26936894349859</v>
      </c>
      <c r="R1012" s="14" t="str">
        <f t="shared" si="127"/>
        <v>Dec</v>
      </c>
    </row>
    <row r="1013" spans="1:18" x14ac:dyDescent="0.3">
      <c r="A1013" t="s">
        <v>2621</v>
      </c>
      <c r="B1013" s="1">
        <v>45689</v>
      </c>
      <c r="C1013" t="s">
        <v>481</v>
      </c>
      <c r="D1013" t="s">
        <v>1471</v>
      </c>
      <c r="E1013" t="s">
        <v>1564</v>
      </c>
      <c r="F1013">
        <v>2.4929886842809901</v>
      </c>
      <c r="G1013" s="14">
        <v>490.79416180765202</v>
      </c>
      <c r="H1013" s="17">
        <v>0.15304630911196601</v>
      </c>
      <c r="I1013" t="s">
        <v>1609</v>
      </c>
      <c r="J1013" s="14">
        <v>1039.4775514666901</v>
      </c>
      <c r="K1013" s="14">
        <f t="shared" si="120"/>
        <v>328876.21444026497</v>
      </c>
      <c r="L1013" s="14">
        <f t="shared" si="121"/>
        <v>334</v>
      </c>
      <c r="M1013" s="14" t="str">
        <f t="shared" si="122"/>
        <v>01-02-2025</v>
      </c>
      <c r="N1013" s="14">
        <f t="shared" si="123"/>
        <v>0.15638339094793857</v>
      </c>
      <c r="O1013" s="20">
        <f t="shared" si="124"/>
        <v>2.5053702044797013</v>
      </c>
      <c r="P1013" s="14">
        <f t="shared" si="125"/>
        <v>465.24917160509352</v>
      </c>
      <c r="Q1013" s="14">
        <f t="shared" si="126"/>
        <v>383.22943706693377</v>
      </c>
      <c r="R1013" s="14" t="str">
        <f t="shared" si="127"/>
        <v>Feb</v>
      </c>
    </row>
    <row r="1014" spans="1:18" x14ac:dyDescent="0.3">
      <c r="A1014" t="s">
        <v>2622</v>
      </c>
      <c r="B1014" s="1">
        <v>45894</v>
      </c>
      <c r="C1014" t="s">
        <v>499</v>
      </c>
      <c r="D1014" t="s">
        <v>1511</v>
      </c>
      <c r="E1014" t="s">
        <v>1561</v>
      </c>
      <c r="F1014">
        <v>2.4930137734809898</v>
      </c>
      <c r="G1014" s="14">
        <v>490.74239890957199</v>
      </c>
      <c r="H1014" s="17">
        <v>0.15305307118255601</v>
      </c>
      <c r="I1014" t="s">
        <v>1609</v>
      </c>
      <c r="J1014" s="14">
        <v>1039.36955500724</v>
      </c>
      <c r="K1014" s="14">
        <f t="shared" si="120"/>
        <v>327836.7368887983</v>
      </c>
      <c r="L1014" s="14">
        <f t="shared" si="121"/>
        <v>333</v>
      </c>
      <c r="M1014" s="14" t="str">
        <f t="shared" si="122"/>
        <v>25-08-2025</v>
      </c>
      <c r="N1014" s="14">
        <f t="shared" si="123"/>
        <v>0.15638677198323336</v>
      </c>
      <c r="O1014" s="20">
        <f t="shared" si="124"/>
        <v>2.5053827490796996</v>
      </c>
      <c r="P1014" s="14">
        <f t="shared" si="125"/>
        <v>465.22329015605351</v>
      </c>
      <c r="Q1014" s="14">
        <f t="shared" si="126"/>
        <v>383.18950519036889</v>
      </c>
      <c r="R1014" s="14" t="str">
        <f t="shared" si="127"/>
        <v>Aug</v>
      </c>
    </row>
    <row r="1015" spans="1:18" x14ac:dyDescent="0.3">
      <c r="A1015" t="s">
        <v>2623</v>
      </c>
      <c r="B1015" s="1">
        <v>45677</v>
      </c>
      <c r="C1015" t="s">
        <v>1020</v>
      </c>
      <c r="D1015" t="s">
        <v>1373</v>
      </c>
      <c r="E1015" t="s">
        <v>1567</v>
      </c>
      <c r="F1015">
        <v>2.4930388626809901</v>
      </c>
      <c r="G1015" s="14">
        <v>490.69063601149202</v>
      </c>
      <c r="H1015" s="17">
        <v>0.15305983325314601</v>
      </c>
      <c r="I1015" t="s">
        <v>1614</v>
      </c>
      <c r="J1015" s="14">
        <v>1039.2615585477899</v>
      </c>
      <c r="K1015" s="14">
        <f t="shared" si="120"/>
        <v>326797.3673337911</v>
      </c>
      <c r="L1015" s="14">
        <f t="shared" si="121"/>
        <v>332</v>
      </c>
      <c r="M1015" s="14" t="str">
        <f t="shared" si="122"/>
        <v>20-01-2025</v>
      </c>
      <c r="N1015" s="14">
        <f t="shared" si="123"/>
        <v>0.15639015301852816</v>
      </c>
      <c r="O1015" s="20">
        <f t="shared" si="124"/>
        <v>2.5053952936796979</v>
      </c>
      <c r="P1015" s="14">
        <f t="shared" si="125"/>
        <v>465.19740870701344</v>
      </c>
      <c r="Q1015" s="14">
        <f t="shared" si="126"/>
        <v>383.14957331380401</v>
      </c>
      <c r="R1015" s="14" t="str">
        <f t="shared" si="127"/>
        <v>Jan</v>
      </c>
    </row>
    <row r="1016" spans="1:18" x14ac:dyDescent="0.3">
      <c r="A1016" t="s">
        <v>2624</v>
      </c>
      <c r="B1016" s="1">
        <v>45706</v>
      </c>
      <c r="C1016" t="s">
        <v>341</v>
      </c>
      <c r="D1016" t="s">
        <v>1413</v>
      </c>
      <c r="E1016" t="s">
        <v>1574</v>
      </c>
      <c r="F1016">
        <v>2.4930639518809801</v>
      </c>
      <c r="G1016" s="14">
        <v>490.63887311341199</v>
      </c>
      <c r="H1016" s="17">
        <v>0.15306659532373501</v>
      </c>
      <c r="I1016" t="s">
        <v>1609</v>
      </c>
      <c r="J1016" s="14">
        <v>1039.1535620883301</v>
      </c>
      <c r="K1016" s="14">
        <f t="shared" si="120"/>
        <v>326797.3673337911</v>
      </c>
      <c r="L1016" s="14">
        <f t="shared" si="121"/>
        <v>332</v>
      </c>
      <c r="M1016" s="14" t="str">
        <f t="shared" si="122"/>
        <v>18-02-2025</v>
      </c>
      <c r="N1016" s="14">
        <f t="shared" si="123"/>
        <v>0.15639353405382295</v>
      </c>
      <c r="O1016" s="20">
        <f t="shared" si="124"/>
        <v>2.5054078382796967</v>
      </c>
      <c r="P1016" s="14">
        <f t="shared" si="125"/>
        <v>465.17152725797331</v>
      </c>
      <c r="Q1016" s="14">
        <f t="shared" si="126"/>
        <v>383.10964143723669</v>
      </c>
      <c r="R1016" s="14" t="str">
        <f t="shared" si="127"/>
        <v>Feb</v>
      </c>
    </row>
    <row r="1017" spans="1:18" x14ac:dyDescent="0.3">
      <c r="A1017" t="s">
        <v>2625</v>
      </c>
      <c r="B1017" s="1">
        <v>45589</v>
      </c>
      <c r="C1017" t="s">
        <v>1237</v>
      </c>
      <c r="D1017" t="s">
        <v>1431</v>
      </c>
      <c r="E1017" t="s">
        <v>1577</v>
      </c>
      <c r="F1017">
        <v>2.4930890410809798</v>
      </c>
      <c r="G1017" s="14">
        <v>490.58711021533099</v>
      </c>
      <c r="H1017" s="17">
        <v>0.15307335739432501</v>
      </c>
      <c r="I1017" t="s">
        <v>1614</v>
      </c>
      <c r="J1017" s="14">
        <v>1039.04556562888</v>
      </c>
      <c r="K1017" s="14">
        <f t="shared" si="120"/>
        <v>325758.21377170272</v>
      </c>
      <c r="L1017" s="14">
        <f t="shared" si="121"/>
        <v>331</v>
      </c>
      <c r="M1017" s="14" t="str">
        <f t="shared" si="122"/>
        <v>24-10-2024</v>
      </c>
      <c r="N1017" s="14">
        <f t="shared" si="123"/>
        <v>0.15639691508911777</v>
      </c>
      <c r="O1017" s="20">
        <f t="shared" si="124"/>
        <v>2.5054203828796959</v>
      </c>
      <c r="P1017" s="14">
        <f t="shared" si="125"/>
        <v>465.14564580893324</v>
      </c>
      <c r="Q1017" s="14">
        <f t="shared" si="126"/>
        <v>383.06970956067158</v>
      </c>
      <c r="R1017" s="14" t="str">
        <f t="shared" si="127"/>
        <v>Oct</v>
      </c>
    </row>
    <row r="1018" spans="1:18" x14ac:dyDescent="0.3">
      <c r="A1018" t="s">
        <v>2626</v>
      </c>
      <c r="B1018" s="1">
        <v>45282</v>
      </c>
      <c r="C1018" t="s">
        <v>292</v>
      </c>
      <c r="D1018" t="s">
        <v>1401</v>
      </c>
      <c r="E1018" t="s">
        <v>1561</v>
      </c>
      <c r="F1018">
        <v>2.4931141302809801</v>
      </c>
      <c r="G1018" s="14">
        <v>490.53534731725102</v>
      </c>
      <c r="H1018" s="17">
        <v>0.15308011946491401</v>
      </c>
      <c r="I1018" t="s">
        <v>1611</v>
      </c>
      <c r="J1018" s="14">
        <v>1038.9375691694299</v>
      </c>
      <c r="K1018" s="14">
        <f t="shared" si="120"/>
        <v>325758.21377170272</v>
      </c>
      <c r="L1018" s="14">
        <f t="shared" si="121"/>
        <v>331</v>
      </c>
      <c r="M1018" s="14" t="str">
        <f t="shared" si="122"/>
        <v>22-12-2023</v>
      </c>
      <c r="N1018" s="14">
        <f t="shared" si="123"/>
        <v>0.15640029612441256</v>
      </c>
      <c r="O1018" s="20">
        <f t="shared" si="124"/>
        <v>2.5054329274796947</v>
      </c>
      <c r="P1018" s="14">
        <f t="shared" si="125"/>
        <v>465.11976435989317</v>
      </c>
      <c r="Q1018" s="14">
        <f t="shared" si="126"/>
        <v>383.0297776841067</v>
      </c>
      <c r="R1018" s="14" t="str">
        <f t="shared" si="127"/>
        <v>Dec</v>
      </c>
    </row>
    <row r="1019" spans="1:18" x14ac:dyDescent="0.3">
      <c r="A1019" t="s">
        <v>2627</v>
      </c>
      <c r="B1019" s="1">
        <v>45462</v>
      </c>
      <c r="C1019" t="s">
        <v>1288</v>
      </c>
      <c r="D1019" t="s">
        <v>1427</v>
      </c>
      <c r="E1019" t="s">
        <v>1584</v>
      </c>
      <c r="F1019">
        <v>2.4931392194809701</v>
      </c>
      <c r="G1019" s="14">
        <v>490.483584419171</v>
      </c>
      <c r="H1019" s="17">
        <v>0.15308688153550401</v>
      </c>
      <c r="I1019" t="s">
        <v>1609</v>
      </c>
      <c r="J1019" s="14">
        <v>1038.8295727099801</v>
      </c>
      <c r="K1019" s="14">
        <f t="shared" si="120"/>
        <v>325758.21377170272</v>
      </c>
      <c r="L1019" s="14">
        <f t="shared" si="121"/>
        <v>331</v>
      </c>
      <c r="M1019" s="14" t="str">
        <f t="shared" si="122"/>
        <v>19-06-2024</v>
      </c>
      <c r="N1019" s="14">
        <f t="shared" si="123"/>
        <v>0.15640367715970738</v>
      </c>
      <c r="O1019" s="20">
        <f t="shared" si="124"/>
        <v>2.5054454720796935</v>
      </c>
      <c r="P1019" s="14">
        <f t="shared" si="125"/>
        <v>465.0938829108531</v>
      </c>
      <c r="Q1019" s="14">
        <f t="shared" si="126"/>
        <v>382.98984580754188</v>
      </c>
      <c r="R1019" s="14" t="str">
        <f t="shared" si="127"/>
        <v>Jun</v>
      </c>
    </row>
    <row r="1020" spans="1:18" x14ac:dyDescent="0.3">
      <c r="A1020" t="s">
        <v>2628</v>
      </c>
      <c r="B1020" s="1">
        <v>45633</v>
      </c>
      <c r="C1020" t="s">
        <v>1225</v>
      </c>
      <c r="D1020" t="s">
        <v>1363</v>
      </c>
      <c r="E1020" t="s">
        <v>1564</v>
      </c>
      <c r="F1020">
        <v>2.4931643086809698</v>
      </c>
      <c r="G1020" s="14">
        <v>490.43182152109102</v>
      </c>
      <c r="H1020" s="17">
        <v>0.15309364360609401</v>
      </c>
      <c r="I1020" t="s">
        <v>1611</v>
      </c>
      <c r="J1020" s="14">
        <v>1038.72157625053</v>
      </c>
      <c r="K1020" s="14">
        <f t="shared" si="120"/>
        <v>324719.38419899275</v>
      </c>
      <c r="L1020" s="14">
        <f t="shared" si="121"/>
        <v>330</v>
      </c>
      <c r="M1020" s="14" t="str">
        <f t="shared" si="122"/>
        <v>07-12-2024</v>
      </c>
      <c r="N1020" s="14">
        <f t="shared" si="123"/>
        <v>0.15640705819500222</v>
      </c>
      <c r="O1020" s="20">
        <f t="shared" si="124"/>
        <v>2.5054580166796923</v>
      </c>
      <c r="P1020" s="14">
        <f t="shared" si="125"/>
        <v>465.06800146181308</v>
      </c>
      <c r="Q1020" s="14">
        <f t="shared" si="126"/>
        <v>382.949913930977</v>
      </c>
      <c r="R1020" s="14" t="str">
        <f t="shared" si="127"/>
        <v>Dec</v>
      </c>
    </row>
    <row r="1021" spans="1:18" x14ac:dyDescent="0.3">
      <c r="A1021" t="s">
        <v>2629</v>
      </c>
      <c r="B1021" s="1">
        <v>45257</v>
      </c>
      <c r="C1021" t="s">
        <v>1148</v>
      </c>
      <c r="D1021" t="s">
        <v>1511</v>
      </c>
      <c r="E1021" t="s">
        <v>1577</v>
      </c>
      <c r="F1021">
        <v>2.49318939788097</v>
      </c>
      <c r="G1021" s="14">
        <v>490.380058623011</v>
      </c>
      <c r="H1021" s="17">
        <v>0.15310040567668301</v>
      </c>
      <c r="I1021" t="s">
        <v>1611</v>
      </c>
      <c r="J1021" s="14">
        <v>1038.6135797910799</v>
      </c>
      <c r="K1021" s="14">
        <f t="shared" si="120"/>
        <v>324719.38419899275</v>
      </c>
      <c r="L1021" s="14">
        <f t="shared" si="121"/>
        <v>330</v>
      </c>
      <c r="M1021" s="14" t="str">
        <f t="shared" si="122"/>
        <v>27-11-2023</v>
      </c>
      <c r="N1021" s="14">
        <f t="shared" si="123"/>
        <v>0.15641043923029702</v>
      </c>
      <c r="O1021" s="20">
        <f t="shared" si="124"/>
        <v>2.505470561279691</v>
      </c>
      <c r="P1021" s="14">
        <f t="shared" si="125"/>
        <v>465.04212001277295</v>
      </c>
      <c r="Q1021" s="14">
        <f t="shared" si="126"/>
        <v>382.90998205441213</v>
      </c>
      <c r="R1021" s="14" t="str">
        <f t="shared" si="127"/>
        <v>Nov</v>
      </c>
    </row>
    <row r="1022" spans="1:18" x14ac:dyDescent="0.3">
      <c r="A1022" t="s">
        <v>2630</v>
      </c>
      <c r="B1022" s="1">
        <v>45854</v>
      </c>
      <c r="C1022" t="s">
        <v>1229</v>
      </c>
      <c r="D1022" t="s">
        <v>1395</v>
      </c>
      <c r="E1022" t="s">
        <v>1574</v>
      </c>
      <c r="F1022">
        <v>2.4932144870809698</v>
      </c>
      <c r="G1022" s="14">
        <v>490.32829572493102</v>
      </c>
      <c r="H1022" s="17">
        <v>0.15310716774727301</v>
      </c>
      <c r="I1022" t="s">
        <v>1614</v>
      </c>
      <c r="J1022" s="14">
        <v>1038.5055833316201</v>
      </c>
      <c r="K1022" s="14">
        <f t="shared" si="120"/>
        <v>324719.38419899275</v>
      </c>
      <c r="L1022" s="14">
        <f t="shared" si="121"/>
        <v>330</v>
      </c>
      <c r="M1022" s="14" t="str">
        <f t="shared" si="122"/>
        <v>16-07-2025</v>
      </c>
      <c r="N1022" s="14">
        <f t="shared" si="123"/>
        <v>0.15641382026559181</v>
      </c>
      <c r="O1022" s="20">
        <f t="shared" si="124"/>
        <v>2.5054831058796894</v>
      </c>
      <c r="P1022" s="14">
        <f t="shared" si="125"/>
        <v>465.01623856373283</v>
      </c>
      <c r="Q1022" s="14">
        <f t="shared" si="126"/>
        <v>382.87005017784486</v>
      </c>
      <c r="R1022" s="14" t="str">
        <f t="shared" si="127"/>
        <v>Jul</v>
      </c>
    </row>
    <row r="1023" spans="1:18" x14ac:dyDescent="0.3">
      <c r="A1023" t="s">
        <v>2631</v>
      </c>
      <c r="B1023" s="1">
        <v>45716</v>
      </c>
      <c r="C1023" t="s">
        <v>767</v>
      </c>
      <c r="D1023" t="s">
        <v>1371</v>
      </c>
      <c r="E1023" t="s">
        <v>1564</v>
      </c>
      <c r="F1023">
        <v>2.4932395762809598</v>
      </c>
      <c r="G1023" s="14">
        <v>490.276532826851</v>
      </c>
      <c r="H1023" s="17">
        <v>0.15311392981786301</v>
      </c>
      <c r="I1023" t="s">
        <v>1611</v>
      </c>
      <c r="J1023" s="14">
        <v>1038.39758687217</v>
      </c>
      <c r="K1023" s="14">
        <f t="shared" si="120"/>
        <v>324719.38419899275</v>
      </c>
      <c r="L1023" s="14">
        <f t="shared" si="121"/>
        <v>330</v>
      </c>
      <c r="M1023" s="14" t="str">
        <f t="shared" si="122"/>
        <v>28-02-2025</v>
      </c>
      <c r="N1023" s="14">
        <f t="shared" si="123"/>
        <v>0.15641720130088663</v>
      </c>
      <c r="O1023" s="20">
        <f t="shared" si="124"/>
        <v>2.5054956504796881</v>
      </c>
      <c r="P1023" s="14">
        <f t="shared" si="125"/>
        <v>464.99035711469276</v>
      </c>
      <c r="Q1023" s="14">
        <f t="shared" si="126"/>
        <v>382.83011830127998</v>
      </c>
      <c r="R1023" s="14" t="str">
        <f t="shared" si="127"/>
        <v>Feb</v>
      </c>
    </row>
    <row r="1024" spans="1:18" x14ac:dyDescent="0.3">
      <c r="A1024" t="s">
        <v>2632</v>
      </c>
      <c r="B1024" s="1">
        <v>45515</v>
      </c>
      <c r="C1024" t="s">
        <v>1285</v>
      </c>
      <c r="D1024" t="s">
        <v>1519</v>
      </c>
      <c r="E1024" t="s">
        <v>1589</v>
      </c>
      <c r="F1024">
        <v>2.49326466548096</v>
      </c>
      <c r="G1024" s="14">
        <v>490.22476992877</v>
      </c>
      <c r="H1024" s="17">
        <v>0.15312069188845201</v>
      </c>
      <c r="I1024" t="s">
        <v>1609</v>
      </c>
      <c r="J1024" s="14">
        <v>1038.2895904127199</v>
      </c>
      <c r="K1024" s="14">
        <f t="shared" si="120"/>
        <v>324719.38419899275</v>
      </c>
      <c r="L1024" s="14">
        <f t="shared" si="121"/>
        <v>330</v>
      </c>
      <c r="M1024" s="14" t="str">
        <f t="shared" si="122"/>
        <v>11-08-2024</v>
      </c>
      <c r="N1024" s="14">
        <f t="shared" si="123"/>
        <v>0.15642058233618145</v>
      </c>
      <c r="O1024" s="20">
        <f t="shared" si="124"/>
        <v>2.5055081950796869</v>
      </c>
      <c r="P1024" s="14">
        <f t="shared" si="125"/>
        <v>464.96447566565269</v>
      </c>
      <c r="Q1024" s="14">
        <f t="shared" si="126"/>
        <v>382.79018642471482</v>
      </c>
      <c r="R1024" s="14" t="str">
        <f t="shared" si="127"/>
        <v>Aug</v>
      </c>
    </row>
    <row r="1025" spans="1:18" x14ac:dyDescent="0.3">
      <c r="A1025" t="s">
        <v>2633</v>
      </c>
      <c r="B1025" s="1">
        <v>45927</v>
      </c>
      <c r="C1025" t="s">
        <v>435</v>
      </c>
      <c r="D1025" t="s">
        <v>1511</v>
      </c>
      <c r="E1025" t="s">
        <v>1579</v>
      </c>
      <c r="F1025">
        <v>2.4932897546809598</v>
      </c>
      <c r="G1025" s="14">
        <v>490.17300703068997</v>
      </c>
      <c r="H1025" s="17">
        <v>0.15312745395904201</v>
      </c>
      <c r="I1025" t="s">
        <v>1609</v>
      </c>
      <c r="J1025" s="14">
        <v>1038.1815939532701</v>
      </c>
      <c r="K1025" s="14">
        <f t="shared" si="120"/>
        <v>323681.09460858005</v>
      </c>
      <c r="L1025" s="14">
        <f t="shared" si="121"/>
        <v>329</v>
      </c>
      <c r="M1025" s="14" t="str">
        <f t="shared" si="122"/>
        <v>27-09-2025</v>
      </c>
      <c r="N1025" s="14">
        <f t="shared" si="123"/>
        <v>0.15642396337147627</v>
      </c>
      <c r="O1025" s="20">
        <f t="shared" si="124"/>
        <v>2.5055207396796857</v>
      </c>
      <c r="P1025" s="14">
        <f t="shared" si="125"/>
        <v>464.93859421661267</v>
      </c>
      <c r="Q1025" s="14">
        <f t="shared" si="126"/>
        <v>382.75025454815</v>
      </c>
      <c r="R1025" s="14" t="str">
        <f t="shared" si="127"/>
        <v>Sep</v>
      </c>
    </row>
    <row r="1026" spans="1:18" x14ac:dyDescent="0.3">
      <c r="A1026" t="s">
        <v>2634</v>
      </c>
      <c r="B1026" s="1">
        <v>45914</v>
      </c>
      <c r="C1026" t="s">
        <v>815</v>
      </c>
      <c r="D1026" t="s">
        <v>1439</v>
      </c>
      <c r="E1026" t="s">
        <v>1574</v>
      </c>
      <c r="F1026">
        <v>2.49331484388096</v>
      </c>
      <c r="G1026" s="14">
        <v>490.12124413261</v>
      </c>
      <c r="H1026" s="17">
        <v>0.15313421602963101</v>
      </c>
      <c r="I1026" t="s">
        <v>1609</v>
      </c>
      <c r="J1026">
        <v>1038.07359749382</v>
      </c>
      <c r="K1026" s="14">
        <f t="shared" ref="K1026:K1089" si="128">SUMIF(I1026:I3025,"Credit Card",J1026:J3025)</f>
        <v>322642.91301462683</v>
      </c>
      <c r="L1026" s="14">
        <f t="shared" ref="L1026:L1089" si="129">COUNTIF(I1026:I3025,"Credit Card")</f>
        <v>328</v>
      </c>
      <c r="M1026" s="14" t="str">
        <f t="shared" ref="M1026:M1089" si="130">TEXT(B1026:B3025,"dd-mm-yyyy")</f>
        <v>14-09-2025</v>
      </c>
      <c r="N1026" s="14">
        <f t="shared" ref="N1026:N1089" si="131">AVERAGE(H1026:H3025)</f>
        <v>0.15642734440677106</v>
      </c>
      <c r="O1026" s="20">
        <f t="shared" ref="O1026:O1089" si="132">AVERAGE(F1026:F3025)</f>
        <v>2.505533284279684</v>
      </c>
      <c r="P1026" s="14">
        <f t="shared" ref="P1026:P1089" si="133">AVERAGE(G1026:G3025)</f>
        <v>464.91271276757254</v>
      </c>
      <c r="Q1026" s="14">
        <f t="shared" ref="Q1026:Q1089" si="134">AVERAGE(F1026,G1026,H1026,J1026)</f>
        <v>382.71032267158512</v>
      </c>
      <c r="R1026" s="14" t="str">
        <f t="shared" ref="R1026:R1089" si="135">TEXT(M1026,"mmm")</f>
        <v>Sep</v>
      </c>
    </row>
    <row r="1027" spans="1:18" x14ac:dyDescent="0.3">
      <c r="A1027" t="s">
        <v>2635</v>
      </c>
      <c r="B1027" s="1">
        <v>45290</v>
      </c>
      <c r="C1027" t="s">
        <v>541</v>
      </c>
      <c r="D1027" t="s">
        <v>1531</v>
      </c>
      <c r="E1027" t="s">
        <v>1592</v>
      </c>
      <c r="F1027">
        <v>2.49333993308095</v>
      </c>
      <c r="G1027" s="14">
        <v>490.06948123452997</v>
      </c>
      <c r="H1027" s="17">
        <v>0.15314097810022101</v>
      </c>
      <c r="I1027" t="s">
        <v>1609</v>
      </c>
      <c r="J1027" s="14">
        <v>1037.9656010343699</v>
      </c>
      <c r="K1027" s="14">
        <f t="shared" si="128"/>
        <v>321604.8394171329</v>
      </c>
      <c r="L1027" s="14">
        <f t="shared" si="129"/>
        <v>327</v>
      </c>
      <c r="M1027" s="14" t="str">
        <f t="shared" si="130"/>
        <v>30-12-2023</v>
      </c>
      <c r="N1027" s="14">
        <f t="shared" si="131"/>
        <v>0.15643072544206585</v>
      </c>
      <c r="O1027" s="20">
        <f t="shared" si="132"/>
        <v>2.5055458288796832</v>
      </c>
      <c r="P1027" s="14">
        <f t="shared" si="133"/>
        <v>464.88683131853247</v>
      </c>
      <c r="Q1027" s="14">
        <f t="shared" si="134"/>
        <v>382.67039079502024</v>
      </c>
      <c r="R1027" s="14" t="str">
        <f t="shared" si="135"/>
        <v>Dec</v>
      </c>
    </row>
    <row r="1028" spans="1:18" x14ac:dyDescent="0.3">
      <c r="A1028" t="s">
        <v>2636</v>
      </c>
      <c r="B1028" s="1">
        <v>45213</v>
      </c>
      <c r="C1028" t="s">
        <v>857</v>
      </c>
      <c r="D1028" t="s">
        <v>1487</v>
      </c>
      <c r="E1028" t="s">
        <v>1546</v>
      </c>
      <c r="F1028">
        <v>2.4933650222809498</v>
      </c>
      <c r="G1028" s="14">
        <v>490.01771833645</v>
      </c>
      <c r="H1028" s="17">
        <v>0.15314774017081101</v>
      </c>
      <c r="I1028" t="s">
        <v>1609</v>
      </c>
      <c r="J1028" s="14">
        <v>1037.8576045749101</v>
      </c>
      <c r="K1028" s="14">
        <f t="shared" si="128"/>
        <v>320566.87381609855</v>
      </c>
      <c r="L1028" s="14">
        <f t="shared" si="129"/>
        <v>326</v>
      </c>
      <c r="M1028" s="14" t="str">
        <f t="shared" si="130"/>
        <v>14-10-2023</v>
      </c>
      <c r="N1028" s="14">
        <f t="shared" si="131"/>
        <v>0.15643410647736064</v>
      </c>
      <c r="O1028" s="20">
        <f t="shared" si="132"/>
        <v>2.5055583734796816</v>
      </c>
      <c r="P1028" s="14">
        <f t="shared" si="133"/>
        <v>464.86094986949234</v>
      </c>
      <c r="Q1028" s="14">
        <f t="shared" si="134"/>
        <v>382.63045891845297</v>
      </c>
      <c r="R1028" s="14" t="str">
        <f t="shared" si="135"/>
        <v>Oct</v>
      </c>
    </row>
    <row r="1029" spans="1:18" x14ac:dyDescent="0.3">
      <c r="A1029" t="s">
        <v>2637</v>
      </c>
      <c r="B1029" s="1">
        <v>45255</v>
      </c>
      <c r="C1029" t="s">
        <v>1304</v>
      </c>
      <c r="D1029" t="s">
        <v>1357</v>
      </c>
      <c r="E1029" t="s">
        <v>1546</v>
      </c>
      <c r="F1029">
        <v>2.49339011148095</v>
      </c>
      <c r="G1029" s="14">
        <v>489.96595543836997</v>
      </c>
      <c r="H1029" s="17">
        <v>0.15315450224140001</v>
      </c>
      <c r="I1029" t="s">
        <v>1611</v>
      </c>
      <c r="J1029" s="14">
        <v>1037.74960811546</v>
      </c>
      <c r="K1029" s="14">
        <f t="shared" si="128"/>
        <v>319529.01621152362</v>
      </c>
      <c r="L1029" s="14">
        <f t="shared" si="129"/>
        <v>325</v>
      </c>
      <c r="M1029" s="14" t="str">
        <f t="shared" si="130"/>
        <v>25-11-2023</v>
      </c>
      <c r="N1029" s="14">
        <f t="shared" si="131"/>
        <v>0.15643748751265552</v>
      </c>
      <c r="O1029" s="20">
        <f t="shared" si="132"/>
        <v>2.5055709180796804</v>
      </c>
      <c r="P1029" s="14">
        <f t="shared" si="133"/>
        <v>464.83506842045227</v>
      </c>
      <c r="Q1029" s="14">
        <f t="shared" si="134"/>
        <v>382.59052704188809</v>
      </c>
      <c r="R1029" s="14" t="str">
        <f t="shared" si="135"/>
        <v>Nov</v>
      </c>
    </row>
    <row r="1030" spans="1:18" x14ac:dyDescent="0.3">
      <c r="A1030" t="s">
        <v>2638</v>
      </c>
      <c r="B1030" s="1">
        <v>45270</v>
      </c>
      <c r="C1030" t="s">
        <v>1163</v>
      </c>
      <c r="D1030" t="s">
        <v>1477</v>
      </c>
      <c r="E1030" t="s">
        <v>1574</v>
      </c>
      <c r="F1030">
        <v>2.4934152006809498</v>
      </c>
      <c r="G1030" s="14">
        <v>489.91419254028898</v>
      </c>
      <c r="H1030" s="17">
        <v>0.15316126431199001</v>
      </c>
      <c r="I1030" t="s">
        <v>1609</v>
      </c>
      <c r="J1030" s="14">
        <v>1037.6416116560099</v>
      </c>
      <c r="K1030" s="14">
        <f t="shared" si="128"/>
        <v>319529.01621152362</v>
      </c>
      <c r="L1030" s="14">
        <f t="shared" si="129"/>
        <v>325</v>
      </c>
      <c r="M1030" s="14" t="str">
        <f t="shared" si="130"/>
        <v>10-12-2023</v>
      </c>
      <c r="N1030" s="14">
        <f t="shared" si="131"/>
        <v>0.15644086854795025</v>
      </c>
      <c r="O1030" s="20">
        <f t="shared" si="132"/>
        <v>2.5055834626796787</v>
      </c>
      <c r="P1030" s="14">
        <f t="shared" si="133"/>
        <v>464.80918697141226</v>
      </c>
      <c r="Q1030" s="14">
        <f t="shared" si="134"/>
        <v>382.55059516532299</v>
      </c>
      <c r="R1030" s="14" t="str">
        <f t="shared" si="135"/>
        <v>Dec</v>
      </c>
    </row>
    <row r="1031" spans="1:18" x14ac:dyDescent="0.3">
      <c r="A1031" t="s">
        <v>2639</v>
      </c>
      <c r="B1031" s="1">
        <v>45897</v>
      </c>
      <c r="C1031" t="s">
        <v>1244</v>
      </c>
      <c r="D1031" t="s">
        <v>1359</v>
      </c>
      <c r="E1031" t="s">
        <v>1589</v>
      </c>
      <c r="F1031">
        <v>2.4934402898809398</v>
      </c>
      <c r="G1031" s="14">
        <v>489.86242964220901</v>
      </c>
      <c r="H1031" s="17">
        <v>0.15316802638257901</v>
      </c>
      <c r="I1031" t="s">
        <v>1609</v>
      </c>
      <c r="J1031" s="14">
        <v>1037.53361519656</v>
      </c>
      <c r="K1031" s="14">
        <f t="shared" si="128"/>
        <v>318491.37459986756</v>
      </c>
      <c r="L1031" s="14">
        <f t="shared" si="129"/>
        <v>324</v>
      </c>
      <c r="M1031" s="14" t="str">
        <f t="shared" si="130"/>
        <v>28-08-2025</v>
      </c>
      <c r="N1031" s="14">
        <f t="shared" si="131"/>
        <v>0.15644424958324507</v>
      </c>
      <c r="O1031" s="20">
        <f t="shared" si="132"/>
        <v>2.505596007279677</v>
      </c>
      <c r="P1031" s="14">
        <f t="shared" si="133"/>
        <v>464.78330552237207</v>
      </c>
      <c r="Q1031" s="14">
        <f t="shared" si="134"/>
        <v>382.51066328875811</v>
      </c>
      <c r="R1031" s="14" t="str">
        <f t="shared" si="135"/>
        <v>Aug</v>
      </c>
    </row>
    <row r="1032" spans="1:18" x14ac:dyDescent="0.3">
      <c r="A1032" t="s">
        <v>2640</v>
      </c>
      <c r="B1032" s="1">
        <v>45849</v>
      </c>
      <c r="C1032" t="s">
        <v>218</v>
      </c>
      <c r="D1032" t="s">
        <v>1453</v>
      </c>
      <c r="E1032" t="s">
        <v>1558</v>
      </c>
      <c r="F1032">
        <v>2.49346537908094</v>
      </c>
      <c r="G1032" s="14">
        <v>489.81066674412898</v>
      </c>
      <c r="H1032" s="17">
        <v>0.15317478845316901</v>
      </c>
      <c r="I1032" t="s">
        <v>1614</v>
      </c>
      <c r="J1032">
        <v>1037.42561873711</v>
      </c>
      <c r="K1032" s="14">
        <f t="shared" si="128"/>
        <v>317453.84098467109</v>
      </c>
      <c r="L1032" s="14">
        <f t="shared" si="129"/>
        <v>323</v>
      </c>
      <c r="M1032" s="14" t="str">
        <f t="shared" si="130"/>
        <v>11-07-2025</v>
      </c>
      <c r="N1032" s="14">
        <f t="shared" si="131"/>
        <v>0.15644763061853989</v>
      </c>
      <c r="O1032" s="20">
        <f t="shared" si="132"/>
        <v>2.5056085518796762</v>
      </c>
      <c r="P1032" s="14">
        <f t="shared" si="133"/>
        <v>464.757424073332</v>
      </c>
      <c r="Q1032" s="14">
        <f t="shared" si="134"/>
        <v>382.47073141219323</v>
      </c>
      <c r="R1032" s="14" t="str">
        <f t="shared" si="135"/>
        <v>Jul</v>
      </c>
    </row>
    <row r="1033" spans="1:18" x14ac:dyDescent="0.3">
      <c r="A1033" t="s">
        <v>2641</v>
      </c>
      <c r="B1033" s="1">
        <v>45889</v>
      </c>
      <c r="C1033" t="s">
        <v>559</v>
      </c>
      <c r="D1033" t="s">
        <v>1477</v>
      </c>
      <c r="E1033" t="s">
        <v>1542</v>
      </c>
      <c r="F1033">
        <v>2.4934904682809398</v>
      </c>
      <c r="G1033" s="14">
        <v>489.75890384604901</v>
      </c>
      <c r="H1033" s="17">
        <v>0.15318155052375901</v>
      </c>
      <c r="I1033" t="s">
        <v>1609</v>
      </c>
      <c r="J1033" s="14">
        <v>1037.3176222776499</v>
      </c>
      <c r="K1033" s="14">
        <f t="shared" si="128"/>
        <v>317453.84098467109</v>
      </c>
      <c r="L1033" s="14">
        <f t="shared" si="129"/>
        <v>323</v>
      </c>
      <c r="M1033" s="14" t="str">
        <f t="shared" si="130"/>
        <v>20-08-2025</v>
      </c>
      <c r="N1033" s="14">
        <f t="shared" si="131"/>
        <v>0.15645101165383471</v>
      </c>
      <c r="O1033" s="20">
        <f t="shared" si="132"/>
        <v>2.5056210964796746</v>
      </c>
      <c r="P1033" s="14">
        <f t="shared" si="133"/>
        <v>464.73154262429193</v>
      </c>
      <c r="Q1033" s="14">
        <f t="shared" si="134"/>
        <v>382.43079953562591</v>
      </c>
      <c r="R1033" s="14" t="str">
        <f t="shared" si="135"/>
        <v>Aug</v>
      </c>
    </row>
    <row r="1034" spans="1:18" x14ac:dyDescent="0.3">
      <c r="A1034" t="s">
        <v>2642</v>
      </c>
      <c r="B1034" s="1">
        <v>45533</v>
      </c>
      <c r="C1034" t="s">
        <v>1230</v>
      </c>
      <c r="D1034" t="s">
        <v>1409</v>
      </c>
      <c r="E1034" t="s">
        <v>1558</v>
      </c>
      <c r="F1034">
        <v>2.49351555748094</v>
      </c>
      <c r="G1034" s="14">
        <v>489.70714094796898</v>
      </c>
      <c r="H1034" s="17">
        <v>0.15318831259434801</v>
      </c>
      <c r="I1034" t="s">
        <v>1609</v>
      </c>
      <c r="J1034" s="14">
        <v>1037.2096258182</v>
      </c>
      <c r="K1034" s="14">
        <f t="shared" si="128"/>
        <v>316416.52336239337</v>
      </c>
      <c r="L1034" s="14">
        <f t="shared" si="129"/>
        <v>322</v>
      </c>
      <c r="M1034" s="14" t="str">
        <f t="shared" si="130"/>
        <v>29-08-2024</v>
      </c>
      <c r="N1034" s="14">
        <f t="shared" si="131"/>
        <v>0.1564543926891295</v>
      </c>
      <c r="O1034" s="20">
        <f t="shared" si="132"/>
        <v>2.5056336410796733</v>
      </c>
      <c r="P1034" s="14">
        <f t="shared" si="133"/>
        <v>464.70566117525186</v>
      </c>
      <c r="Q1034" s="14">
        <f t="shared" si="134"/>
        <v>382.39086765906109</v>
      </c>
      <c r="R1034" s="14" t="str">
        <f t="shared" si="135"/>
        <v>Aug</v>
      </c>
    </row>
    <row r="1035" spans="1:18" x14ac:dyDescent="0.3">
      <c r="A1035" t="s">
        <v>2643</v>
      </c>
      <c r="B1035" s="1">
        <v>45626</v>
      </c>
      <c r="C1035" t="s">
        <v>147</v>
      </c>
      <c r="D1035" t="s">
        <v>1423</v>
      </c>
      <c r="E1035" t="s">
        <v>1577</v>
      </c>
      <c r="F1035">
        <v>2.49354064668093</v>
      </c>
      <c r="G1035" s="14">
        <v>489.65537804988901</v>
      </c>
      <c r="H1035" s="17">
        <v>0.15319507466493801</v>
      </c>
      <c r="I1035" t="s">
        <v>1609</v>
      </c>
      <c r="J1035" s="14">
        <v>1037.10162935875</v>
      </c>
      <c r="K1035" s="14">
        <f t="shared" si="128"/>
        <v>315379.31373657513</v>
      </c>
      <c r="L1035" s="14">
        <f t="shared" si="129"/>
        <v>321</v>
      </c>
      <c r="M1035" s="14" t="str">
        <f t="shared" si="130"/>
        <v>30-11-2024</v>
      </c>
      <c r="N1035" s="14">
        <f t="shared" si="131"/>
        <v>0.15645777372442432</v>
      </c>
      <c r="O1035" s="20">
        <f t="shared" si="132"/>
        <v>2.5056461856796717</v>
      </c>
      <c r="P1035" s="14">
        <f t="shared" si="133"/>
        <v>464.67977972621173</v>
      </c>
      <c r="Q1035" s="14">
        <f t="shared" si="134"/>
        <v>382.35093578249621</v>
      </c>
      <c r="R1035" s="14" t="str">
        <f t="shared" si="135"/>
        <v>Nov</v>
      </c>
    </row>
    <row r="1036" spans="1:18" x14ac:dyDescent="0.3">
      <c r="A1036" t="s">
        <v>2644</v>
      </c>
      <c r="B1036" s="1">
        <v>45942</v>
      </c>
      <c r="C1036" t="s">
        <v>869</v>
      </c>
      <c r="D1036" t="s">
        <v>1373</v>
      </c>
      <c r="E1036" t="s">
        <v>1567</v>
      </c>
      <c r="F1036">
        <v>2.4935657358809298</v>
      </c>
      <c r="G1036" s="14">
        <v>489.60361515180801</v>
      </c>
      <c r="H1036" s="17">
        <v>0.15320183673552701</v>
      </c>
      <c r="I1036" t="s">
        <v>1614</v>
      </c>
      <c r="J1036" s="14">
        <v>1036.9936328993001</v>
      </c>
      <c r="K1036" s="14">
        <f t="shared" si="128"/>
        <v>314342.21210721642</v>
      </c>
      <c r="L1036" s="14">
        <f t="shared" si="129"/>
        <v>320</v>
      </c>
      <c r="M1036" s="14" t="str">
        <f t="shared" si="130"/>
        <v>12-10-2025</v>
      </c>
      <c r="N1036" s="14">
        <f t="shared" si="131"/>
        <v>0.15646115475971911</v>
      </c>
      <c r="O1036" s="20">
        <f t="shared" si="132"/>
        <v>2.5056587302796713</v>
      </c>
      <c r="P1036" s="14">
        <f t="shared" si="133"/>
        <v>464.65389827717166</v>
      </c>
      <c r="Q1036" s="14">
        <f t="shared" si="134"/>
        <v>382.31100390593116</v>
      </c>
      <c r="R1036" s="14" t="str">
        <f t="shared" si="135"/>
        <v>Oct</v>
      </c>
    </row>
    <row r="1037" spans="1:18" x14ac:dyDescent="0.3">
      <c r="A1037" t="s">
        <v>2645</v>
      </c>
      <c r="B1037" s="1">
        <v>45500</v>
      </c>
      <c r="C1037" t="s">
        <v>141</v>
      </c>
      <c r="D1037" t="s">
        <v>1527</v>
      </c>
      <c r="E1037" t="s">
        <v>1579</v>
      </c>
      <c r="F1037">
        <v>2.49359082508093</v>
      </c>
      <c r="G1037" s="14">
        <v>489.55185225372799</v>
      </c>
      <c r="H1037" s="17">
        <v>0.15320859880611701</v>
      </c>
      <c r="I1037" t="s">
        <v>1609</v>
      </c>
      <c r="J1037" s="14">
        <v>1036.88563643985</v>
      </c>
      <c r="K1037" s="14">
        <f t="shared" si="128"/>
        <v>314342.21210721642</v>
      </c>
      <c r="L1037" s="14">
        <f t="shared" si="129"/>
        <v>320</v>
      </c>
      <c r="M1037" s="14" t="str">
        <f t="shared" si="130"/>
        <v>27-07-2024</v>
      </c>
      <c r="N1037" s="14">
        <f t="shared" si="131"/>
        <v>0.1564645357950139</v>
      </c>
      <c r="O1037" s="20">
        <f t="shared" si="132"/>
        <v>2.5056712748796692</v>
      </c>
      <c r="P1037" s="14">
        <f t="shared" si="133"/>
        <v>464.62801682813154</v>
      </c>
      <c r="Q1037" s="14">
        <f t="shared" si="134"/>
        <v>382.27107202936628</v>
      </c>
      <c r="R1037" s="14" t="str">
        <f t="shared" si="135"/>
        <v>Jul</v>
      </c>
    </row>
    <row r="1038" spans="1:18" x14ac:dyDescent="0.3">
      <c r="A1038" t="s">
        <v>2646</v>
      </c>
      <c r="B1038" s="1">
        <v>45285</v>
      </c>
      <c r="C1038" t="s">
        <v>85</v>
      </c>
      <c r="D1038" t="s">
        <v>1485</v>
      </c>
      <c r="E1038" t="s">
        <v>1574</v>
      </c>
      <c r="F1038">
        <v>2.49361591428092</v>
      </c>
      <c r="G1038" s="14">
        <v>489.50008935564802</v>
      </c>
      <c r="H1038" s="17">
        <v>0.15321536087670701</v>
      </c>
      <c r="I1038" t="s">
        <v>1609</v>
      </c>
      <c r="J1038" s="14">
        <v>1036.7776399804</v>
      </c>
      <c r="K1038" s="14">
        <f t="shared" si="128"/>
        <v>313305.32647077658</v>
      </c>
      <c r="L1038" s="14">
        <f t="shared" si="129"/>
        <v>319</v>
      </c>
      <c r="M1038" s="14" t="str">
        <f t="shared" si="130"/>
        <v>25-12-2023</v>
      </c>
      <c r="N1038" s="14">
        <f t="shared" si="131"/>
        <v>0.1564679168303087</v>
      </c>
      <c r="O1038" s="20">
        <f t="shared" si="132"/>
        <v>2.505683819479668</v>
      </c>
      <c r="P1038" s="14">
        <f t="shared" si="133"/>
        <v>464.60213537909146</v>
      </c>
      <c r="Q1038" s="14">
        <f t="shared" si="134"/>
        <v>382.2311401528014</v>
      </c>
      <c r="R1038" s="14" t="str">
        <f t="shared" si="135"/>
        <v>Dec</v>
      </c>
    </row>
    <row r="1039" spans="1:18" x14ac:dyDescent="0.3">
      <c r="A1039" t="s">
        <v>2647</v>
      </c>
      <c r="B1039" s="1">
        <v>45800</v>
      </c>
      <c r="C1039" t="s">
        <v>40</v>
      </c>
      <c r="D1039" t="s">
        <v>1467</v>
      </c>
      <c r="E1039" t="s">
        <v>1586</v>
      </c>
      <c r="F1039">
        <v>2.4936410034809202</v>
      </c>
      <c r="G1039" s="14">
        <v>489.44832645756799</v>
      </c>
      <c r="H1039" s="17">
        <v>0.15322212294729601</v>
      </c>
      <c r="I1039" t="s">
        <v>1614</v>
      </c>
      <c r="J1039" s="14">
        <v>1036.6696435209401</v>
      </c>
      <c r="K1039" s="14">
        <f t="shared" si="128"/>
        <v>312268.54883079621</v>
      </c>
      <c r="L1039" s="14">
        <f t="shared" si="129"/>
        <v>318</v>
      </c>
      <c r="M1039" s="14" t="str">
        <f t="shared" si="130"/>
        <v>23-05-2025</v>
      </c>
      <c r="N1039" s="14">
        <f t="shared" si="131"/>
        <v>0.15647129786560351</v>
      </c>
      <c r="O1039" s="20">
        <f t="shared" si="132"/>
        <v>2.5056963640796668</v>
      </c>
      <c r="P1039" s="14">
        <f t="shared" si="133"/>
        <v>464.57625393005139</v>
      </c>
      <c r="Q1039" s="14">
        <f t="shared" si="134"/>
        <v>382.19120827623408</v>
      </c>
      <c r="R1039" s="14" t="str">
        <f t="shared" si="135"/>
        <v>May</v>
      </c>
    </row>
    <row r="1040" spans="1:18" x14ac:dyDescent="0.3">
      <c r="A1040" t="s">
        <v>2648</v>
      </c>
      <c r="B1040" s="1">
        <v>45609</v>
      </c>
      <c r="C1040" t="s">
        <v>716</v>
      </c>
      <c r="D1040" t="s">
        <v>1499</v>
      </c>
      <c r="E1040" t="s">
        <v>1567</v>
      </c>
      <c r="F1040">
        <v>2.49366609268092</v>
      </c>
      <c r="G1040" s="14">
        <v>489.39656355948802</v>
      </c>
      <c r="H1040" s="17">
        <v>0.15322888501788601</v>
      </c>
      <c r="I1040" t="s">
        <v>1609</v>
      </c>
      <c r="J1040" s="14">
        <v>1036.56164706149</v>
      </c>
      <c r="K1040" s="14">
        <f t="shared" si="128"/>
        <v>312268.54883079621</v>
      </c>
      <c r="L1040" s="14">
        <f t="shared" si="129"/>
        <v>318</v>
      </c>
      <c r="M1040" s="14" t="str">
        <f t="shared" si="130"/>
        <v>13-11-2024</v>
      </c>
      <c r="N1040" s="14">
        <f t="shared" si="131"/>
        <v>0.15647467890089831</v>
      </c>
      <c r="O1040" s="20">
        <f t="shared" si="132"/>
        <v>2.505708908679666</v>
      </c>
      <c r="P1040" s="14">
        <f t="shared" si="133"/>
        <v>464.55037248101138</v>
      </c>
      <c r="Q1040" s="14">
        <f t="shared" si="134"/>
        <v>382.1512763996692</v>
      </c>
      <c r="R1040" s="14" t="str">
        <f t="shared" si="135"/>
        <v>Nov</v>
      </c>
    </row>
    <row r="1041" spans="1:18" x14ac:dyDescent="0.3">
      <c r="A1041" t="s">
        <v>2649</v>
      </c>
      <c r="B1041" s="1">
        <v>45268</v>
      </c>
      <c r="C1041" t="s">
        <v>402</v>
      </c>
      <c r="D1041" t="s">
        <v>1375</v>
      </c>
      <c r="E1041" t="s">
        <v>1546</v>
      </c>
      <c r="F1041">
        <v>2.4936911818809202</v>
      </c>
      <c r="G1041" s="14">
        <v>489.34480066140799</v>
      </c>
      <c r="H1041" s="17">
        <v>0.15323564708847601</v>
      </c>
      <c r="I1041" t="s">
        <v>1609</v>
      </c>
      <c r="J1041" s="14">
        <v>1036.4536506020399</v>
      </c>
      <c r="K1041" s="14">
        <f t="shared" si="128"/>
        <v>311231.98718373472</v>
      </c>
      <c r="L1041" s="14">
        <f t="shared" si="129"/>
        <v>317</v>
      </c>
      <c r="M1041" s="14" t="str">
        <f t="shared" si="130"/>
        <v>08-12-2023</v>
      </c>
      <c r="N1041" s="14">
        <f t="shared" si="131"/>
        <v>0.15647805993619313</v>
      </c>
      <c r="O1041" s="20">
        <f t="shared" si="132"/>
        <v>2.5057214532796643</v>
      </c>
      <c r="P1041" s="14">
        <f t="shared" si="133"/>
        <v>464.52449103197119</v>
      </c>
      <c r="Q1041" s="14">
        <f t="shared" si="134"/>
        <v>382.11134452310432</v>
      </c>
      <c r="R1041" s="14" t="str">
        <f t="shared" si="135"/>
        <v>Dec</v>
      </c>
    </row>
    <row r="1042" spans="1:18" x14ac:dyDescent="0.3">
      <c r="A1042" t="s">
        <v>2650</v>
      </c>
      <c r="B1042" s="1">
        <v>45885</v>
      </c>
      <c r="C1042" t="s">
        <v>582</v>
      </c>
      <c r="D1042" t="s">
        <v>1437</v>
      </c>
      <c r="E1042" t="s">
        <v>1567</v>
      </c>
      <c r="F1042">
        <v>2.4937162710809102</v>
      </c>
      <c r="G1042" s="14">
        <v>489.29303776332699</v>
      </c>
      <c r="H1042" s="17">
        <v>0.15324240915906501</v>
      </c>
      <c r="I1042" t="s">
        <v>1614</v>
      </c>
      <c r="J1042" s="14">
        <v>1036.3456541425901</v>
      </c>
      <c r="K1042" s="14">
        <f t="shared" si="128"/>
        <v>310195.53353313275</v>
      </c>
      <c r="L1042" s="14">
        <f t="shared" si="129"/>
        <v>316</v>
      </c>
      <c r="M1042" s="14" t="str">
        <f t="shared" si="130"/>
        <v>16-08-2025</v>
      </c>
      <c r="N1042" s="14">
        <f t="shared" si="131"/>
        <v>0.15648144097148792</v>
      </c>
      <c r="O1042" s="20">
        <f t="shared" si="132"/>
        <v>2.5057339978796631</v>
      </c>
      <c r="P1042" s="14">
        <f t="shared" si="133"/>
        <v>464.49860958293118</v>
      </c>
      <c r="Q1042" s="14">
        <f t="shared" si="134"/>
        <v>382.07141264653927</v>
      </c>
      <c r="R1042" s="14" t="str">
        <f t="shared" si="135"/>
        <v>Aug</v>
      </c>
    </row>
    <row r="1043" spans="1:18" x14ac:dyDescent="0.3">
      <c r="A1043" t="s">
        <v>2651</v>
      </c>
      <c r="B1043" s="1">
        <v>45616</v>
      </c>
      <c r="C1043" t="s">
        <v>809</v>
      </c>
      <c r="D1043" t="s">
        <v>1475</v>
      </c>
      <c r="E1043" t="s">
        <v>1571</v>
      </c>
      <c r="F1043">
        <v>2.49374136028091</v>
      </c>
      <c r="G1043" s="14">
        <v>489.24127486524702</v>
      </c>
      <c r="H1043" s="17">
        <v>0.15324917122965501</v>
      </c>
      <c r="I1043" t="s">
        <v>1611</v>
      </c>
      <c r="J1043" s="14">
        <v>1036.23765768314</v>
      </c>
      <c r="K1043" s="14">
        <f t="shared" si="128"/>
        <v>310195.53353313275</v>
      </c>
      <c r="L1043" s="14">
        <f t="shared" si="129"/>
        <v>316</v>
      </c>
      <c r="M1043" s="14" t="str">
        <f t="shared" si="130"/>
        <v>20-11-2024</v>
      </c>
      <c r="N1043" s="14">
        <f t="shared" si="131"/>
        <v>0.15648482200678271</v>
      </c>
      <c r="O1043" s="20">
        <f t="shared" si="132"/>
        <v>2.5057465424796614</v>
      </c>
      <c r="P1043" s="14">
        <f t="shared" si="133"/>
        <v>464.47272813389111</v>
      </c>
      <c r="Q1043" s="14">
        <f t="shared" si="134"/>
        <v>382.03148076997439</v>
      </c>
      <c r="R1043" s="14" t="str">
        <f t="shared" si="135"/>
        <v>Nov</v>
      </c>
    </row>
    <row r="1044" spans="1:18" x14ac:dyDescent="0.3">
      <c r="A1044" t="s">
        <v>2652</v>
      </c>
      <c r="B1044" s="1">
        <v>45518</v>
      </c>
      <c r="C1044" t="s">
        <v>1181</v>
      </c>
      <c r="D1044" t="s">
        <v>1515</v>
      </c>
      <c r="E1044" t="s">
        <v>1592</v>
      </c>
      <c r="F1044">
        <v>2.4937664494809102</v>
      </c>
      <c r="G1044" s="14">
        <v>489.18951196716699</v>
      </c>
      <c r="H1044" s="17">
        <v>0.15325593330024401</v>
      </c>
      <c r="I1044" t="s">
        <v>1611</v>
      </c>
      <c r="J1044" s="14">
        <v>1036.1296612236899</v>
      </c>
      <c r="K1044" s="14">
        <f t="shared" si="128"/>
        <v>310195.53353313275</v>
      </c>
      <c r="L1044" s="14">
        <f t="shared" si="129"/>
        <v>316</v>
      </c>
      <c r="M1044" s="14" t="str">
        <f t="shared" si="130"/>
        <v>14-08-2024</v>
      </c>
      <c r="N1044" s="14">
        <f t="shared" si="131"/>
        <v>0.15648820304207753</v>
      </c>
      <c r="O1044" s="20">
        <f t="shared" si="132"/>
        <v>2.5057590870796607</v>
      </c>
      <c r="P1044" s="14">
        <f t="shared" si="133"/>
        <v>464.44684668485104</v>
      </c>
      <c r="Q1044" s="14">
        <f t="shared" si="134"/>
        <v>381.99154889340952</v>
      </c>
      <c r="R1044" s="14" t="str">
        <f t="shared" si="135"/>
        <v>Aug</v>
      </c>
    </row>
    <row r="1045" spans="1:18" x14ac:dyDescent="0.3">
      <c r="A1045" t="s">
        <v>2653</v>
      </c>
      <c r="B1045" s="1">
        <v>45427</v>
      </c>
      <c r="C1045" t="s">
        <v>1224</v>
      </c>
      <c r="D1045" t="s">
        <v>1367</v>
      </c>
      <c r="E1045" t="s">
        <v>1595</v>
      </c>
      <c r="F1045">
        <v>2.49379153868091</v>
      </c>
      <c r="G1045" s="14">
        <v>489.13774906908702</v>
      </c>
      <c r="H1045" s="17">
        <v>0.15326269537083401</v>
      </c>
      <c r="I1045" t="s">
        <v>1611</v>
      </c>
      <c r="J1045" s="14">
        <v>1036.0216647642301</v>
      </c>
      <c r="K1045" s="14">
        <f t="shared" si="128"/>
        <v>310195.53353313275</v>
      </c>
      <c r="L1045" s="14">
        <f t="shared" si="129"/>
        <v>316</v>
      </c>
      <c r="M1045" s="14" t="str">
        <f t="shared" si="130"/>
        <v>15-05-2024</v>
      </c>
      <c r="N1045" s="14">
        <f t="shared" si="131"/>
        <v>0.15649158407737232</v>
      </c>
      <c r="O1045" s="20">
        <f t="shared" si="132"/>
        <v>2.505771631679659</v>
      </c>
      <c r="P1045" s="14">
        <f t="shared" si="133"/>
        <v>464.42096523581091</v>
      </c>
      <c r="Q1045" s="14">
        <f t="shared" si="134"/>
        <v>381.95161701684219</v>
      </c>
      <c r="R1045" s="14" t="str">
        <f t="shared" si="135"/>
        <v>May</v>
      </c>
    </row>
    <row r="1046" spans="1:18" x14ac:dyDescent="0.3">
      <c r="A1046" t="s">
        <v>2654</v>
      </c>
      <c r="B1046" s="1">
        <v>45268</v>
      </c>
      <c r="C1046" t="s">
        <v>1244</v>
      </c>
      <c r="D1046" t="s">
        <v>1425</v>
      </c>
      <c r="E1046" t="s">
        <v>1592</v>
      </c>
      <c r="F1046">
        <v>2.4938166278809</v>
      </c>
      <c r="G1046" s="14">
        <v>489.08598617100699</v>
      </c>
      <c r="H1046" s="17">
        <v>0.15326945744142401</v>
      </c>
      <c r="I1046" t="s">
        <v>1614</v>
      </c>
      <c r="J1046">
        <v>1035.91366830478</v>
      </c>
      <c r="K1046" s="14">
        <f t="shared" si="128"/>
        <v>310195.53353313275</v>
      </c>
      <c r="L1046" s="14">
        <f t="shared" si="129"/>
        <v>316</v>
      </c>
      <c r="M1046" s="14" t="str">
        <f t="shared" si="130"/>
        <v>08-12-2023</v>
      </c>
      <c r="N1046" s="14">
        <f t="shared" si="131"/>
        <v>0.15649496511266714</v>
      </c>
      <c r="O1046" s="20">
        <f t="shared" si="132"/>
        <v>2.5057841762796578</v>
      </c>
      <c r="P1046" s="14">
        <f t="shared" si="133"/>
        <v>464.39508378677078</v>
      </c>
      <c r="Q1046" s="14">
        <f t="shared" si="134"/>
        <v>381.91168514027731</v>
      </c>
      <c r="R1046" s="14" t="str">
        <f t="shared" si="135"/>
        <v>Dec</v>
      </c>
    </row>
    <row r="1047" spans="1:18" x14ac:dyDescent="0.3">
      <c r="A1047" t="s">
        <v>2655</v>
      </c>
      <c r="B1047" s="1">
        <v>45282</v>
      </c>
      <c r="C1047" t="s">
        <v>205</v>
      </c>
      <c r="D1047" t="s">
        <v>1509</v>
      </c>
      <c r="E1047" t="s">
        <v>1564</v>
      </c>
      <c r="F1047">
        <v>2.4938417170809002</v>
      </c>
      <c r="G1047" s="14">
        <v>489.03422327292702</v>
      </c>
      <c r="H1047" s="17">
        <v>0.15327621951201301</v>
      </c>
      <c r="I1047" t="s">
        <v>1614</v>
      </c>
      <c r="J1047" s="14">
        <v>1035.8056718453299</v>
      </c>
      <c r="K1047" s="14">
        <f t="shared" si="128"/>
        <v>310195.53353313275</v>
      </c>
      <c r="L1047" s="14">
        <f t="shared" si="129"/>
        <v>316</v>
      </c>
      <c r="M1047" s="14" t="str">
        <f t="shared" si="130"/>
        <v>22-12-2023</v>
      </c>
      <c r="N1047" s="14">
        <f t="shared" si="131"/>
        <v>0.15649834614796193</v>
      </c>
      <c r="O1047" s="20">
        <f t="shared" si="132"/>
        <v>2.5057967208796565</v>
      </c>
      <c r="P1047" s="14">
        <f t="shared" si="133"/>
        <v>464.36920233773071</v>
      </c>
      <c r="Q1047" s="14">
        <f t="shared" si="134"/>
        <v>381.87175326371244</v>
      </c>
      <c r="R1047" s="14" t="str">
        <f t="shared" si="135"/>
        <v>Dec</v>
      </c>
    </row>
    <row r="1048" spans="1:18" x14ac:dyDescent="0.3">
      <c r="A1048" t="s">
        <v>2656</v>
      </c>
      <c r="B1048" s="1">
        <v>45545</v>
      </c>
      <c r="C1048" t="s">
        <v>957</v>
      </c>
      <c r="D1048" t="s">
        <v>1373</v>
      </c>
      <c r="E1048" t="s">
        <v>1551</v>
      </c>
      <c r="F1048">
        <v>2.4938668062809</v>
      </c>
      <c r="G1048" s="14">
        <v>488.98246037484699</v>
      </c>
      <c r="H1048" s="17">
        <v>0.15328298158260301</v>
      </c>
      <c r="I1048" t="s">
        <v>1611</v>
      </c>
      <c r="J1048" s="14">
        <v>1035.6976753858801</v>
      </c>
      <c r="K1048" s="14">
        <f t="shared" si="128"/>
        <v>310195.53353313275</v>
      </c>
      <c r="L1048" s="14">
        <f t="shared" si="129"/>
        <v>316</v>
      </c>
      <c r="M1048" s="14" t="str">
        <f t="shared" si="130"/>
        <v>10-09-2024</v>
      </c>
      <c r="N1048" s="14">
        <f t="shared" si="131"/>
        <v>0.15650172718325672</v>
      </c>
      <c r="O1048" s="20">
        <f t="shared" si="132"/>
        <v>2.5058092654796553</v>
      </c>
      <c r="P1048" s="14">
        <f t="shared" si="133"/>
        <v>464.34332088869064</v>
      </c>
      <c r="Q1048" s="14">
        <f t="shared" si="134"/>
        <v>381.83182138714767</v>
      </c>
      <c r="R1048" s="14" t="str">
        <f t="shared" si="135"/>
        <v>Sep</v>
      </c>
    </row>
    <row r="1049" spans="1:18" x14ac:dyDescent="0.3">
      <c r="A1049" t="s">
        <v>2657</v>
      </c>
      <c r="B1049" s="1">
        <v>45755</v>
      </c>
      <c r="C1049" t="s">
        <v>1029</v>
      </c>
      <c r="D1049" t="s">
        <v>1331</v>
      </c>
      <c r="E1049" t="s">
        <v>1574</v>
      </c>
      <c r="F1049">
        <v>2.4938918954809002</v>
      </c>
      <c r="G1049" s="14">
        <v>488.930697476766</v>
      </c>
      <c r="H1049" s="17">
        <v>0.15328974365319201</v>
      </c>
      <c r="I1049" t="s">
        <v>1609</v>
      </c>
      <c r="J1049" s="14">
        <v>1035.58967892643</v>
      </c>
      <c r="K1049" s="14">
        <f t="shared" si="128"/>
        <v>310195.53353313275</v>
      </c>
      <c r="L1049" s="14">
        <f t="shared" si="129"/>
        <v>316</v>
      </c>
      <c r="M1049" s="14" t="str">
        <f t="shared" si="130"/>
        <v>08-04-2025</v>
      </c>
      <c r="N1049" s="14">
        <f t="shared" si="131"/>
        <v>0.15650510821855151</v>
      </c>
      <c r="O1049" s="20">
        <f t="shared" si="132"/>
        <v>2.5058218100796541</v>
      </c>
      <c r="P1049" s="14">
        <f t="shared" si="133"/>
        <v>464.31743943965057</v>
      </c>
      <c r="Q1049" s="14">
        <f t="shared" si="134"/>
        <v>381.79188951058251</v>
      </c>
      <c r="R1049" s="14" t="str">
        <f t="shared" si="135"/>
        <v>Apr</v>
      </c>
    </row>
    <row r="1050" spans="1:18" x14ac:dyDescent="0.3">
      <c r="A1050" t="s">
        <v>2658</v>
      </c>
      <c r="B1050" s="1">
        <v>45588</v>
      </c>
      <c r="C1050" t="s">
        <v>604</v>
      </c>
      <c r="D1050" t="s">
        <v>1409</v>
      </c>
      <c r="E1050" t="s">
        <v>1537</v>
      </c>
      <c r="F1050">
        <v>2.4939169846808902</v>
      </c>
      <c r="G1050" s="14">
        <v>488.87893457868603</v>
      </c>
      <c r="H1050" s="17">
        <v>0.15329650572378201</v>
      </c>
      <c r="I1050" t="s">
        <v>1611</v>
      </c>
      <c r="J1050" s="14">
        <v>1035.4816824669799</v>
      </c>
      <c r="K1050" s="14">
        <f t="shared" si="128"/>
        <v>309159.94385420624</v>
      </c>
      <c r="L1050" s="14">
        <f t="shared" si="129"/>
        <v>315</v>
      </c>
      <c r="M1050" s="14" t="str">
        <f t="shared" si="130"/>
        <v>23-10-2024</v>
      </c>
      <c r="N1050" s="14">
        <f t="shared" si="131"/>
        <v>0.15650848925384633</v>
      </c>
      <c r="O1050" s="20">
        <f t="shared" si="132"/>
        <v>2.5058343546796529</v>
      </c>
      <c r="P1050" s="14">
        <f t="shared" si="133"/>
        <v>464.29155799061039</v>
      </c>
      <c r="Q1050" s="14">
        <f t="shared" si="134"/>
        <v>381.75195763401769</v>
      </c>
      <c r="R1050" s="14" t="str">
        <f t="shared" si="135"/>
        <v>Oct</v>
      </c>
    </row>
    <row r="1051" spans="1:18" x14ac:dyDescent="0.3">
      <c r="A1051" t="s">
        <v>2659</v>
      </c>
      <c r="B1051" s="1">
        <v>45848</v>
      </c>
      <c r="C1051" t="s">
        <v>484</v>
      </c>
      <c r="D1051" t="s">
        <v>1367</v>
      </c>
      <c r="E1051" t="s">
        <v>1542</v>
      </c>
      <c r="F1051">
        <v>2.49394207388089</v>
      </c>
      <c r="G1051" s="14">
        <v>488.827171680606</v>
      </c>
      <c r="H1051" s="17">
        <v>0.15330326779437201</v>
      </c>
      <c r="I1051" t="s">
        <v>1614</v>
      </c>
      <c r="J1051" s="14">
        <v>1035.3736860075201</v>
      </c>
      <c r="K1051" s="14">
        <f t="shared" si="128"/>
        <v>309159.94385420624</v>
      </c>
      <c r="L1051" s="14">
        <f t="shared" si="129"/>
        <v>315</v>
      </c>
      <c r="M1051" s="14" t="str">
        <f t="shared" si="130"/>
        <v>10-07-2025</v>
      </c>
      <c r="N1051" s="14">
        <f t="shared" si="131"/>
        <v>0.15651187028914113</v>
      </c>
      <c r="O1051" s="20">
        <f t="shared" si="132"/>
        <v>2.5058468992796512</v>
      </c>
      <c r="P1051" s="14">
        <f t="shared" si="133"/>
        <v>464.26567654157037</v>
      </c>
      <c r="Q1051" s="14">
        <f t="shared" si="134"/>
        <v>381.71202575745031</v>
      </c>
      <c r="R1051" s="14" t="str">
        <f t="shared" si="135"/>
        <v>Jul</v>
      </c>
    </row>
    <row r="1052" spans="1:18" x14ac:dyDescent="0.3">
      <c r="A1052" t="s">
        <v>2660</v>
      </c>
      <c r="B1052" s="1">
        <v>45577</v>
      </c>
      <c r="C1052" t="s">
        <v>52</v>
      </c>
      <c r="D1052" t="s">
        <v>1399</v>
      </c>
      <c r="E1052" t="s">
        <v>1595</v>
      </c>
      <c r="F1052">
        <v>2.4939671630808902</v>
      </c>
      <c r="G1052" s="14">
        <v>488.77540878252597</v>
      </c>
      <c r="H1052" s="17">
        <v>0.15331002986496101</v>
      </c>
      <c r="I1052" t="s">
        <v>1614</v>
      </c>
      <c r="J1052" s="14">
        <v>1035.26568954807</v>
      </c>
      <c r="K1052" s="14">
        <f t="shared" si="128"/>
        <v>309159.94385420624</v>
      </c>
      <c r="L1052" s="14">
        <f t="shared" si="129"/>
        <v>315</v>
      </c>
      <c r="M1052" s="14" t="str">
        <f t="shared" si="130"/>
        <v>12-10-2024</v>
      </c>
      <c r="N1052" s="14">
        <f t="shared" si="131"/>
        <v>0.15651525132443594</v>
      </c>
      <c r="O1052" s="20">
        <f t="shared" si="132"/>
        <v>2.50585944387965</v>
      </c>
      <c r="P1052" s="14">
        <f t="shared" si="133"/>
        <v>464.2397950925303</v>
      </c>
      <c r="Q1052" s="14">
        <f t="shared" si="134"/>
        <v>381.67209388088543</v>
      </c>
      <c r="R1052" s="14" t="str">
        <f t="shared" si="135"/>
        <v>Oct</v>
      </c>
    </row>
    <row r="1053" spans="1:18" x14ac:dyDescent="0.3">
      <c r="A1053" t="s">
        <v>2661</v>
      </c>
      <c r="B1053" s="1">
        <v>45312</v>
      </c>
      <c r="C1053" t="s">
        <v>1227</v>
      </c>
      <c r="D1053" t="s">
        <v>1365</v>
      </c>
      <c r="E1053" t="s">
        <v>1542</v>
      </c>
      <c r="F1053">
        <v>2.4939922522808899</v>
      </c>
      <c r="G1053" s="14">
        <v>488.723645884446</v>
      </c>
      <c r="H1053" s="17">
        <v>0.15331679193555101</v>
      </c>
      <c r="I1053" t="s">
        <v>1611</v>
      </c>
      <c r="J1053" s="14">
        <v>1035.1576930886199</v>
      </c>
      <c r="K1053" s="14">
        <f t="shared" si="128"/>
        <v>309159.94385420624</v>
      </c>
      <c r="L1053" s="14">
        <f t="shared" si="129"/>
        <v>315</v>
      </c>
      <c r="M1053" s="14" t="str">
        <f t="shared" si="130"/>
        <v>21-01-2024</v>
      </c>
      <c r="N1053" s="14">
        <f t="shared" si="131"/>
        <v>0.15651863235973076</v>
      </c>
      <c r="O1053" s="20">
        <f t="shared" si="132"/>
        <v>2.5058719884796488</v>
      </c>
      <c r="P1053" s="14">
        <f t="shared" si="133"/>
        <v>464.21391364349017</v>
      </c>
      <c r="Q1053" s="14">
        <f t="shared" si="134"/>
        <v>381.63216200432061</v>
      </c>
      <c r="R1053" s="14" t="str">
        <f t="shared" si="135"/>
        <v>Jan</v>
      </c>
    </row>
    <row r="1054" spans="1:18" x14ac:dyDescent="0.3">
      <c r="A1054" t="s">
        <v>2662</v>
      </c>
      <c r="B1054" s="1">
        <v>45350</v>
      </c>
      <c r="C1054" t="s">
        <v>40</v>
      </c>
      <c r="D1054" t="s">
        <v>1505</v>
      </c>
      <c r="E1054" t="s">
        <v>1554</v>
      </c>
      <c r="F1054">
        <v>2.4940173414808799</v>
      </c>
      <c r="G1054" s="14">
        <v>488.67188298636597</v>
      </c>
      <c r="H1054" s="17">
        <v>0.15332355400614001</v>
      </c>
      <c r="I1054" t="s">
        <v>1609</v>
      </c>
      <c r="J1054" s="14">
        <v>1035.0496966291701</v>
      </c>
      <c r="K1054" s="14">
        <f t="shared" si="128"/>
        <v>309159.94385420624</v>
      </c>
      <c r="L1054" s="14">
        <f t="shared" si="129"/>
        <v>315</v>
      </c>
      <c r="M1054" s="14" t="str">
        <f t="shared" si="130"/>
        <v>28-02-2024</v>
      </c>
      <c r="N1054" s="14">
        <f t="shared" si="131"/>
        <v>0.15652201339502556</v>
      </c>
      <c r="O1054" s="20">
        <f t="shared" si="132"/>
        <v>2.5058845330796471</v>
      </c>
      <c r="P1054" s="14">
        <f t="shared" si="133"/>
        <v>464.18803219445016</v>
      </c>
      <c r="Q1054" s="14">
        <f t="shared" si="134"/>
        <v>381.59223012775578</v>
      </c>
      <c r="R1054" s="14" t="str">
        <f t="shared" si="135"/>
        <v>Feb</v>
      </c>
    </row>
    <row r="1055" spans="1:18" x14ac:dyDescent="0.3">
      <c r="A1055" t="s">
        <v>2663</v>
      </c>
      <c r="B1055" s="1">
        <v>45657</v>
      </c>
      <c r="C1055" t="s">
        <v>241</v>
      </c>
      <c r="D1055" t="s">
        <v>1371</v>
      </c>
      <c r="E1055" t="s">
        <v>1554</v>
      </c>
      <c r="F1055">
        <v>2.4940424306808802</v>
      </c>
      <c r="G1055" s="14">
        <v>488.62012008828498</v>
      </c>
      <c r="H1055" s="17">
        <v>0.15333031607673001</v>
      </c>
      <c r="I1055" t="s">
        <v>1611</v>
      </c>
      <c r="J1055" s="14">
        <v>1034.94170016972</v>
      </c>
      <c r="K1055" s="14">
        <f t="shared" si="128"/>
        <v>308124.89415757707</v>
      </c>
      <c r="L1055" s="14">
        <f t="shared" si="129"/>
        <v>314</v>
      </c>
      <c r="M1055" s="14" t="str">
        <f t="shared" si="130"/>
        <v>31-12-2024</v>
      </c>
      <c r="N1055" s="14">
        <f t="shared" si="131"/>
        <v>0.15652539443032037</v>
      </c>
      <c r="O1055" s="20">
        <f t="shared" si="132"/>
        <v>2.5058970776796459</v>
      </c>
      <c r="P1055" s="14">
        <f t="shared" si="133"/>
        <v>464.16215074541009</v>
      </c>
      <c r="Q1055" s="14">
        <f t="shared" si="134"/>
        <v>381.55229825119068</v>
      </c>
      <c r="R1055" s="14" t="str">
        <f t="shared" si="135"/>
        <v>Dec</v>
      </c>
    </row>
    <row r="1056" spans="1:18" x14ac:dyDescent="0.3">
      <c r="A1056" t="s">
        <v>2664</v>
      </c>
      <c r="B1056" s="1">
        <v>45530</v>
      </c>
      <c r="C1056" t="s">
        <v>942</v>
      </c>
      <c r="D1056" t="s">
        <v>1527</v>
      </c>
      <c r="E1056" t="s">
        <v>1598</v>
      </c>
      <c r="F1056">
        <v>2.4940675198808799</v>
      </c>
      <c r="G1056" s="14">
        <v>488.56835719020501</v>
      </c>
      <c r="H1056" s="17">
        <v>0.15333707814732001</v>
      </c>
      <c r="I1056" t="s">
        <v>1611</v>
      </c>
      <c r="J1056">
        <v>1034.8337037102599</v>
      </c>
      <c r="K1056" s="14">
        <f t="shared" si="128"/>
        <v>308124.89415757707</v>
      </c>
      <c r="L1056" s="14">
        <f t="shared" si="129"/>
        <v>314</v>
      </c>
      <c r="M1056" s="14" t="str">
        <f t="shared" si="130"/>
        <v>26-08-2024</v>
      </c>
      <c r="N1056" s="14">
        <f t="shared" si="131"/>
        <v>0.15652877546561517</v>
      </c>
      <c r="O1056" s="20">
        <f t="shared" si="132"/>
        <v>2.5059096222796451</v>
      </c>
      <c r="P1056" s="14">
        <f t="shared" si="133"/>
        <v>464.13626929637002</v>
      </c>
      <c r="Q1056" s="14">
        <f t="shared" si="134"/>
        <v>381.5123663746233</v>
      </c>
      <c r="R1056" s="14" t="str">
        <f t="shared" si="135"/>
        <v>Aug</v>
      </c>
    </row>
    <row r="1057" spans="1:18" x14ac:dyDescent="0.3">
      <c r="A1057" t="s">
        <v>2665</v>
      </c>
      <c r="B1057" s="1">
        <v>45556</v>
      </c>
      <c r="C1057" t="s">
        <v>1011</v>
      </c>
      <c r="D1057" t="s">
        <v>1531</v>
      </c>
      <c r="E1057" t="s">
        <v>1561</v>
      </c>
      <c r="F1057">
        <v>2.4940926090808802</v>
      </c>
      <c r="G1057" s="14">
        <v>488.51659429212498</v>
      </c>
      <c r="H1057" s="17">
        <v>0.15334384021790901</v>
      </c>
      <c r="I1057" t="s">
        <v>1614</v>
      </c>
      <c r="J1057" s="14">
        <v>1034.72570725081</v>
      </c>
      <c r="K1057" s="14">
        <f t="shared" si="128"/>
        <v>308124.89415757707</v>
      </c>
      <c r="L1057" s="14">
        <f t="shared" si="129"/>
        <v>314</v>
      </c>
      <c r="M1057" s="14" t="str">
        <f t="shared" si="130"/>
        <v>21-09-2024</v>
      </c>
      <c r="N1057" s="14">
        <f t="shared" si="131"/>
        <v>0.15653215650090996</v>
      </c>
      <c r="O1057" s="20">
        <f t="shared" si="132"/>
        <v>2.5059221668796439</v>
      </c>
      <c r="P1057" s="14">
        <f t="shared" si="133"/>
        <v>464.11038784732995</v>
      </c>
      <c r="Q1057" s="14">
        <f t="shared" si="134"/>
        <v>381.47243449805848</v>
      </c>
      <c r="R1057" s="14" t="str">
        <f t="shared" si="135"/>
        <v>Sep</v>
      </c>
    </row>
    <row r="1058" spans="1:18" x14ac:dyDescent="0.3">
      <c r="A1058" t="s">
        <v>2666</v>
      </c>
      <c r="B1058" s="1">
        <v>45523</v>
      </c>
      <c r="C1058" t="s">
        <v>782</v>
      </c>
      <c r="D1058" t="s">
        <v>1433</v>
      </c>
      <c r="E1058" t="s">
        <v>1574</v>
      </c>
      <c r="F1058">
        <v>2.4941176982808702</v>
      </c>
      <c r="G1058" s="14">
        <v>488.46483139404501</v>
      </c>
      <c r="H1058" s="17">
        <v>0.153350602288499</v>
      </c>
      <c r="I1058" t="s">
        <v>1614</v>
      </c>
      <c r="J1058" s="14">
        <v>1034.61771079136</v>
      </c>
      <c r="K1058" s="14">
        <f t="shared" si="128"/>
        <v>308124.89415757707</v>
      </c>
      <c r="L1058" s="14">
        <f t="shared" si="129"/>
        <v>314</v>
      </c>
      <c r="M1058" s="14" t="str">
        <f t="shared" si="130"/>
        <v>19-08-2024</v>
      </c>
      <c r="N1058" s="14">
        <f t="shared" si="131"/>
        <v>0.15653553753620478</v>
      </c>
      <c r="O1058" s="20">
        <f t="shared" si="132"/>
        <v>2.5059347114796422</v>
      </c>
      <c r="P1058" s="14">
        <f t="shared" si="133"/>
        <v>464.08450639828982</v>
      </c>
      <c r="Q1058" s="14">
        <f t="shared" si="134"/>
        <v>381.4325026214936</v>
      </c>
      <c r="R1058" s="14" t="str">
        <f t="shared" si="135"/>
        <v>Aug</v>
      </c>
    </row>
    <row r="1059" spans="1:18" x14ac:dyDescent="0.3">
      <c r="A1059" t="s">
        <v>2667</v>
      </c>
      <c r="B1059" s="1">
        <v>45587</v>
      </c>
      <c r="C1059" t="s">
        <v>911</v>
      </c>
      <c r="D1059" t="s">
        <v>1336</v>
      </c>
      <c r="E1059" t="s">
        <v>1551</v>
      </c>
      <c r="F1059">
        <v>2.4941427874808699</v>
      </c>
      <c r="G1059" s="14">
        <v>488.41306849596498</v>
      </c>
      <c r="H1059" s="17">
        <v>0.15335736435908801</v>
      </c>
      <c r="I1059" t="s">
        <v>1611</v>
      </c>
      <c r="J1059" s="14">
        <v>1034.5097143319099</v>
      </c>
      <c r="K1059" s="14">
        <f t="shared" si="128"/>
        <v>308124.89415757707</v>
      </c>
      <c r="L1059" s="14">
        <f t="shared" si="129"/>
        <v>314</v>
      </c>
      <c r="M1059" s="14" t="str">
        <f t="shared" si="130"/>
        <v>22-10-2024</v>
      </c>
      <c r="N1059" s="14">
        <f t="shared" si="131"/>
        <v>0.15653891857149957</v>
      </c>
      <c r="O1059" s="20">
        <f t="shared" si="132"/>
        <v>2.505947256079641</v>
      </c>
      <c r="P1059" s="14">
        <f t="shared" si="133"/>
        <v>464.05862494924975</v>
      </c>
      <c r="Q1059" s="14">
        <f t="shared" si="134"/>
        <v>381.39257074492872</v>
      </c>
      <c r="R1059" s="14" t="str">
        <f t="shared" si="135"/>
        <v>Oct</v>
      </c>
    </row>
    <row r="1060" spans="1:18" x14ac:dyDescent="0.3">
      <c r="A1060" t="s">
        <v>2668</v>
      </c>
      <c r="B1060" s="1">
        <v>45580</v>
      </c>
      <c r="C1060" t="s">
        <v>449</v>
      </c>
      <c r="D1060" t="s">
        <v>1445</v>
      </c>
      <c r="E1060" t="s">
        <v>1564</v>
      </c>
      <c r="F1060">
        <v>2.4941678766808701</v>
      </c>
      <c r="G1060" s="14">
        <v>488.36130559788501</v>
      </c>
      <c r="H1060" s="17">
        <v>0.153364126429678</v>
      </c>
      <c r="I1060" t="s">
        <v>1609</v>
      </c>
      <c r="J1060" s="14">
        <v>1034.40171787246</v>
      </c>
      <c r="K1060" s="14">
        <f t="shared" si="128"/>
        <v>308124.89415757707</v>
      </c>
      <c r="L1060" s="14">
        <f t="shared" si="129"/>
        <v>314</v>
      </c>
      <c r="M1060" s="14" t="str">
        <f t="shared" si="130"/>
        <v>15-10-2024</v>
      </c>
      <c r="N1060" s="14">
        <f t="shared" si="131"/>
        <v>0.15654229960679436</v>
      </c>
      <c r="O1060" s="20">
        <f t="shared" si="132"/>
        <v>2.5059598006796397</v>
      </c>
      <c r="P1060" s="14">
        <f t="shared" si="133"/>
        <v>464.03274350020968</v>
      </c>
      <c r="Q1060" s="14">
        <f t="shared" si="134"/>
        <v>381.3526388683639</v>
      </c>
      <c r="R1060" s="14" t="str">
        <f t="shared" si="135"/>
        <v>Oct</v>
      </c>
    </row>
    <row r="1061" spans="1:18" x14ac:dyDescent="0.3">
      <c r="A1061" t="s">
        <v>2669</v>
      </c>
      <c r="B1061" s="1">
        <v>45479</v>
      </c>
      <c r="C1061" t="s">
        <v>1023</v>
      </c>
      <c r="D1061" t="s">
        <v>1441</v>
      </c>
      <c r="E1061" t="s">
        <v>1551</v>
      </c>
      <c r="F1061">
        <v>2.4941929658808699</v>
      </c>
      <c r="G1061" s="14">
        <v>488.30954269980401</v>
      </c>
      <c r="H1061" s="17">
        <v>0.153370888500268</v>
      </c>
      <c r="I1061" t="s">
        <v>1614</v>
      </c>
      <c r="J1061" s="14">
        <v>1034.29372141301</v>
      </c>
      <c r="K1061" s="14">
        <f t="shared" si="128"/>
        <v>307090.4924397046</v>
      </c>
      <c r="L1061" s="14">
        <f t="shared" si="129"/>
        <v>313</v>
      </c>
      <c r="M1061" s="14" t="str">
        <f t="shared" si="130"/>
        <v>06-07-2024</v>
      </c>
      <c r="N1061" s="14">
        <f t="shared" si="131"/>
        <v>0.15654568064208915</v>
      </c>
      <c r="O1061" s="20">
        <f t="shared" si="132"/>
        <v>2.5059723452796381</v>
      </c>
      <c r="P1061" s="14">
        <f t="shared" si="133"/>
        <v>464.00686205116966</v>
      </c>
      <c r="Q1061" s="14">
        <f t="shared" si="134"/>
        <v>381.31270699179879</v>
      </c>
      <c r="R1061" s="14" t="str">
        <f t="shared" si="135"/>
        <v>Jul</v>
      </c>
    </row>
    <row r="1062" spans="1:18" x14ac:dyDescent="0.3">
      <c r="A1062" t="s">
        <v>2670</v>
      </c>
      <c r="B1062" s="1">
        <v>45677</v>
      </c>
      <c r="C1062" t="s">
        <v>1154</v>
      </c>
      <c r="D1062" t="s">
        <v>1399</v>
      </c>
      <c r="E1062" t="s">
        <v>1558</v>
      </c>
      <c r="F1062">
        <v>2.4942180550808599</v>
      </c>
      <c r="G1062" s="14">
        <v>488.25777980172398</v>
      </c>
      <c r="H1062" s="17">
        <v>0.153377650570857</v>
      </c>
      <c r="I1062" t="s">
        <v>1609</v>
      </c>
      <c r="J1062" s="14">
        <v>1034.1857249535501</v>
      </c>
      <c r="K1062" s="14">
        <f t="shared" si="128"/>
        <v>307090.4924397046</v>
      </c>
      <c r="L1062" s="14">
        <f t="shared" si="129"/>
        <v>313</v>
      </c>
      <c r="M1062" s="14" t="str">
        <f t="shared" si="130"/>
        <v>20-01-2025</v>
      </c>
      <c r="N1062" s="14">
        <f t="shared" si="131"/>
        <v>0.15654906167738397</v>
      </c>
      <c r="O1062" s="20">
        <f t="shared" si="132"/>
        <v>2.5059848898796364</v>
      </c>
      <c r="P1062" s="14">
        <f t="shared" si="133"/>
        <v>463.98098060212953</v>
      </c>
      <c r="Q1062" s="14">
        <f t="shared" si="134"/>
        <v>381.27277511523147</v>
      </c>
      <c r="R1062" s="14" t="str">
        <f t="shared" si="135"/>
        <v>Jan</v>
      </c>
    </row>
    <row r="1063" spans="1:18" x14ac:dyDescent="0.3">
      <c r="A1063" t="s">
        <v>2671</v>
      </c>
      <c r="B1063" s="1">
        <v>45453</v>
      </c>
      <c r="C1063" t="s">
        <v>304</v>
      </c>
      <c r="D1063" t="s">
        <v>1383</v>
      </c>
      <c r="E1063" t="s">
        <v>1582</v>
      </c>
      <c r="F1063">
        <v>2.4942431442808601</v>
      </c>
      <c r="G1063" s="14">
        <v>488.20601690364401</v>
      </c>
      <c r="H1063" s="17">
        <v>0.153384412641447</v>
      </c>
      <c r="I1063" t="s">
        <v>1611</v>
      </c>
      <c r="J1063" s="14">
        <v>1034.0777284941</v>
      </c>
      <c r="K1063" s="14">
        <f t="shared" si="128"/>
        <v>306056.306714751</v>
      </c>
      <c r="L1063" s="14">
        <f t="shared" si="129"/>
        <v>312</v>
      </c>
      <c r="M1063" s="14" t="str">
        <f t="shared" si="130"/>
        <v>10-06-2024</v>
      </c>
      <c r="N1063" s="14">
        <f t="shared" si="131"/>
        <v>0.15655244271267876</v>
      </c>
      <c r="O1063" s="20">
        <f t="shared" si="132"/>
        <v>2.5059974344796356</v>
      </c>
      <c r="P1063" s="14">
        <f t="shared" si="133"/>
        <v>463.95509915308946</v>
      </c>
      <c r="Q1063" s="14">
        <f t="shared" si="134"/>
        <v>381.23284323866659</v>
      </c>
      <c r="R1063" s="14" t="str">
        <f t="shared" si="135"/>
        <v>Jun</v>
      </c>
    </row>
    <row r="1064" spans="1:18" x14ac:dyDescent="0.3">
      <c r="A1064" t="s">
        <v>2672</v>
      </c>
      <c r="B1064" s="1">
        <v>45552</v>
      </c>
      <c r="C1064" t="s">
        <v>347</v>
      </c>
      <c r="D1064" t="s">
        <v>1493</v>
      </c>
      <c r="E1064" t="s">
        <v>1579</v>
      </c>
      <c r="F1064">
        <v>2.4942682334808599</v>
      </c>
      <c r="G1064" s="14">
        <v>488.15425400556398</v>
      </c>
      <c r="H1064" s="17">
        <v>0.153391174712037</v>
      </c>
      <c r="I1064" t="s">
        <v>1611</v>
      </c>
      <c r="J1064" s="14">
        <v>1033.96973203465</v>
      </c>
      <c r="K1064" s="14">
        <f t="shared" si="128"/>
        <v>306056.306714751</v>
      </c>
      <c r="L1064" s="14">
        <f t="shared" si="129"/>
        <v>312</v>
      </c>
      <c r="M1064" s="14" t="str">
        <f t="shared" si="130"/>
        <v>17-09-2024</v>
      </c>
      <c r="N1064" s="14">
        <f t="shared" si="131"/>
        <v>0.15655582374797355</v>
      </c>
      <c r="O1064" s="20">
        <f t="shared" si="132"/>
        <v>2.506009979079634</v>
      </c>
      <c r="P1064" s="14">
        <f t="shared" si="133"/>
        <v>463.92921770404939</v>
      </c>
      <c r="Q1064" s="14">
        <f t="shared" si="134"/>
        <v>381.19291136210171</v>
      </c>
      <c r="R1064" s="14" t="str">
        <f t="shared" si="135"/>
        <v>Sep</v>
      </c>
    </row>
    <row r="1065" spans="1:18" x14ac:dyDescent="0.3">
      <c r="A1065" t="s">
        <v>2673</v>
      </c>
      <c r="B1065" s="1">
        <v>45907</v>
      </c>
      <c r="C1065" t="s">
        <v>601</v>
      </c>
      <c r="D1065" t="s">
        <v>1401</v>
      </c>
      <c r="E1065" t="s">
        <v>1554</v>
      </c>
      <c r="F1065">
        <v>2.4942933226808499</v>
      </c>
      <c r="G1065" s="14">
        <v>488.10249110748401</v>
      </c>
      <c r="H1065" s="17">
        <v>0.153397936782626</v>
      </c>
      <c r="I1065" t="s">
        <v>1611</v>
      </c>
      <c r="J1065" s="14">
        <v>1033.8617355752001</v>
      </c>
      <c r="K1065" s="14">
        <f t="shared" si="128"/>
        <v>306056.306714751</v>
      </c>
      <c r="L1065" s="14">
        <f t="shared" si="129"/>
        <v>312</v>
      </c>
      <c r="M1065" s="14" t="str">
        <f t="shared" si="130"/>
        <v>07-09-2025</v>
      </c>
      <c r="N1065" s="14">
        <f t="shared" si="131"/>
        <v>0.1565592047832684</v>
      </c>
      <c r="O1065" s="20">
        <f t="shared" si="132"/>
        <v>2.5060225236796327</v>
      </c>
      <c r="P1065" s="14">
        <f t="shared" si="133"/>
        <v>463.90333625500932</v>
      </c>
      <c r="Q1065" s="14">
        <f t="shared" si="134"/>
        <v>381.15297948553689</v>
      </c>
      <c r="R1065" s="14" t="str">
        <f t="shared" si="135"/>
        <v>Sep</v>
      </c>
    </row>
    <row r="1066" spans="1:18" x14ac:dyDescent="0.3">
      <c r="A1066" t="s">
        <v>2674</v>
      </c>
      <c r="B1066" s="1">
        <v>45330</v>
      </c>
      <c r="C1066" t="s">
        <v>121</v>
      </c>
      <c r="D1066" t="s">
        <v>1505</v>
      </c>
      <c r="E1066" t="s">
        <v>1577</v>
      </c>
      <c r="F1066">
        <v>2.4943184118808501</v>
      </c>
      <c r="G1066" s="14">
        <v>488.05072820940399</v>
      </c>
      <c r="H1066" s="17">
        <v>0.153404698853216</v>
      </c>
      <c r="I1066" t="s">
        <v>1614</v>
      </c>
      <c r="J1066" s="14">
        <v>1033.75373911575</v>
      </c>
      <c r="K1066" s="14">
        <f t="shared" si="128"/>
        <v>306056.306714751</v>
      </c>
      <c r="L1066" s="14">
        <f t="shared" si="129"/>
        <v>312</v>
      </c>
      <c r="M1066" s="14" t="str">
        <f t="shared" si="130"/>
        <v>08-02-2024</v>
      </c>
      <c r="N1066" s="14">
        <f t="shared" si="131"/>
        <v>0.15656258581856322</v>
      </c>
      <c r="O1066" s="20">
        <f t="shared" si="132"/>
        <v>2.5060350682796311</v>
      </c>
      <c r="P1066" s="14">
        <f t="shared" si="133"/>
        <v>463.87745480596925</v>
      </c>
      <c r="Q1066" s="14">
        <f t="shared" si="134"/>
        <v>381.11304760897201</v>
      </c>
      <c r="R1066" s="14" t="str">
        <f t="shared" si="135"/>
        <v>Feb</v>
      </c>
    </row>
    <row r="1067" spans="1:18" x14ac:dyDescent="0.3">
      <c r="A1067" t="s">
        <v>2675</v>
      </c>
      <c r="B1067" s="1">
        <v>45214</v>
      </c>
      <c r="C1067" t="s">
        <v>20</v>
      </c>
      <c r="D1067" t="s">
        <v>1491</v>
      </c>
      <c r="E1067" t="s">
        <v>1592</v>
      </c>
      <c r="F1067">
        <v>2.4943435010808499</v>
      </c>
      <c r="G1067" s="14">
        <v>487.99896531132299</v>
      </c>
      <c r="H1067" s="17">
        <v>0.153411460923805</v>
      </c>
      <c r="I1067" t="s">
        <v>1609</v>
      </c>
      <c r="J1067" s="14">
        <v>1033.6457426562999</v>
      </c>
      <c r="K1067" s="14">
        <f t="shared" si="128"/>
        <v>306056.306714751</v>
      </c>
      <c r="L1067" s="14">
        <f t="shared" si="129"/>
        <v>312</v>
      </c>
      <c r="M1067" s="14" t="str">
        <f t="shared" si="130"/>
        <v>15-10-2023</v>
      </c>
      <c r="N1067" s="14">
        <f t="shared" si="131"/>
        <v>0.15656596685385799</v>
      </c>
      <c r="O1067" s="20">
        <f t="shared" si="132"/>
        <v>2.5060476128796298</v>
      </c>
      <c r="P1067" s="14">
        <f t="shared" si="133"/>
        <v>463.85157335692918</v>
      </c>
      <c r="Q1067" s="14">
        <f t="shared" si="134"/>
        <v>381.0731157324069</v>
      </c>
      <c r="R1067" s="14" t="str">
        <f t="shared" si="135"/>
        <v>Oct</v>
      </c>
    </row>
    <row r="1068" spans="1:18" x14ac:dyDescent="0.3">
      <c r="A1068" t="s">
        <v>2676</v>
      </c>
      <c r="B1068" s="1">
        <v>45891</v>
      </c>
      <c r="C1068" t="s">
        <v>857</v>
      </c>
      <c r="D1068" t="s">
        <v>1371</v>
      </c>
      <c r="E1068" t="s">
        <v>1595</v>
      </c>
      <c r="F1068">
        <v>2.4943685902808501</v>
      </c>
      <c r="G1068" s="14">
        <v>487.94720241324302</v>
      </c>
      <c r="H1068" s="17">
        <v>0.153418222994395</v>
      </c>
      <c r="I1068" t="s">
        <v>1614</v>
      </c>
      <c r="J1068" s="14">
        <v>1033.5377461968401</v>
      </c>
      <c r="K1068" s="14">
        <f t="shared" si="128"/>
        <v>305022.66097209463</v>
      </c>
      <c r="L1068" s="14">
        <f t="shared" si="129"/>
        <v>311</v>
      </c>
      <c r="M1068" s="14" t="str">
        <f t="shared" si="130"/>
        <v>22-08-2025</v>
      </c>
      <c r="N1068" s="14">
        <f t="shared" si="131"/>
        <v>0.1565693478891528</v>
      </c>
      <c r="O1068" s="20">
        <f t="shared" si="132"/>
        <v>2.5060601574796286</v>
      </c>
      <c r="P1068" s="14">
        <f t="shared" si="133"/>
        <v>463.82569190788911</v>
      </c>
      <c r="Q1068" s="14">
        <f t="shared" si="134"/>
        <v>381.03318385583958</v>
      </c>
      <c r="R1068" s="14" t="str">
        <f t="shared" si="135"/>
        <v>Aug</v>
      </c>
    </row>
    <row r="1069" spans="1:18" x14ac:dyDescent="0.3">
      <c r="A1069" t="s">
        <v>2677</v>
      </c>
      <c r="B1069" s="1">
        <v>45323</v>
      </c>
      <c r="C1069" t="s">
        <v>1062</v>
      </c>
      <c r="D1069" t="s">
        <v>1505</v>
      </c>
      <c r="E1069" t="s">
        <v>1564</v>
      </c>
      <c r="F1069">
        <v>2.4943936794808401</v>
      </c>
      <c r="G1069" s="14">
        <v>487.89543951516299</v>
      </c>
      <c r="H1069" s="17">
        <v>0.153424985064985</v>
      </c>
      <c r="I1069" t="s">
        <v>1611</v>
      </c>
      <c r="J1069" s="14">
        <v>1033.42974973739</v>
      </c>
      <c r="K1069" s="14">
        <f t="shared" si="128"/>
        <v>305022.66097209463</v>
      </c>
      <c r="L1069" s="14">
        <f t="shared" si="129"/>
        <v>311</v>
      </c>
      <c r="M1069" s="14" t="str">
        <f t="shared" si="130"/>
        <v>01-02-2024</v>
      </c>
      <c r="N1069" s="14">
        <f t="shared" si="131"/>
        <v>0.15657272892444762</v>
      </c>
      <c r="O1069" s="20">
        <f t="shared" si="132"/>
        <v>2.5060727020796274</v>
      </c>
      <c r="P1069" s="14">
        <f t="shared" si="133"/>
        <v>463.79981045884904</v>
      </c>
      <c r="Q1069" s="14">
        <f t="shared" si="134"/>
        <v>380.9932519792747</v>
      </c>
      <c r="R1069" s="14" t="str">
        <f t="shared" si="135"/>
        <v>Feb</v>
      </c>
    </row>
    <row r="1070" spans="1:18" x14ac:dyDescent="0.3">
      <c r="A1070" t="s">
        <v>2678</v>
      </c>
      <c r="B1070" s="1">
        <v>45785</v>
      </c>
      <c r="C1070" t="s">
        <v>160</v>
      </c>
      <c r="D1070" t="s">
        <v>1377</v>
      </c>
      <c r="E1070" t="s">
        <v>1582</v>
      </c>
      <c r="F1070">
        <v>2.4944187686808399</v>
      </c>
      <c r="G1070" s="14">
        <v>487.84367661708302</v>
      </c>
      <c r="H1070" s="17">
        <v>0.153431747135574</v>
      </c>
      <c r="I1070" t="s">
        <v>1609</v>
      </c>
      <c r="J1070" s="14">
        <v>1033.3217532779399</v>
      </c>
      <c r="K1070" s="14">
        <f t="shared" si="128"/>
        <v>305022.66097209463</v>
      </c>
      <c r="L1070" s="14">
        <f t="shared" si="129"/>
        <v>311</v>
      </c>
      <c r="M1070" s="14" t="str">
        <f t="shared" si="130"/>
        <v>08-05-2025</v>
      </c>
      <c r="N1070" s="14">
        <f t="shared" si="131"/>
        <v>0.15657610995974242</v>
      </c>
      <c r="O1070" s="20">
        <f t="shared" si="132"/>
        <v>2.5060852466796262</v>
      </c>
      <c r="P1070" s="14">
        <f t="shared" si="133"/>
        <v>463.77392900980902</v>
      </c>
      <c r="Q1070" s="14">
        <f t="shared" si="134"/>
        <v>380.95332010270982</v>
      </c>
      <c r="R1070" s="14" t="str">
        <f t="shared" si="135"/>
        <v>May</v>
      </c>
    </row>
    <row r="1071" spans="1:18" x14ac:dyDescent="0.3">
      <c r="A1071" t="s">
        <v>2679</v>
      </c>
      <c r="B1071" s="1">
        <v>45738</v>
      </c>
      <c r="C1071" t="s">
        <v>696</v>
      </c>
      <c r="D1071" t="s">
        <v>1515</v>
      </c>
      <c r="E1071" t="s">
        <v>1537</v>
      </c>
      <c r="F1071">
        <v>2.4944438578808401</v>
      </c>
      <c r="G1071" s="14">
        <v>487.79191371900299</v>
      </c>
      <c r="H1071" s="17">
        <v>0.153438509206164</v>
      </c>
      <c r="I1071" t="s">
        <v>1614</v>
      </c>
      <c r="J1071" s="14">
        <v>1033.2137568184901</v>
      </c>
      <c r="K1071" s="14">
        <f t="shared" si="128"/>
        <v>303989.33921881678</v>
      </c>
      <c r="L1071" s="14">
        <f t="shared" si="129"/>
        <v>310</v>
      </c>
      <c r="M1071" s="14" t="str">
        <f t="shared" si="130"/>
        <v>22-03-2025</v>
      </c>
      <c r="N1071" s="14">
        <f t="shared" si="131"/>
        <v>0.15657949099503721</v>
      </c>
      <c r="O1071" s="20">
        <f t="shared" si="132"/>
        <v>2.506097791279625</v>
      </c>
      <c r="P1071" s="14">
        <f t="shared" si="133"/>
        <v>463.74804756076895</v>
      </c>
      <c r="Q1071" s="14">
        <f t="shared" si="134"/>
        <v>380.913388226145</v>
      </c>
      <c r="R1071" s="14" t="str">
        <f t="shared" si="135"/>
        <v>Mar</v>
      </c>
    </row>
    <row r="1072" spans="1:18" x14ac:dyDescent="0.3">
      <c r="A1072" t="s">
        <v>2680</v>
      </c>
      <c r="B1072" s="1">
        <v>45851</v>
      </c>
      <c r="C1072" t="s">
        <v>40</v>
      </c>
      <c r="D1072" t="s">
        <v>1417</v>
      </c>
      <c r="E1072" t="s">
        <v>1567</v>
      </c>
      <c r="F1072">
        <v>2.4944689470808399</v>
      </c>
      <c r="G1072" s="14">
        <v>487.74015082092302</v>
      </c>
      <c r="H1072" s="17">
        <v>0.153445271276753</v>
      </c>
      <c r="I1072" t="s">
        <v>1609</v>
      </c>
      <c r="J1072" s="14">
        <v>1033.10576035904</v>
      </c>
      <c r="K1072" s="14">
        <f t="shared" si="128"/>
        <v>303989.33921881678</v>
      </c>
      <c r="L1072" s="14">
        <f t="shared" si="129"/>
        <v>310</v>
      </c>
      <c r="M1072" s="14" t="str">
        <f t="shared" si="130"/>
        <v>13-07-2025</v>
      </c>
      <c r="N1072" s="14">
        <f t="shared" si="131"/>
        <v>0.15658287203033203</v>
      </c>
      <c r="O1072" s="20">
        <f t="shared" si="132"/>
        <v>2.5061103358796233</v>
      </c>
      <c r="P1072" s="14">
        <f t="shared" si="133"/>
        <v>463.72216611172882</v>
      </c>
      <c r="Q1072" s="14">
        <f t="shared" si="134"/>
        <v>380.87345634958018</v>
      </c>
      <c r="R1072" s="14" t="str">
        <f t="shared" si="135"/>
        <v>Jul</v>
      </c>
    </row>
    <row r="1073" spans="1:18" x14ac:dyDescent="0.3">
      <c r="A1073" t="s">
        <v>2681</v>
      </c>
      <c r="B1073" s="1">
        <v>45798</v>
      </c>
      <c r="C1073" t="s">
        <v>414</v>
      </c>
      <c r="D1073" t="s">
        <v>1513</v>
      </c>
      <c r="E1073" t="s">
        <v>1551</v>
      </c>
      <c r="F1073">
        <v>2.4944940362808299</v>
      </c>
      <c r="G1073" s="14">
        <v>487.68838792284299</v>
      </c>
      <c r="H1073" s="17">
        <v>0.153452033347343</v>
      </c>
      <c r="I1073" t="s">
        <v>1611</v>
      </c>
      <c r="J1073" s="14">
        <v>1032.9977638995899</v>
      </c>
      <c r="K1073" s="14">
        <f t="shared" si="128"/>
        <v>302956.23345845775</v>
      </c>
      <c r="L1073" s="14">
        <f t="shared" si="129"/>
        <v>309</v>
      </c>
      <c r="M1073" s="14" t="str">
        <f t="shared" si="130"/>
        <v>21-05-2025</v>
      </c>
      <c r="N1073" s="14">
        <f t="shared" si="131"/>
        <v>0.15658625306562682</v>
      </c>
      <c r="O1073" s="20">
        <f t="shared" si="132"/>
        <v>2.5061228804796225</v>
      </c>
      <c r="P1073" s="14">
        <f t="shared" si="133"/>
        <v>463.69628466268875</v>
      </c>
      <c r="Q1073" s="14">
        <f t="shared" si="134"/>
        <v>380.83352447301525</v>
      </c>
      <c r="R1073" s="14" t="str">
        <f t="shared" si="135"/>
        <v>May</v>
      </c>
    </row>
    <row r="1074" spans="1:18" x14ac:dyDescent="0.3">
      <c r="A1074" t="s">
        <v>2682</v>
      </c>
      <c r="B1074" s="1">
        <v>45705</v>
      </c>
      <c r="C1074" t="s">
        <v>314</v>
      </c>
      <c r="D1074" t="s">
        <v>1485</v>
      </c>
      <c r="E1074" t="s">
        <v>1582</v>
      </c>
      <c r="F1074">
        <v>2.4945191254808301</v>
      </c>
      <c r="G1074" s="14">
        <v>487.636625024762</v>
      </c>
      <c r="H1074" s="17">
        <v>0.153458795417933</v>
      </c>
      <c r="I1074" t="s">
        <v>1609</v>
      </c>
      <c r="J1074" s="14">
        <v>1032.8897674401301</v>
      </c>
      <c r="K1074" s="14">
        <f t="shared" si="128"/>
        <v>302956.23345845775</v>
      </c>
      <c r="L1074" s="14">
        <f t="shared" si="129"/>
        <v>309</v>
      </c>
      <c r="M1074" s="14" t="str">
        <f t="shared" si="130"/>
        <v>17-02-2025</v>
      </c>
      <c r="N1074" s="14">
        <f t="shared" si="131"/>
        <v>0.15658963410092164</v>
      </c>
      <c r="O1074" s="20">
        <f t="shared" si="132"/>
        <v>2.5061354250796208</v>
      </c>
      <c r="P1074" s="14">
        <f t="shared" si="133"/>
        <v>463.67040321364868</v>
      </c>
      <c r="Q1074" s="14">
        <f t="shared" si="134"/>
        <v>380.7935925964477</v>
      </c>
      <c r="R1074" s="14" t="str">
        <f t="shared" si="135"/>
        <v>Feb</v>
      </c>
    </row>
    <row r="1075" spans="1:18" x14ac:dyDescent="0.3">
      <c r="A1075" t="s">
        <v>2683</v>
      </c>
      <c r="B1075" s="1">
        <v>45413</v>
      </c>
      <c r="C1075" t="s">
        <v>1288</v>
      </c>
      <c r="D1075" t="s">
        <v>1387</v>
      </c>
      <c r="E1075" t="s">
        <v>1574</v>
      </c>
      <c r="F1075">
        <v>2.4945442146808299</v>
      </c>
      <c r="G1075" s="14">
        <v>487.58486212668203</v>
      </c>
      <c r="H1075" s="17">
        <v>0.153465557488522</v>
      </c>
      <c r="I1075" t="s">
        <v>1611</v>
      </c>
      <c r="J1075" s="14">
        <v>1032.78177098068</v>
      </c>
      <c r="K1075" s="14">
        <f t="shared" si="128"/>
        <v>301923.34369101754</v>
      </c>
      <c r="L1075" s="14">
        <f t="shared" si="129"/>
        <v>308</v>
      </c>
      <c r="M1075" s="14" t="str">
        <f t="shared" si="130"/>
        <v>01-05-2024</v>
      </c>
      <c r="N1075" s="14">
        <f t="shared" si="131"/>
        <v>0.15659301513621646</v>
      </c>
      <c r="O1075" s="20">
        <f t="shared" si="132"/>
        <v>2.5061479696796196</v>
      </c>
      <c r="P1075" s="14">
        <f t="shared" si="133"/>
        <v>463.64452176460856</v>
      </c>
      <c r="Q1075" s="14">
        <f t="shared" si="134"/>
        <v>380.75366071988287</v>
      </c>
      <c r="R1075" s="14" t="str">
        <f t="shared" si="135"/>
        <v>May</v>
      </c>
    </row>
    <row r="1076" spans="1:18" x14ac:dyDescent="0.3">
      <c r="A1076" t="s">
        <v>2684</v>
      </c>
      <c r="B1076" s="1">
        <v>45482</v>
      </c>
      <c r="C1076" t="s">
        <v>511</v>
      </c>
      <c r="D1076" t="s">
        <v>1515</v>
      </c>
      <c r="E1076" t="s">
        <v>1554</v>
      </c>
      <c r="F1076">
        <v>2.4945693038808301</v>
      </c>
      <c r="G1076" s="14">
        <v>487.533099228602</v>
      </c>
      <c r="H1076" s="17">
        <v>0.153472319559112</v>
      </c>
      <c r="I1076" t="s">
        <v>1611</v>
      </c>
      <c r="J1076" s="14">
        <v>1032.6737745212299</v>
      </c>
      <c r="K1076" s="14">
        <f t="shared" si="128"/>
        <v>301923.34369101754</v>
      </c>
      <c r="L1076" s="14">
        <f t="shared" si="129"/>
        <v>308</v>
      </c>
      <c r="M1076" s="14" t="str">
        <f t="shared" si="130"/>
        <v>09-07-2024</v>
      </c>
      <c r="N1076" s="14">
        <f t="shared" si="131"/>
        <v>0.15659639617151125</v>
      </c>
      <c r="O1076" s="20">
        <f t="shared" si="132"/>
        <v>2.5061605142796184</v>
      </c>
      <c r="P1076" s="14">
        <f t="shared" si="133"/>
        <v>463.61864031556848</v>
      </c>
      <c r="Q1076" s="14">
        <f t="shared" si="134"/>
        <v>380.71372884331799</v>
      </c>
      <c r="R1076" s="14" t="str">
        <f t="shared" si="135"/>
        <v>Jul</v>
      </c>
    </row>
    <row r="1077" spans="1:18" x14ac:dyDescent="0.3">
      <c r="A1077" t="s">
        <v>2685</v>
      </c>
      <c r="B1077" s="1">
        <v>45925</v>
      </c>
      <c r="C1077" t="s">
        <v>821</v>
      </c>
      <c r="D1077" t="s">
        <v>1503</v>
      </c>
      <c r="E1077" t="s">
        <v>1564</v>
      </c>
      <c r="F1077">
        <v>2.4945943930808201</v>
      </c>
      <c r="G1077" s="14">
        <v>487.48133633052203</v>
      </c>
      <c r="H1077" s="17">
        <v>0.153479081629701</v>
      </c>
      <c r="I1077" t="s">
        <v>1611</v>
      </c>
      <c r="J1077" s="14">
        <v>1032.5657780617801</v>
      </c>
      <c r="K1077" s="14">
        <f t="shared" si="128"/>
        <v>301923.34369101754</v>
      </c>
      <c r="L1077" s="14">
        <f t="shared" si="129"/>
        <v>308</v>
      </c>
      <c r="M1077" s="14" t="str">
        <f t="shared" si="130"/>
        <v>25-09-2025</v>
      </c>
      <c r="N1077" s="14">
        <f t="shared" si="131"/>
        <v>0.15659977720680607</v>
      </c>
      <c r="O1077" s="20">
        <f t="shared" si="132"/>
        <v>2.5061730588796172</v>
      </c>
      <c r="P1077" s="14">
        <f t="shared" si="133"/>
        <v>463.59275886652841</v>
      </c>
      <c r="Q1077" s="14">
        <f t="shared" si="134"/>
        <v>380.67379696675317</v>
      </c>
      <c r="R1077" s="14" t="str">
        <f t="shared" si="135"/>
        <v>Sep</v>
      </c>
    </row>
    <row r="1078" spans="1:18" x14ac:dyDescent="0.3">
      <c r="A1078" t="s">
        <v>2686</v>
      </c>
      <c r="B1078" s="1">
        <v>45420</v>
      </c>
      <c r="C1078" t="s">
        <v>1240</v>
      </c>
      <c r="D1078" t="s">
        <v>1336</v>
      </c>
      <c r="E1078" t="s">
        <v>1567</v>
      </c>
      <c r="F1078">
        <v>2.4946194822808199</v>
      </c>
      <c r="G1078" s="14">
        <v>487.429573432442</v>
      </c>
      <c r="H1078" s="17">
        <v>0.153485843700291</v>
      </c>
      <c r="I1078" t="s">
        <v>1609</v>
      </c>
      <c r="J1078" s="14">
        <v>1032.45778160233</v>
      </c>
      <c r="K1078" s="14">
        <f t="shared" si="128"/>
        <v>301923.34369101754</v>
      </c>
      <c r="L1078" s="14">
        <f t="shared" si="129"/>
        <v>308</v>
      </c>
      <c r="M1078" s="14" t="str">
        <f t="shared" si="130"/>
        <v>08-05-2024</v>
      </c>
      <c r="N1078" s="14">
        <f t="shared" si="131"/>
        <v>0.15660315824210086</v>
      </c>
      <c r="O1078" s="20">
        <f t="shared" si="132"/>
        <v>2.5061856034796155</v>
      </c>
      <c r="P1078" s="14">
        <f t="shared" si="133"/>
        <v>463.56687741748834</v>
      </c>
      <c r="Q1078" s="14">
        <f t="shared" si="134"/>
        <v>380.63386509018829</v>
      </c>
      <c r="R1078" s="14" t="str">
        <f t="shared" si="135"/>
        <v>May</v>
      </c>
    </row>
    <row r="1079" spans="1:18" x14ac:dyDescent="0.3">
      <c r="A1079" t="s">
        <v>2687</v>
      </c>
      <c r="B1079" s="1">
        <v>45554</v>
      </c>
      <c r="C1079" t="s">
        <v>247</v>
      </c>
      <c r="D1079" t="s">
        <v>1425</v>
      </c>
      <c r="E1079" t="s">
        <v>1554</v>
      </c>
      <c r="F1079">
        <v>2.4946445714808201</v>
      </c>
      <c r="G1079" s="14">
        <v>487.37781053436203</v>
      </c>
      <c r="H1079" s="17">
        <v>0.153492605770881</v>
      </c>
      <c r="I1079" t="s">
        <v>1611</v>
      </c>
      <c r="J1079" s="14">
        <v>1032.3497851428799</v>
      </c>
      <c r="K1079" s="14">
        <f t="shared" si="128"/>
        <v>300890.88590941526</v>
      </c>
      <c r="L1079" s="14">
        <f t="shared" si="129"/>
        <v>307</v>
      </c>
      <c r="M1079" s="14" t="str">
        <f t="shared" si="130"/>
        <v>19-09-2024</v>
      </c>
      <c r="N1079" s="14">
        <f t="shared" si="131"/>
        <v>0.15660653927739568</v>
      </c>
      <c r="O1079" s="20">
        <f t="shared" si="132"/>
        <v>2.5061981480796147</v>
      </c>
      <c r="P1079" s="14">
        <f t="shared" si="133"/>
        <v>463.54099596844821</v>
      </c>
      <c r="Q1079" s="14">
        <f t="shared" si="134"/>
        <v>380.59393321362342</v>
      </c>
      <c r="R1079" s="14" t="str">
        <f t="shared" si="135"/>
        <v>Sep</v>
      </c>
    </row>
    <row r="1080" spans="1:18" x14ac:dyDescent="0.3">
      <c r="A1080" t="s">
        <v>2688</v>
      </c>
      <c r="B1080" s="1">
        <v>45405</v>
      </c>
      <c r="C1080" t="s">
        <v>372</v>
      </c>
      <c r="D1080" t="s">
        <v>1411</v>
      </c>
      <c r="E1080" t="s">
        <v>1577</v>
      </c>
      <c r="F1080">
        <v>2.4946696606808199</v>
      </c>
      <c r="G1080" s="14">
        <v>487.32604763628098</v>
      </c>
      <c r="H1080" s="17">
        <v>0.15349936784147</v>
      </c>
      <c r="I1080" t="s">
        <v>1614</v>
      </c>
      <c r="J1080" s="14">
        <v>1032.2417886834201</v>
      </c>
      <c r="K1080" s="14">
        <f t="shared" si="128"/>
        <v>300890.88590941526</v>
      </c>
      <c r="L1080" s="14">
        <f t="shared" si="129"/>
        <v>307</v>
      </c>
      <c r="M1080" s="14" t="str">
        <f t="shared" si="130"/>
        <v>23-04-2024</v>
      </c>
      <c r="N1080" s="14">
        <f t="shared" si="131"/>
        <v>0.15660992031269047</v>
      </c>
      <c r="O1080" s="20">
        <f t="shared" si="132"/>
        <v>2.5062106926796135</v>
      </c>
      <c r="P1080" s="14">
        <f t="shared" si="133"/>
        <v>463.5151145194082</v>
      </c>
      <c r="Q1080" s="14">
        <f t="shared" si="134"/>
        <v>380.55400133705581</v>
      </c>
      <c r="R1080" s="14" t="str">
        <f t="shared" si="135"/>
        <v>Apr</v>
      </c>
    </row>
    <row r="1081" spans="1:18" x14ac:dyDescent="0.3">
      <c r="A1081" t="s">
        <v>2689</v>
      </c>
      <c r="B1081" s="1">
        <v>45503</v>
      </c>
      <c r="C1081" t="s">
        <v>529</v>
      </c>
      <c r="D1081" t="s">
        <v>1371</v>
      </c>
      <c r="E1081" t="s">
        <v>1567</v>
      </c>
      <c r="F1081">
        <v>2.4946947498808099</v>
      </c>
      <c r="G1081" s="14">
        <v>487.274284738201</v>
      </c>
      <c r="H1081" s="17">
        <v>0.15350612991206</v>
      </c>
      <c r="I1081" t="s">
        <v>1614</v>
      </c>
      <c r="J1081" s="14">
        <v>1032.13379222397</v>
      </c>
      <c r="K1081" s="14">
        <f t="shared" si="128"/>
        <v>300890.88590941526</v>
      </c>
      <c r="L1081" s="14">
        <f t="shared" si="129"/>
        <v>307</v>
      </c>
      <c r="M1081" s="14" t="str">
        <f t="shared" si="130"/>
        <v>30-07-2024</v>
      </c>
      <c r="N1081" s="14">
        <f t="shared" si="131"/>
        <v>0.15661330134798526</v>
      </c>
      <c r="O1081" s="20">
        <f t="shared" si="132"/>
        <v>2.5062232372796118</v>
      </c>
      <c r="P1081" s="14">
        <f t="shared" si="133"/>
        <v>463.48923307036813</v>
      </c>
      <c r="Q1081" s="14">
        <f t="shared" si="134"/>
        <v>380.51406946049099</v>
      </c>
      <c r="R1081" s="14" t="str">
        <f t="shared" si="135"/>
        <v>Jul</v>
      </c>
    </row>
    <row r="1082" spans="1:18" x14ac:dyDescent="0.3">
      <c r="A1082" t="s">
        <v>2690</v>
      </c>
      <c r="B1082" s="1">
        <v>45274</v>
      </c>
      <c r="C1082" t="s">
        <v>743</v>
      </c>
      <c r="D1082" t="s">
        <v>1395</v>
      </c>
      <c r="E1082" t="s">
        <v>1592</v>
      </c>
      <c r="F1082">
        <v>2.4947198390808101</v>
      </c>
      <c r="G1082" s="14">
        <v>487.22252184012098</v>
      </c>
      <c r="H1082" s="17">
        <v>0.15351289198265</v>
      </c>
      <c r="I1082" t="s">
        <v>1614</v>
      </c>
      <c r="J1082" s="14">
        <v>1032.0257957645199</v>
      </c>
      <c r="K1082" s="14">
        <f t="shared" si="128"/>
        <v>300890.88590941526</v>
      </c>
      <c r="L1082" s="14">
        <f t="shared" si="129"/>
        <v>307</v>
      </c>
      <c r="M1082" s="14" t="str">
        <f t="shared" si="130"/>
        <v>14-12-2023</v>
      </c>
      <c r="N1082" s="14">
        <f t="shared" si="131"/>
        <v>0.15661668238328008</v>
      </c>
      <c r="O1082" s="20">
        <f t="shared" si="132"/>
        <v>2.5062357818796102</v>
      </c>
      <c r="P1082" s="14">
        <f t="shared" si="133"/>
        <v>463.463351621328</v>
      </c>
      <c r="Q1082" s="14">
        <f t="shared" si="134"/>
        <v>380.47413758392611</v>
      </c>
      <c r="R1082" s="14" t="str">
        <f t="shared" si="135"/>
        <v>Dec</v>
      </c>
    </row>
    <row r="1083" spans="1:18" x14ac:dyDescent="0.3">
      <c r="A1083" t="s">
        <v>2691</v>
      </c>
      <c r="B1083" s="1">
        <v>45558</v>
      </c>
      <c r="C1083" t="s">
        <v>842</v>
      </c>
      <c r="D1083" t="s">
        <v>1377</v>
      </c>
      <c r="E1083" t="s">
        <v>1574</v>
      </c>
      <c r="F1083">
        <v>2.4947449282808098</v>
      </c>
      <c r="G1083" s="14">
        <v>487.170758942041</v>
      </c>
      <c r="H1083" s="17">
        <v>0.153519654053239</v>
      </c>
      <c r="I1083" t="s">
        <v>1609</v>
      </c>
      <c r="J1083" s="14">
        <v>1031.91779930507</v>
      </c>
      <c r="K1083" s="14">
        <f t="shared" si="128"/>
        <v>300890.88590941526</v>
      </c>
      <c r="L1083" s="14">
        <f t="shared" si="129"/>
        <v>307</v>
      </c>
      <c r="M1083" s="14" t="str">
        <f t="shared" si="130"/>
        <v>23-09-2024</v>
      </c>
      <c r="N1083" s="14">
        <f t="shared" si="131"/>
        <v>0.1566200634185749</v>
      </c>
      <c r="O1083" s="20">
        <f t="shared" si="132"/>
        <v>2.5062483264796094</v>
      </c>
      <c r="P1083" s="14">
        <f t="shared" si="133"/>
        <v>463.43747017228799</v>
      </c>
      <c r="Q1083" s="14">
        <f t="shared" si="134"/>
        <v>380.43420570736129</v>
      </c>
      <c r="R1083" s="14" t="str">
        <f t="shared" si="135"/>
        <v>Sep</v>
      </c>
    </row>
    <row r="1084" spans="1:18" x14ac:dyDescent="0.3">
      <c r="A1084" t="s">
        <v>2692</v>
      </c>
      <c r="B1084" s="1">
        <v>45886</v>
      </c>
      <c r="C1084" t="s">
        <v>1062</v>
      </c>
      <c r="D1084" t="s">
        <v>1433</v>
      </c>
      <c r="E1084" t="s">
        <v>1564</v>
      </c>
      <c r="F1084">
        <v>2.4947700174808101</v>
      </c>
      <c r="G1084" s="14">
        <v>487.11899604396098</v>
      </c>
      <c r="H1084" s="17">
        <v>0.153526416123829</v>
      </c>
      <c r="I1084" t="s">
        <v>1609</v>
      </c>
      <c r="J1084" s="14">
        <v>1031.80980284562</v>
      </c>
      <c r="K1084" s="14">
        <f t="shared" si="128"/>
        <v>299858.96811011015</v>
      </c>
      <c r="L1084" s="14">
        <f t="shared" si="129"/>
        <v>306</v>
      </c>
      <c r="M1084" s="14" t="str">
        <f t="shared" si="130"/>
        <v>17-08-2025</v>
      </c>
      <c r="N1084" s="14">
        <f t="shared" si="131"/>
        <v>0.15662344445386969</v>
      </c>
      <c r="O1084" s="20">
        <f t="shared" si="132"/>
        <v>2.5062608710796082</v>
      </c>
      <c r="P1084" s="14">
        <f t="shared" si="133"/>
        <v>463.41158872324786</v>
      </c>
      <c r="Q1084" s="14">
        <f t="shared" si="134"/>
        <v>380.39427383079641</v>
      </c>
      <c r="R1084" s="14" t="str">
        <f t="shared" si="135"/>
        <v>Aug</v>
      </c>
    </row>
    <row r="1085" spans="1:18" x14ac:dyDescent="0.3">
      <c r="A1085" t="s">
        <v>2693</v>
      </c>
      <c r="B1085" s="1">
        <v>45674</v>
      </c>
      <c r="C1085" t="s">
        <v>1297</v>
      </c>
      <c r="D1085" t="s">
        <v>1413</v>
      </c>
      <c r="E1085" t="s">
        <v>1546</v>
      </c>
      <c r="F1085">
        <v>2.4947951066808001</v>
      </c>
      <c r="G1085" s="14">
        <v>487.067233145881</v>
      </c>
      <c r="H1085" s="17">
        <v>0.153533178194418</v>
      </c>
      <c r="I1085" t="s">
        <v>1611</v>
      </c>
      <c r="J1085" s="14">
        <v>1031.7018063861599</v>
      </c>
      <c r="K1085" s="14">
        <f t="shared" si="128"/>
        <v>298827.15830726456</v>
      </c>
      <c r="L1085" s="14">
        <f t="shared" si="129"/>
        <v>305</v>
      </c>
      <c r="M1085" s="14" t="str">
        <f t="shared" si="130"/>
        <v>17-01-2025</v>
      </c>
      <c r="N1085" s="14">
        <f t="shared" si="131"/>
        <v>0.15662682548916451</v>
      </c>
      <c r="O1085" s="20">
        <f t="shared" si="132"/>
        <v>2.5062734156796069</v>
      </c>
      <c r="P1085" s="14">
        <f t="shared" si="133"/>
        <v>463.38570727420779</v>
      </c>
      <c r="Q1085" s="14">
        <f t="shared" si="134"/>
        <v>380.35434195422903</v>
      </c>
      <c r="R1085" s="14" t="str">
        <f t="shared" si="135"/>
        <v>Jan</v>
      </c>
    </row>
    <row r="1086" spans="1:18" x14ac:dyDescent="0.3">
      <c r="A1086" t="s">
        <v>2694</v>
      </c>
      <c r="B1086" s="1">
        <v>45777</v>
      </c>
      <c r="C1086" t="s">
        <v>314</v>
      </c>
      <c r="D1086" t="s">
        <v>1361</v>
      </c>
      <c r="E1086" t="s">
        <v>1551</v>
      </c>
      <c r="F1086">
        <v>2.4948201958807998</v>
      </c>
      <c r="G1086" s="14">
        <v>487.01547024780001</v>
      </c>
      <c r="H1086" s="17">
        <v>0.153539940265008</v>
      </c>
      <c r="I1086" t="s">
        <v>1614</v>
      </c>
      <c r="J1086" s="14">
        <v>1031.59380992671</v>
      </c>
      <c r="K1086" s="14">
        <f t="shared" si="128"/>
        <v>298827.15830726456</v>
      </c>
      <c r="L1086" s="14">
        <f t="shared" si="129"/>
        <v>305</v>
      </c>
      <c r="M1086" s="14" t="str">
        <f t="shared" si="130"/>
        <v>30-04-2025</v>
      </c>
      <c r="N1086" s="14">
        <f t="shared" si="131"/>
        <v>0.1566302065244593</v>
      </c>
      <c r="O1086" s="20">
        <f t="shared" si="132"/>
        <v>2.5062859602796057</v>
      </c>
      <c r="P1086" s="14">
        <f t="shared" si="133"/>
        <v>463.35982582516766</v>
      </c>
      <c r="Q1086" s="14">
        <f t="shared" si="134"/>
        <v>380.31441007766398</v>
      </c>
      <c r="R1086" s="14" t="str">
        <f t="shared" si="135"/>
        <v>Apr</v>
      </c>
    </row>
    <row r="1087" spans="1:18" x14ac:dyDescent="0.3">
      <c r="A1087" t="s">
        <v>2695</v>
      </c>
      <c r="B1087" s="1">
        <v>45598</v>
      </c>
      <c r="C1087" t="s">
        <v>1319</v>
      </c>
      <c r="D1087" t="s">
        <v>1347</v>
      </c>
      <c r="E1087" t="s">
        <v>1561</v>
      </c>
      <c r="F1087">
        <v>2.4948452850808001</v>
      </c>
      <c r="G1087" s="14">
        <v>486.96370734971998</v>
      </c>
      <c r="H1087" s="17">
        <v>0.153546702335598</v>
      </c>
      <c r="I1087" t="s">
        <v>1611</v>
      </c>
      <c r="J1087" s="14">
        <v>1031.48581346726</v>
      </c>
      <c r="K1087" s="14">
        <f t="shared" si="128"/>
        <v>298827.15830726456</v>
      </c>
      <c r="L1087" s="14">
        <f t="shared" si="129"/>
        <v>305</v>
      </c>
      <c r="M1087" s="14" t="str">
        <f t="shared" si="130"/>
        <v>02-11-2024</v>
      </c>
      <c r="N1087" s="14">
        <f t="shared" si="131"/>
        <v>0.15663358755975412</v>
      </c>
      <c r="O1087" s="20">
        <f t="shared" si="132"/>
        <v>2.5062985048796045</v>
      </c>
      <c r="P1087" s="14">
        <f t="shared" si="133"/>
        <v>463.3339443761277</v>
      </c>
      <c r="Q1087" s="14">
        <f t="shared" si="134"/>
        <v>380.2744782010991</v>
      </c>
      <c r="R1087" s="14" t="str">
        <f t="shared" si="135"/>
        <v>Nov</v>
      </c>
    </row>
    <row r="1088" spans="1:18" x14ac:dyDescent="0.3">
      <c r="A1088" t="s">
        <v>2696</v>
      </c>
      <c r="B1088" s="1">
        <v>45884</v>
      </c>
      <c r="C1088" t="s">
        <v>449</v>
      </c>
      <c r="D1088" t="s">
        <v>1403</v>
      </c>
      <c r="E1088" t="s">
        <v>1579</v>
      </c>
      <c r="F1088">
        <v>2.4948703742807901</v>
      </c>
      <c r="G1088" s="14">
        <v>486.91194445164001</v>
      </c>
      <c r="H1088" s="17">
        <v>0.153553464406187</v>
      </c>
      <c r="I1088" t="s">
        <v>1614</v>
      </c>
      <c r="J1088" s="14">
        <v>1031.3778170078101</v>
      </c>
      <c r="K1088" s="14">
        <f t="shared" si="128"/>
        <v>298827.15830726456</v>
      </c>
      <c r="L1088" s="14">
        <f t="shared" si="129"/>
        <v>305</v>
      </c>
      <c r="M1088" s="14" t="str">
        <f t="shared" si="130"/>
        <v>15-08-2025</v>
      </c>
      <c r="N1088" s="14">
        <f t="shared" si="131"/>
        <v>0.15663696859504891</v>
      </c>
      <c r="O1088" s="20">
        <f t="shared" si="132"/>
        <v>2.5063110494796033</v>
      </c>
      <c r="P1088" s="14">
        <f t="shared" si="133"/>
        <v>463.30806292708758</v>
      </c>
      <c r="Q1088" s="14">
        <f t="shared" si="134"/>
        <v>380.23454632453428</v>
      </c>
      <c r="R1088" s="14" t="str">
        <f t="shared" si="135"/>
        <v>Aug</v>
      </c>
    </row>
    <row r="1089" spans="1:18" x14ac:dyDescent="0.3">
      <c r="A1089" t="s">
        <v>2697</v>
      </c>
      <c r="B1089" s="1">
        <v>45916</v>
      </c>
      <c r="C1089" t="s">
        <v>881</v>
      </c>
      <c r="D1089" t="s">
        <v>1519</v>
      </c>
      <c r="E1089" t="s">
        <v>1561</v>
      </c>
      <c r="F1089">
        <v>2.4948954634807898</v>
      </c>
      <c r="G1089" s="14">
        <v>486.86018155355998</v>
      </c>
      <c r="H1089" s="17">
        <v>0.153560226476777</v>
      </c>
      <c r="I1089" t="s">
        <v>1614</v>
      </c>
      <c r="J1089" s="14">
        <v>1031.26982054836</v>
      </c>
      <c r="K1089" s="14">
        <f t="shared" si="128"/>
        <v>298827.15830726456</v>
      </c>
      <c r="L1089" s="14">
        <f t="shared" si="129"/>
        <v>305</v>
      </c>
      <c r="M1089" s="14" t="str">
        <f t="shared" si="130"/>
        <v>16-09-2025</v>
      </c>
      <c r="N1089" s="14">
        <f t="shared" si="131"/>
        <v>0.15664034963034373</v>
      </c>
      <c r="O1089" s="20">
        <f t="shared" si="132"/>
        <v>2.506323594079602</v>
      </c>
      <c r="P1089" s="14">
        <f t="shared" si="133"/>
        <v>463.28218147804745</v>
      </c>
      <c r="Q1089" s="14">
        <f t="shared" si="134"/>
        <v>380.1946144479694</v>
      </c>
      <c r="R1089" s="14" t="str">
        <f t="shared" si="135"/>
        <v>Sep</v>
      </c>
    </row>
    <row r="1090" spans="1:18" x14ac:dyDescent="0.3">
      <c r="A1090" t="s">
        <v>2698</v>
      </c>
      <c r="B1090" s="1">
        <v>45347</v>
      </c>
      <c r="C1090" t="s">
        <v>1218</v>
      </c>
      <c r="D1090" t="s">
        <v>1521</v>
      </c>
      <c r="E1090" t="s">
        <v>1571</v>
      </c>
      <c r="F1090">
        <v>2.49492055268079</v>
      </c>
      <c r="G1090" s="14">
        <v>486.80841865548001</v>
      </c>
      <c r="H1090" s="17">
        <v>0.153566988547366</v>
      </c>
      <c r="I1090" t="s">
        <v>1609</v>
      </c>
      <c r="J1090" s="14">
        <v>1031.16182408891</v>
      </c>
      <c r="K1090" s="14">
        <f t="shared" ref="K1090:K1153" si="136">SUMIF(I1090:I3089,"Credit Card",J1090:J3089)</f>
        <v>298827.15830726456</v>
      </c>
      <c r="L1090" s="14">
        <f t="shared" ref="L1090:L1153" si="137">COUNTIF(I1090:I3089,"Credit Card")</f>
        <v>305</v>
      </c>
      <c r="M1090" s="14" t="str">
        <f t="shared" ref="M1090:M1153" si="138">TEXT(B1090:B3089,"dd-mm-yyyy")</f>
        <v>25-02-2024</v>
      </c>
      <c r="N1090" s="14">
        <f t="shared" ref="N1090:N1153" si="139">AVERAGE(H1090:H3089)</f>
        <v>0.15664373066563853</v>
      </c>
      <c r="O1090" s="20">
        <f t="shared" ref="O1090:O1153" si="140">AVERAGE(F1090:F3089)</f>
        <v>2.5063361386796013</v>
      </c>
      <c r="P1090" s="14">
        <f t="shared" ref="P1090:P1153" si="141">AVERAGE(G1090:G3089)</f>
        <v>463.25630002900743</v>
      </c>
      <c r="Q1090" s="14">
        <f t="shared" ref="Q1090:Q1153" si="142">AVERAGE(F1090,G1090,H1090,J1090)</f>
        <v>380.15468257140452</v>
      </c>
      <c r="R1090" s="14" t="str">
        <f t="shared" ref="R1090:R1153" si="143">TEXT(M1090,"mmm")</f>
        <v>Feb</v>
      </c>
    </row>
    <row r="1091" spans="1:18" x14ac:dyDescent="0.3">
      <c r="A1091" t="s">
        <v>2699</v>
      </c>
      <c r="B1091" s="1">
        <v>45723</v>
      </c>
      <c r="C1091" t="s">
        <v>993</v>
      </c>
      <c r="D1091" t="s">
        <v>1331</v>
      </c>
      <c r="E1091" t="s">
        <v>1589</v>
      </c>
      <c r="F1091">
        <v>2.4949456418807898</v>
      </c>
      <c r="G1091" s="14">
        <v>486.75665575739998</v>
      </c>
      <c r="H1091" s="17">
        <v>0.153573750617956</v>
      </c>
      <c r="I1091" t="s">
        <v>1609</v>
      </c>
      <c r="J1091" s="14">
        <v>1031.0538276294501</v>
      </c>
      <c r="K1091" s="14">
        <f t="shared" si="136"/>
        <v>297795.99648317567</v>
      </c>
      <c r="L1091" s="14">
        <f t="shared" si="137"/>
        <v>304</v>
      </c>
      <c r="M1091" s="14" t="str">
        <f t="shared" si="138"/>
        <v>07-03-2025</v>
      </c>
      <c r="N1091" s="14">
        <f t="shared" si="139"/>
        <v>0.15664711170093334</v>
      </c>
      <c r="O1091" s="20">
        <f t="shared" si="140"/>
        <v>2.5063486832795996</v>
      </c>
      <c r="P1091" s="14">
        <f t="shared" si="141"/>
        <v>463.23041857996736</v>
      </c>
      <c r="Q1091" s="14">
        <f t="shared" si="142"/>
        <v>380.1147506948372</v>
      </c>
      <c r="R1091" s="14" t="str">
        <f t="shared" si="143"/>
        <v>Mar</v>
      </c>
    </row>
    <row r="1092" spans="1:18" x14ac:dyDescent="0.3">
      <c r="A1092" t="s">
        <v>2700</v>
      </c>
      <c r="B1092" s="1">
        <v>45495</v>
      </c>
      <c r="C1092" t="s">
        <v>1077</v>
      </c>
      <c r="D1092" t="s">
        <v>1367</v>
      </c>
      <c r="E1092" t="s">
        <v>1551</v>
      </c>
      <c r="F1092">
        <v>2.4949707310807798</v>
      </c>
      <c r="G1092" s="14">
        <v>486.70489285932001</v>
      </c>
      <c r="H1092" s="17">
        <v>0.153580512688546</v>
      </c>
      <c r="I1092" t="s">
        <v>1609</v>
      </c>
      <c r="J1092" s="14">
        <v>1030.94583117</v>
      </c>
      <c r="K1092" s="14">
        <f t="shared" si="136"/>
        <v>296764.94265554618</v>
      </c>
      <c r="L1092" s="14">
        <f t="shared" si="137"/>
        <v>303</v>
      </c>
      <c r="M1092" s="14" t="str">
        <f t="shared" si="138"/>
        <v>22-07-2024</v>
      </c>
      <c r="N1092" s="14">
        <f t="shared" si="139"/>
        <v>0.15665049273622814</v>
      </c>
      <c r="O1092" s="20">
        <f t="shared" si="140"/>
        <v>2.5063612278795984</v>
      </c>
      <c r="P1092" s="14">
        <f t="shared" si="141"/>
        <v>463.20453713092729</v>
      </c>
      <c r="Q1092" s="14">
        <f t="shared" si="142"/>
        <v>380.07481881827232</v>
      </c>
      <c r="R1092" s="14" t="str">
        <f t="shared" si="143"/>
        <v>Jul</v>
      </c>
    </row>
    <row r="1093" spans="1:18" x14ac:dyDescent="0.3">
      <c r="A1093" t="s">
        <v>2701</v>
      </c>
      <c r="B1093" s="1">
        <v>45444</v>
      </c>
      <c r="C1093" t="s">
        <v>1317</v>
      </c>
      <c r="D1093" t="s">
        <v>1435</v>
      </c>
      <c r="E1093" t="s">
        <v>1577</v>
      </c>
      <c r="F1093">
        <v>2.49499582028078</v>
      </c>
      <c r="G1093" s="14">
        <v>486.65312996123902</v>
      </c>
      <c r="H1093" s="17">
        <v>0.153587274759135</v>
      </c>
      <c r="I1093" t="s">
        <v>1614</v>
      </c>
      <c r="J1093" s="14">
        <v>1030.8378347105499</v>
      </c>
      <c r="K1093" s="14">
        <f t="shared" si="136"/>
        <v>295733.99682437623</v>
      </c>
      <c r="L1093" s="14">
        <f t="shared" si="137"/>
        <v>302</v>
      </c>
      <c r="M1093" s="14" t="str">
        <f t="shared" si="138"/>
        <v>01-06-2024</v>
      </c>
      <c r="N1093" s="14">
        <f t="shared" si="139"/>
        <v>0.15665387377152293</v>
      </c>
      <c r="O1093" s="20">
        <f t="shared" si="140"/>
        <v>2.5063737724795967</v>
      </c>
      <c r="P1093" s="14">
        <f t="shared" si="141"/>
        <v>463.17865568188722</v>
      </c>
      <c r="Q1093" s="14">
        <f t="shared" si="142"/>
        <v>380.03488694170721</v>
      </c>
      <c r="R1093" s="14" t="str">
        <f t="shared" si="143"/>
        <v>Jun</v>
      </c>
    </row>
    <row r="1094" spans="1:18" x14ac:dyDescent="0.3">
      <c r="A1094" t="s">
        <v>2702</v>
      </c>
      <c r="B1094" s="1">
        <v>45662</v>
      </c>
      <c r="C1094" t="s">
        <v>547</v>
      </c>
      <c r="D1094" t="s">
        <v>1429</v>
      </c>
      <c r="E1094" t="s">
        <v>1579</v>
      </c>
      <c r="F1094">
        <v>2.4950209094807798</v>
      </c>
      <c r="G1094" s="14">
        <v>486.60136706315899</v>
      </c>
      <c r="H1094" s="17">
        <v>0.153594036829725</v>
      </c>
      <c r="I1094" t="s">
        <v>1611</v>
      </c>
      <c r="J1094" s="14">
        <v>1030.7298382511001</v>
      </c>
      <c r="K1094" s="14">
        <f t="shared" si="136"/>
        <v>295733.99682437623</v>
      </c>
      <c r="L1094" s="14">
        <f t="shared" si="137"/>
        <v>302</v>
      </c>
      <c r="M1094" s="14" t="str">
        <f t="shared" si="138"/>
        <v>05-01-2025</v>
      </c>
      <c r="N1094" s="14">
        <f t="shared" si="139"/>
        <v>0.15665725480681775</v>
      </c>
      <c r="O1094" s="20">
        <f t="shared" si="140"/>
        <v>2.5063863170795955</v>
      </c>
      <c r="P1094" s="14">
        <f t="shared" si="141"/>
        <v>463.15277423284709</v>
      </c>
      <c r="Q1094" s="14">
        <f t="shared" si="142"/>
        <v>379.99495506514239</v>
      </c>
      <c r="R1094" s="14" t="str">
        <f t="shared" si="143"/>
        <v>Jan</v>
      </c>
    </row>
    <row r="1095" spans="1:18" x14ac:dyDescent="0.3">
      <c r="A1095" t="s">
        <v>2703</v>
      </c>
      <c r="B1095" s="1">
        <v>45910</v>
      </c>
      <c r="C1095" t="s">
        <v>1035</v>
      </c>
      <c r="D1095" t="s">
        <v>1447</v>
      </c>
      <c r="E1095" t="s">
        <v>1554</v>
      </c>
      <c r="F1095">
        <v>2.49504599868078</v>
      </c>
      <c r="G1095" s="14">
        <v>486.54960416507902</v>
      </c>
      <c r="H1095" s="17">
        <v>0.153600798900314</v>
      </c>
      <c r="I1095" t="s">
        <v>1609</v>
      </c>
      <c r="J1095" s="14">
        <v>1030.62184179165</v>
      </c>
      <c r="K1095" s="14">
        <f t="shared" si="136"/>
        <v>295733.99682437623</v>
      </c>
      <c r="L1095" s="14">
        <f t="shared" si="137"/>
        <v>302</v>
      </c>
      <c r="M1095" s="14" t="str">
        <f t="shared" si="138"/>
        <v>10-09-2025</v>
      </c>
      <c r="N1095" s="14">
        <f t="shared" si="139"/>
        <v>0.15666063584211254</v>
      </c>
      <c r="O1095" s="20">
        <f t="shared" si="140"/>
        <v>2.5063988616795942</v>
      </c>
      <c r="P1095" s="14">
        <f t="shared" si="141"/>
        <v>463.12689278380702</v>
      </c>
      <c r="Q1095" s="14">
        <f t="shared" si="142"/>
        <v>379.95502318857751</v>
      </c>
      <c r="R1095" s="14" t="str">
        <f t="shared" si="143"/>
        <v>Sep</v>
      </c>
    </row>
    <row r="1096" spans="1:18" x14ac:dyDescent="0.3">
      <c r="A1096" t="s">
        <v>2704</v>
      </c>
      <c r="B1096" s="1">
        <v>45827</v>
      </c>
      <c r="C1096" t="s">
        <v>657</v>
      </c>
      <c r="D1096" t="s">
        <v>1507</v>
      </c>
      <c r="E1096" t="s">
        <v>1586</v>
      </c>
      <c r="F1096">
        <v>2.49507108788077</v>
      </c>
      <c r="G1096" s="14">
        <v>486.49784126699899</v>
      </c>
      <c r="H1096" s="17">
        <v>0.153607560970904</v>
      </c>
      <c r="I1096" t="s">
        <v>1611</v>
      </c>
      <c r="J1096" s="14">
        <v>1030.5138453321999</v>
      </c>
      <c r="K1096" s="14">
        <f t="shared" si="136"/>
        <v>294703.37498258456</v>
      </c>
      <c r="L1096" s="14">
        <f t="shared" si="137"/>
        <v>301</v>
      </c>
      <c r="M1096" s="14" t="str">
        <f t="shared" si="138"/>
        <v>19-06-2025</v>
      </c>
      <c r="N1096" s="14">
        <f t="shared" si="139"/>
        <v>0.15666401687740736</v>
      </c>
      <c r="O1096" s="20">
        <f t="shared" si="140"/>
        <v>2.5064114062795926</v>
      </c>
      <c r="P1096" s="14">
        <f t="shared" si="141"/>
        <v>463.10101133476689</v>
      </c>
      <c r="Q1096" s="14">
        <f t="shared" si="142"/>
        <v>379.91509131201263</v>
      </c>
      <c r="R1096" s="14" t="str">
        <f t="shared" si="143"/>
        <v>Jun</v>
      </c>
    </row>
    <row r="1097" spans="1:18" x14ac:dyDescent="0.3">
      <c r="A1097" t="s">
        <v>2705</v>
      </c>
      <c r="B1097" s="1">
        <v>45544</v>
      </c>
      <c r="C1097" t="s">
        <v>1248</v>
      </c>
      <c r="D1097" t="s">
        <v>1439</v>
      </c>
      <c r="E1097" t="s">
        <v>1558</v>
      </c>
      <c r="F1097">
        <v>2.4950961770807698</v>
      </c>
      <c r="G1097" s="14">
        <v>486.44607836891902</v>
      </c>
      <c r="H1097" s="17">
        <v>0.153614323041494</v>
      </c>
      <c r="I1097" t="s">
        <v>1614</v>
      </c>
      <c r="J1097" s="14">
        <v>1030.4058488727401</v>
      </c>
      <c r="K1097" s="14">
        <f t="shared" si="136"/>
        <v>294703.37498258456</v>
      </c>
      <c r="L1097" s="14">
        <f t="shared" si="137"/>
        <v>301</v>
      </c>
      <c r="M1097" s="14" t="str">
        <f t="shared" si="138"/>
        <v>09-09-2024</v>
      </c>
      <c r="N1097" s="14">
        <f t="shared" si="139"/>
        <v>0.15666739791270218</v>
      </c>
      <c r="O1097" s="20">
        <f t="shared" si="140"/>
        <v>2.5064239508795909</v>
      </c>
      <c r="P1097" s="14">
        <f t="shared" si="141"/>
        <v>463.07512988572688</v>
      </c>
      <c r="Q1097" s="14">
        <f t="shared" si="142"/>
        <v>379.87515943544531</v>
      </c>
      <c r="R1097" s="14" t="str">
        <f t="shared" si="143"/>
        <v>Sep</v>
      </c>
    </row>
    <row r="1098" spans="1:18" x14ac:dyDescent="0.3">
      <c r="A1098" t="s">
        <v>2706</v>
      </c>
      <c r="B1098" s="1">
        <v>45751</v>
      </c>
      <c r="C1098" t="s">
        <v>1095</v>
      </c>
      <c r="D1098" t="s">
        <v>1475</v>
      </c>
      <c r="E1098" t="s">
        <v>1571</v>
      </c>
      <c r="F1098">
        <v>2.49512126628077</v>
      </c>
      <c r="G1098" s="14">
        <v>486.39431547083899</v>
      </c>
      <c r="H1098" s="17">
        <v>0.153621085112083</v>
      </c>
      <c r="I1098" t="s">
        <v>1609</v>
      </c>
      <c r="J1098" s="14">
        <v>1030.29785241329</v>
      </c>
      <c r="K1098" s="14">
        <f t="shared" si="136"/>
        <v>294703.37498258456</v>
      </c>
      <c r="L1098" s="14">
        <f t="shared" si="137"/>
        <v>301</v>
      </c>
      <c r="M1098" s="14" t="str">
        <f t="shared" si="138"/>
        <v>04-04-2025</v>
      </c>
      <c r="N1098" s="14">
        <f t="shared" si="139"/>
        <v>0.15667077894799697</v>
      </c>
      <c r="O1098" s="20">
        <f t="shared" si="140"/>
        <v>2.5064364954795901</v>
      </c>
      <c r="P1098" s="14">
        <f t="shared" si="141"/>
        <v>463.04924843668675</v>
      </c>
      <c r="Q1098" s="14">
        <f t="shared" si="142"/>
        <v>379.83522755888043</v>
      </c>
      <c r="R1098" s="14" t="str">
        <f t="shared" si="143"/>
        <v>Apr</v>
      </c>
    </row>
    <row r="1099" spans="1:18" x14ac:dyDescent="0.3">
      <c r="A1099" t="s">
        <v>2707</v>
      </c>
      <c r="B1099" s="1">
        <v>45392</v>
      </c>
      <c r="C1099" t="s">
        <v>1294</v>
      </c>
      <c r="D1099" t="s">
        <v>1433</v>
      </c>
      <c r="E1099" t="s">
        <v>1561</v>
      </c>
      <c r="F1099">
        <v>2.4951463554807698</v>
      </c>
      <c r="G1099" s="14">
        <v>486.342552572758</v>
      </c>
      <c r="H1099" s="17">
        <v>0.153627847182673</v>
      </c>
      <c r="I1099" t="s">
        <v>1614</v>
      </c>
      <c r="J1099" s="14">
        <v>1030.1898559538399</v>
      </c>
      <c r="K1099" s="14">
        <f t="shared" si="136"/>
        <v>293673.07713017135</v>
      </c>
      <c r="L1099" s="14">
        <f t="shared" si="137"/>
        <v>300</v>
      </c>
      <c r="M1099" s="14" t="str">
        <f t="shared" si="138"/>
        <v>10-04-2024</v>
      </c>
      <c r="N1099" s="14">
        <f t="shared" si="139"/>
        <v>0.15667415998329176</v>
      </c>
      <c r="O1099" s="20">
        <f t="shared" si="140"/>
        <v>2.5064490400795885</v>
      </c>
      <c r="P1099" s="14">
        <f t="shared" si="141"/>
        <v>463.02336698764668</v>
      </c>
      <c r="Q1099" s="14">
        <f t="shared" si="142"/>
        <v>379.79529568231533</v>
      </c>
      <c r="R1099" s="14" t="str">
        <f t="shared" si="143"/>
        <v>Apr</v>
      </c>
    </row>
    <row r="1100" spans="1:18" x14ac:dyDescent="0.3">
      <c r="A1100" t="s">
        <v>2708</v>
      </c>
      <c r="B1100" s="1">
        <v>45589</v>
      </c>
      <c r="C1100" t="s">
        <v>589</v>
      </c>
      <c r="D1100" t="s">
        <v>1527</v>
      </c>
      <c r="E1100" t="s">
        <v>1574</v>
      </c>
      <c r="F1100">
        <v>2.4951714446807598</v>
      </c>
      <c r="G1100" s="14">
        <v>486.29078967467802</v>
      </c>
      <c r="H1100" s="17">
        <v>0.153634609253262</v>
      </c>
      <c r="I1100" t="s">
        <v>1614</v>
      </c>
      <c r="J1100" s="14">
        <v>1030.0818594943901</v>
      </c>
      <c r="K1100" s="14">
        <f t="shared" si="136"/>
        <v>293673.07713017135</v>
      </c>
      <c r="L1100" s="14">
        <f t="shared" si="137"/>
        <v>300</v>
      </c>
      <c r="M1100" s="14" t="str">
        <f t="shared" si="138"/>
        <v>24-10-2024</v>
      </c>
      <c r="N1100" s="14">
        <f t="shared" si="139"/>
        <v>0.15667754101858658</v>
      </c>
      <c r="O1100" s="20">
        <f t="shared" si="140"/>
        <v>2.5064615846795872</v>
      </c>
      <c r="P1100" s="14">
        <f t="shared" si="141"/>
        <v>462.99748553860661</v>
      </c>
      <c r="Q1100" s="14">
        <f t="shared" si="142"/>
        <v>379.75536380575056</v>
      </c>
      <c r="R1100" s="14" t="str">
        <f t="shared" si="143"/>
        <v>Oct</v>
      </c>
    </row>
    <row r="1101" spans="1:18" x14ac:dyDescent="0.3">
      <c r="A1101" t="s">
        <v>2709</v>
      </c>
      <c r="B1101" s="1">
        <v>45756</v>
      </c>
      <c r="C1101" t="s">
        <v>1059</v>
      </c>
      <c r="D1101" t="s">
        <v>1475</v>
      </c>
      <c r="E1101" t="s">
        <v>1584</v>
      </c>
      <c r="F1101">
        <v>2.49519653388076</v>
      </c>
      <c r="G1101" s="14">
        <v>486.239026776598</v>
      </c>
      <c r="H1101" s="17">
        <v>0.153641371323852</v>
      </c>
      <c r="I1101" t="s">
        <v>1611</v>
      </c>
      <c r="J1101" s="14">
        <v>1029.97386303494</v>
      </c>
      <c r="K1101" s="14">
        <f t="shared" si="136"/>
        <v>293673.07713017135</v>
      </c>
      <c r="L1101" s="14">
        <f t="shared" si="137"/>
        <v>300</v>
      </c>
      <c r="M1101" s="14" t="str">
        <f t="shared" si="138"/>
        <v>09-04-2025</v>
      </c>
      <c r="N1101" s="14">
        <f t="shared" si="139"/>
        <v>0.15668092205388137</v>
      </c>
      <c r="O1101" s="20">
        <f t="shared" si="140"/>
        <v>2.5064741292795856</v>
      </c>
      <c r="P1101" s="14">
        <f t="shared" si="141"/>
        <v>462.97160408956654</v>
      </c>
      <c r="Q1101" s="14">
        <f t="shared" si="142"/>
        <v>379.71543192918563</v>
      </c>
      <c r="R1101" s="14" t="str">
        <f t="shared" si="143"/>
        <v>Apr</v>
      </c>
    </row>
    <row r="1102" spans="1:18" x14ac:dyDescent="0.3">
      <c r="A1102" t="s">
        <v>2710</v>
      </c>
      <c r="B1102" s="1">
        <v>45255</v>
      </c>
      <c r="C1102" t="s">
        <v>568</v>
      </c>
      <c r="D1102" t="s">
        <v>1513</v>
      </c>
      <c r="E1102" t="s">
        <v>1558</v>
      </c>
      <c r="F1102">
        <v>2.4952216230807598</v>
      </c>
      <c r="G1102" s="14">
        <v>486.18726387851802</v>
      </c>
      <c r="H1102" s="17">
        <v>0.153648133394442</v>
      </c>
      <c r="I1102" t="s">
        <v>1614</v>
      </c>
      <c r="J1102" s="14">
        <v>1029.8658665754899</v>
      </c>
      <c r="K1102" s="14">
        <f t="shared" si="136"/>
        <v>293673.07713017135</v>
      </c>
      <c r="L1102" s="14">
        <f t="shared" si="137"/>
        <v>300</v>
      </c>
      <c r="M1102" s="14" t="str">
        <f t="shared" si="138"/>
        <v>25-11-2023</v>
      </c>
      <c r="N1102" s="14">
        <f t="shared" si="139"/>
        <v>0.15668430308917619</v>
      </c>
      <c r="O1102" s="20">
        <f t="shared" si="140"/>
        <v>2.5064866738795848</v>
      </c>
      <c r="P1102" s="14">
        <f t="shared" si="141"/>
        <v>462.94572264052647</v>
      </c>
      <c r="Q1102" s="14">
        <f t="shared" si="142"/>
        <v>379.67550005262081</v>
      </c>
      <c r="R1102" s="14" t="str">
        <f t="shared" si="143"/>
        <v>Nov</v>
      </c>
    </row>
    <row r="1103" spans="1:18" x14ac:dyDescent="0.3">
      <c r="A1103" t="s">
        <v>2711</v>
      </c>
      <c r="B1103" s="1">
        <v>45718</v>
      </c>
      <c r="C1103" t="s">
        <v>396</v>
      </c>
      <c r="D1103" t="s">
        <v>1427</v>
      </c>
      <c r="E1103" t="s">
        <v>1537</v>
      </c>
      <c r="F1103">
        <v>2.49524671228076</v>
      </c>
      <c r="G1103" s="14">
        <v>486.135500980438</v>
      </c>
      <c r="H1103" s="17">
        <v>0.153654895465031</v>
      </c>
      <c r="I1103" t="s">
        <v>1614</v>
      </c>
      <c r="J1103" s="14">
        <v>1029.7578701160301</v>
      </c>
      <c r="K1103" s="14">
        <f t="shared" si="136"/>
        <v>293673.07713017135</v>
      </c>
      <c r="L1103" s="14">
        <f t="shared" si="137"/>
        <v>300</v>
      </c>
      <c r="M1103" s="14" t="str">
        <f t="shared" si="138"/>
        <v>02-03-2025</v>
      </c>
      <c r="N1103" s="14">
        <f t="shared" si="139"/>
        <v>0.15668768412447101</v>
      </c>
      <c r="O1103" s="20">
        <f t="shared" si="140"/>
        <v>2.5064992184795831</v>
      </c>
      <c r="P1103" s="14">
        <f t="shared" si="141"/>
        <v>462.9198411914864</v>
      </c>
      <c r="Q1103" s="14">
        <f t="shared" si="142"/>
        <v>379.63556817605343</v>
      </c>
      <c r="R1103" s="14" t="str">
        <f t="shared" si="143"/>
        <v>Mar</v>
      </c>
    </row>
    <row r="1104" spans="1:18" x14ac:dyDescent="0.3">
      <c r="A1104" t="s">
        <v>2712</v>
      </c>
      <c r="B1104" s="1">
        <v>45573</v>
      </c>
      <c r="C1104" t="s">
        <v>1220</v>
      </c>
      <c r="D1104" t="s">
        <v>1465</v>
      </c>
      <c r="E1104" t="s">
        <v>1579</v>
      </c>
      <c r="F1104">
        <v>2.49527180148075</v>
      </c>
      <c r="G1104" s="14">
        <v>486.08373808235802</v>
      </c>
      <c r="H1104" s="17">
        <v>0.153661657535621</v>
      </c>
      <c r="I1104" t="s">
        <v>1614</v>
      </c>
      <c r="J1104" s="14">
        <v>1029.64987365658</v>
      </c>
      <c r="K1104" s="14">
        <f t="shared" si="136"/>
        <v>293673.07713017135</v>
      </c>
      <c r="L1104" s="14">
        <f t="shared" si="137"/>
        <v>300</v>
      </c>
      <c r="M1104" s="14" t="str">
        <f t="shared" si="138"/>
        <v>08-10-2024</v>
      </c>
      <c r="N1104" s="14">
        <f t="shared" si="139"/>
        <v>0.1566910651597658</v>
      </c>
      <c r="O1104" s="20">
        <f t="shared" si="140"/>
        <v>2.5065117630795819</v>
      </c>
      <c r="P1104" s="14">
        <f t="shared" si="141"/>
        <v>462.89395974244633</v>
      </c>
      <c r="Q1104" s="14">
        <f t="shared" si="142"/>
        <v>379.5956362994886</v>
      </c>
      <c r="R1104" s="14" t="str">
        <f t="shared" si="143"/>
        <v>Oct</v>
      </c>
    </row>
    <row r="1105" spans="1:18" x14ac:dyDescent="0.3">
      <c r="A1105" t="s">
        <v>2713</v>
      </c>
      <c r="B1105" s="1">
        <v>45884</v>
      </c>
      <c r="C1105" t="s">
        <v>1222</v>
      </c>
      <c r="D1105" t="s">
        <v>1401</v>
      </c>
      <c r="E1105" t="s">
        <v>1589</v>
      </c>
      <c r="F1105">
        <v>2.4952968906807498</v>
      </c>
      <c r="G1105" s="14">
        <v>486.03197518427697</v>
      </c>
      <c r="H1105" s="17">
        <v>0.153668419606211</v>
      </c>
      <c r="I1105" t="s">
        <v>1614</v>
      </c>
      <c r="J1105" s="14">
        <v>1029.5418771971299</v>
      </c>
      <c r="K1105" s="14">
        <f t="shared" si="136"/>
        <v>293673.07713017135</v>
      </c>
      <c r="L1105" s="14">
        <f t="shared" si="137"/>
        <v>300</v>
      </c>
      <c r="M1105" s="14" t="str">
        <f t="shared" si="138"/>
        <v>15-08-2025</v>
      </c>
      <c r="N1105" s="14">
        <f t="shared" si="139"/>
        <v>0.15669444619506062</v>
      </c>
      <c r="O1105" s="20">
        <f t="shared" si="140"/>
        <v>2.5065243076795802</v>
      </c>
      <c r="P1105" s="14">
        <f t="shared" si="141"/>
        <v>462.8680782934062</v>
      </c>
      <c r="Q1105" s="14">
        <f t="shared" si="142"/>
        <v>379.55570442292344</v>
      </c>
      <c r="R1105" s="14" t="str">
        <f t="shared" si="143"/>
        <v>Aug</v>
      </c>
    </row>
    <row r="1106" spans="1:18" x14ac:dyDescent="0.3">
      <c r="A1106" t="s">
        <v>2714</v>
      </c>
      <c r="B1106" s="1">
        <v>45448</v>
      </c>
      <c r="C1106" t="s">
        <v>1256</v>
      </c>
      <c r="D1106" t="s">
        <v>1405</v>
      </c>
      <c r="E1106" t="s">
        <v>1567</v>
      </c>
      <c r="F1106">
        <v>2.49532197988075</v>
      </c>
      <c r="G1106" s="14">
        <v>485.980212286197</v>
      </c>
      <c r="H1106" s="17">
        <v>0.1536751816768</v>
      </c>
      <c r="I1106" t="s">
        <v>1611</v>
      </c>
      <c r="J1106" s="14">
        <v>1029.4338807376801</v>
      </c>
      <c r="K1106" s="14">
        <f t="shared" si="136"/>
        <v>293673.07713017135</v>
      </c>
      <c r="L1106" s="14">
        <f t="shared" si="137"/>
        <v>300</v>
      </c>
      <c r="M1106" s="14" t="str">
        <f t="shared" si="138"/>
        <v>05-06-2024</v>
      </c>
      <c r="N1106" s="14">
        <f t="shared" si="139"/>
        <v>0.15669782723035539</v>
      </c>
      <c r="O1106" s="20">
        <f t="shared" si="140"/>
        <v>2.506536852279579</v>
      </c>
      <c r="P1106" s="14">
        <f t="shared" si="141"/>
        <v>462.84219684436619</v>
      </c>
      <c r="Q1106" s="14">
        <f t="shared" si="142"/>
        <v>379.51577254635868</v>
      </c>
      <c r="R1106" s="14" t="str">
        <f t="shared" si="143"/>
        <v>Jun</v>
      </c>
    </row>
    <row r="1107" spans="1:18" x14ac:dyDescent="0.3">
      <c r="A1107" t="s">
        <v>2715</v>
      </c>
      <c r="B1107" s="1">
        <v>45522</v>
      </c>
      <c r="C1107" t="s">
        <v>1280</v>
      </c>
      <c r="D1107" t="s">
        <v>1441</v>
      </c>
      <c r="E1107" t="s">
        <v>1586</v>
      </c>
      <c r="F1107">
        <v>2.49534706908074</v>
      </c>
      <c r="G1107" s="14">
        <v>485.92844938811697</v>
      </c>
      <c r="H1107" s="17">
        <v>0.15368194374739</v>
      </c>
      <c r="I1107" t="s">
        <v>1614</v>
      </c>
      <c r="J1107" s="14">
        <v>1029.32588427823</v>
      </c>
      <c r="K1107" s="14">
        <f t="shared" si="136"/>
        <v>293673.07713017135</v>
      </c>
      <c r="L1107" s="14">
        <f t="shared" si="137"/>
        <v>300</v>
      </c>
      <c r="M1107" s="14" t="str">
        <f t="shared" si="138"/>
        <v>18-08-2024</v>
      </c>
      <c r="N1107" s="14">
        <f t="shared" si="139"/>
        <v>0.1567012082656502</v>
      </c>
      <c r="O1107" s="20">
        <f t="shared" si="140"/>
        <v>2.5065493968795778</v>
      </c>
      <c r="P1107" s="14">
        <f t="shared" si="141"/>
        <v>462.81631539532606</v>
      </c>
      <c r="Q1107" s="14">
        <f t="shared" si="142"/>
        <v>379.4758406697938</v>
      </c>
      <c r="R1107" s="14" t="str">
        <f t="shared" si="143"/>
        <v>Aug</v>
      </c>
    </row>
    <row r="1108" spans="1:18" x14ac:dyDescent="0.3">
      <c r="A1108" t="s">
        <v>2716</v>
      </c>
      <c r="B1108" s="1">
        <v>45626</v>
      </c>
      <c r="C1108" t="s">
        <v>1264</v>
      </c>
      <c r="D1108" t="s">
        <v>1405</v>
      </c>
      <c r="E1108" t="s">
        <v>1598</v>
      </c>
      <c r="F1108">
        <v>2.4953721582807402</v>
      </c>
      <c r="G1108" s="14">
        <v>485.876686490037</v>
      </c>
      <c r="H1108" s="17">
        <v>0.153688705817979</v>
      </c>
      <c r="I1108" t="s">
        <v>1614</v>
      </c>
      <c r="J1108" s="14">
        <v>1029.2178878187699</v>
      </c>
      <c r="K1108" s="14">
        <f t="shared" si="136"/>
        <v>293673.07713017135</v>
      </c>
      <c r="L1108" s="14">
        <f t="shared" si="137"/>
        <v>300</v>
      </c>
      <c r="M1108" s="14" t="str">
        <f t="shared" si="138"/>
        <v>30-11-2024</v>
      </c>
      <c r="N1108" s="14">
        <f t="shared" si="139"/>
        <v>0.15670458930094502</v>
      </c>
      <c r="O1108" s="20">
        <f t="shared" si="140"/>
        <v>2.506561941479577</v>
      </c>
      <c r="P1108" s="14">
        <f t="shared" si="141"/>
        <v>462.79043394628599</v>
      </c>
      <c r="Q1108" s="14">
        <f t="shared" si="142"/>
        <v>379.43590879322642</v>
      </c>
      <c r="R1108" s="14" t="str">
        <f t="shared" si="143"/>
        <v>Nov</v>
      </c>
    </row>
    <row r="1109" spans="1:18" x14ac:dyDescent="0.3">
      <c r="A1109" t="s">
        <v>2717</v>
      </c>
      <c r="B1109" s="1">
        <v>45617</v>
      </c>
      <c r="C1109" t="s">
        <v>932</v>
      </c>
      <c r="D1109" t="s">
        <v>1497</v>
      </c>
      <c r="E1109" t="s">
        <v>1598</v>
      </c>
      <c r="F1109">
        <v>2.49539724748074</v>
      </c>
      <c r="G1109" s="14">
        <v>485.82492359195697</v>
      </c>
      <c r="H1109" s="17">
        <v>0.153695467888569</v>
      </c>
      <c r="I1109" t="s">
        <v>1611</v>
      </c>
      <c r="J1109" s="14">
        <v>1029.10989135932</v>
      </c>
      <c r="K1109" s="14">
        <f t="shared" si="136"/>
        <v>293673.07713017135</v>
      </c>
      <c r="L1109" s="14">
        <f t="shared" si="137"/>
        <v>300</v>
      </c>
      <c r="M1109" s="14" t="str">
        <f t="shared" si="138"/>
        <v>21-11-2024</v>
      </c>
      <c r="N1109" s="14">
        <f t="shared" si="139"/>
        <v>0.15670797033623982</v>
      </c>
      <c r="O1109" s="20">
        <f t="shared" si="140"/>
        <v>2.5065744860795753</v>
      </c>
      <c r="P1109" s="14">
        <f t="shared" si="141"/>
        <v>462.76455249724586</v>
      </c>
      <c r="Q1109" s="14">
        <f t="shared" si="142"/>
        <v>379.3959769166616</v>
      </c>
      <c r="R1109" s="14" t="str">
        <f t="shared" si="143"/>
        <v>Nov</v>
      </c>
    </row>
    <row r="1110" spans="1:18" x14ac:dyDescent="0.3">
      <c r="A1110" t="s">
        <v>2718</v>
      </c>
      <c r="B1110" s="1">
        <v>45878</v>
      </c>
      <c r="C1110" t="s">
        <v>1314</v>
      </c>
      <c r="D1110" t="s">
        <v>1507</v>
      </c>
      <c r="E1110" t="s">
        <v>1537</v>
      </c>
      <c r="F1110">
        <v>2.4954223366807402</v>
      </c>
      <c r="G1110" s="14">
        <v>485.773160693877</v>
      </c>
      <c r="H1110" s="17">
        <v>0.153702229959159</v>
      </c>
      <c r="I1110" t="s">
        <v>1609</v>
      </c>
      <c r="J1110" s="14">
        <v>1029.00189489987</v>
      </c>
      <c r="K1110" s="14">
        <f t="shared" si="136"/>
        <v>293673.07713017135</v>
      </c>
      <c r="L1110" s="14">
        <f t="shared" si="137"/>
        <v>300</v>
      </c>
      <c r="M1110" s="14" t="str">
        <f t="shared" si="138"/>
        <v>09-08-2025</v>
      </c>
      <c r="N1110" s="14">
        <f t="shared" si="139"/>
        <v>0.15671135137153464</v>
      </c>
      <c r="O1110" s="20">
        <f t="shared" si="140"/>
        <v>2.5065870306795746</v>
      </c>
      <c r="P1110" s="14">
        <f t="shared" si="141"/>
        <v>462.73867104820579</v>
      </c>
      <c r="Q1110" s="14">
        <f t="shared" si="142"/>
        <v>379.35604504009672</v>
      </c>
      <c r="R1110" s="14" t="str">
        <f t="shared" si="143"/>
        <v>Aug</v>
      </c>
    </row>
    <row r="1111" spans="1:18" x14ac:dyDescent="0.3">
      <c r="A1111" t="s">
        <v>2719</v>
      </c>
      <c r="B1111" s="1">
        <v>45502</v>
      </c>
      <c r="C1111" t="s">
        <v>335</v>
      </c>
      <c r="D1111" t="s">
        <v>1340</v>
      </c>
      <c r="E1111" t="s">
        <v>1579</v>
      </c>
      <c r="F1111">
        <v>2.4954474258807302</v>
      </c>
      <c r="G1111" s="14">
        <v>485.72139779579601</v>
      </c>
      <c r="H1111" s="17">
        <v>0.153708992029748</v>
      </c>
      <c r="I1111" t="s">
        <v>1614</v>
      </c>
      <c r="J1111" s="14">
        <v>1028.8938984404199</v>
      </c>
      <c r="K1111" s="14">
        <f t="shared" si="136"/>
        <v>292644.07523527148</v>
      </c>
      <c r="L1111" s="14">
        <f t="shared" si="137"/>
        <v>299</v>
      </c>
      <c r="M1111" s="14" t="str">
        <f t="shared" si="138"/>
        <v>29-07-2024</v>
      </c>
      <c r="N1111" s="14">
        <f t="shared" si="139"/>
        <v>0.15671473240682945</v>
      </c>
      <c r="O1111" s="20">
        <f t="shared" si="140"/>
        <v>2.5065995752795729</v>
      </c>
      <c r="P1111" s="14">
        <f t="shared" si="141"/>
        <v>462.71278959916577</v>
      </c>
      <c r="Q1111" s="14">
        <f t="shared" si="142"/>
        <v>379.31611316353161</v>
      </c>
      <c r="R1111" s="14" t="str">
        <f t="shared" si="143"/>
        <v>Jul</v>
      </c>
    </row>
    <row r="1112" spans="1:18" x14ac:dyDescent="0.3">
      <c r="A1112" t="s">
        <v>2720</v>
      </c>
      <c r="B1112" s="1">
        <v>45433</v>
      </c>
      <c r="C1112" t="s">
        <v>251</v>
      </c>
      <c r="D1112" t="s">
        <v>1437</v>
      </c>
      <c r="E1112" t="s">
        <v>1558</v>
      </c>
      <c r="F1112">
        <v>2.49547251508073</v>
      </c>
      <c r="G1112" s="14">
        <v>485.66963489771598</v>
      </c>
      <c r="H1112" s="17">
        <v>0.153715754100338</v>
      </c>
      <c r="I1112" t="s">
        <v>1614</v>
      </c>
      <c r="J1112" s="14">
        <v>1028.78590198097</v>
      </c>
      <c r="K1112" s="14">
        <f t="shared" si="136"/>
        <v>292644.07523527148</v>
      </c>
      <c r="L1112" s="14">
        <f t="shared" si="137"/>
        <v>299</v>
      </c>
      <c r="M1112" s="14" t="str">
        <f t="shared" si="138"/>
        <v>21-05-2024</v>
      </c>
      <c r="N1112" s="14">
        <f t="shared" si="139"/>
        <v>0.15671811344212427</v>
      </c>
      <c r="O1112" s="20">
        <f t="shared" si="140"/>
        <v>2.5066121198795717</v>
      </c>
      <c r="P1112" s="14">
        <f t="shared" si="141"/>
        <v>462.68690815012576</v>
      </c>
      <c r="Q1112" s="14">
        <f t="shared" si="142"/>
        <v>379.27618128696679</v>
      </c>
      <c r="R1112" s="14" t="str">
        <f t="shared" si="143"/>
        <v>May</v>
      </c>
    </row>
    <row r="1113" spans="1:18" x14ac:dyDescent="0.3">
      <c r="A1113" t="s">
        <v>2721</v>
      </c>
      <c r="B1113" s="1">
        <v>45594</v>
      </c>
      <c r="C1113" t="s">
        <v>97</v>
      </c>
      <c r="D1113" t="s">
        <v>1359</v>
      </c>
      <c r="E1113" t="s">
        <v>1567</v>
      </c>
      <c r="F1113">
        <v>2.4954976042807302</v>
      </c>
      <c r="G1113" s="14">
        <v>485.61787199963601</v>
      </c>
      <c r="H1113" s="17">
        <v>0.153722516170927</v>
      </c>
      <c r="I1113" t="s">
        <v>1611</v>
      </c>
      <c r="J1113" s="14">
        <v>1028.67790552152</v>
      </c>
      <c r="K1113" s="14">
        <f t="shared" si="136"/>
        <v>292644.07523527148</v>
      </c>
      <c r="L1113" s="14">
        <f t="shared" si="137"/>
        <v>299</v>
      </c>
      <c r="M1113" s="14" t="str">
        <f t="shared" si="138"/>
        <v>29-10-2024</v>
      </c>
      <c r="N1113" s="14">
        <f t="shared" si="139"/>
        <v>0.15672149447741909</v>
      </c>
      <c r="O1113" s="20">
        <f t="shared" si="140"/>
        <v>2.50662466447957</v>
      </c>
      <c r="P1113" s="14">
        <f t="shared" si="141"/>
        <v>462.66102670108558</v>
      </c>
      <c r="Q1113" s="14">
        <f t="shared" si="142"/>
        <v>379.23624941040191</v>
      </c>
      <c r="R1113" s="14" t="str">
        <f t="shared" si="143"/>
        <v>Oct</v>
      </c>
    </row>
    <row r="1114" spans="1:18" x14ac:dyDescent="0.3">
      <c r="A1114" t="s">
        <v>2722</v>
      </c>
      <c r="B1114" s="1">
        <v>45798</v>
      </c>
      <c r="C1114" t="s">
        <v>779</v>
      </c>
      <c r="D1114" t="s">
        <v>1471</v>
      </c>
      <c r="E1114" t="s">
        <v>1598</v>
      </c>
      <c r="F1114">
        <v>2.49552269348073</v>
      </c>
      <c r="G1114" s="14">
        <v>485.56610910155598</v>
      </c>
      <c r="H1114" s="17">
        <v>0.153729278241517</v>
      </c>
      <c r="I1114" t="s">
        <v>1611</v>
      </c>
      <c r="J1114" s="14">
        <v>1028.5699090620601</v>
      </c>
      <c r="K1114" s="14">
        <f t="shared" si="136"/>
        <v>292644.07523527148</v>
      </c>
      <c r="L1114" s="14">
        <f t="shared" si="137"/>
        <v>299</v>
      </c>
      <c r="M1114" s="14" t="str">
        <f t="shared" si="138"/>
        <v>21-05-2025</v>
      </c>
      <c r="N1114" s="14">
        <f t="shared" si="139"/>
        <v>0.15672487551271386</v>
      </c>
      <c r="O1114" s="20">
        <f t="shared" si="140"/>
        <v>2.5066372090795692</v>
      </c>
      <c r="P1114" s="14">
        <f t="shared" si="141"/>
        <v>462.63514525204545</v>
      </c>
      <c r="Q1114" s="14">
        <f t="shared" si="142"/>
        <v>379.19631753383459</v>
      </c>
      <c r="R1114" s="14" t="str">
        <f t="shared" si="143"/>
        <v>May</v>
      </c>
    </row>
    <row r="1115" spans="1:18" x14ac:dyDescent="0.3">
      <c r="A1115" t="s">
        <v>2723</v>
      </c>
      <c r="B1115" s="1">
        <v>45579</v>
      </c>
      <c r="C1115" t="s">
        <v>990</v>
      </c>
      <c r="D1115" t="s">
        <v>1355</v>
      </c>
      <c r="E1115" t="s">
        <v>1598</v>
      </c>
      <c r="F1115">
        <v>2.49554778268072</v>
      </c>
      <c r="G1115" s="14">
        <v>485.51434620347601</v>
      </c>
      <c r="H1115" s="17">
        <v>0.153736040312107</v>
      </c>
      <c r="I1115" t="s">
        <v>1609</v>
      </c>
      <c r="J1115" s="14">
        <v>1028.46191260261</v>
      </c>
      <c r="K1115" s="14">
        <f t="shared" si="136"/>
        <v>292644.07523527148</v>
      </c>
      <c r="L1115" s="14">
        <f t="shared" si="137"/>
        <v>299</v>
      </c>
      <c r="M1115" s="14" t="str">
        <f t="shared" si="138"/>
        <v>14-10-2024</v>
      </c>
      <c r="N1115" s="14">
        <f t="shared" si="139"/>
        <v>0.15672825654800865</v>
      </c>
      <c r="O1115" s="20">
        <f t="shared" si="140"/>
        <v>2.506649753679568</v>
      </c>
      <c r="P1115" s="14">
        <f t="shared" si="141"/>
        <v>462.60926380300543</v>
      </c>
      <c r="Q1115" s="14">
        <f t="shared" si="142"/>
        <v>379.15638565726971</v>
      </c>
      <c r="R1115" s="14" t="str">
        <f t="shared" si="143"/>
        <v>Oct</v>
      </c>
    </row>
    <row r="1116" spans="1:18" x14ac:dyDescent="0.3">
      <c r="A1116" t="s">
        <v>2724</v>
      </c>
      <c r="B1116" s="1">
        <v>45613</v>
      </c>
      <c r="C1116" t="s">
        <v>1226</v>
      </c>
      <c r="D1116" t="s">
        <v>1429</v>
      </c>
      <c r="E1116" t="s">
        <v>1546</v>
      </c>
      <c r="F1116">
        <v>2.4955728718807202</v>
      </c>
      <c r="G1116" s="14">
        <v>485.46258330539598</v>
      </c>
      <c r="H1116" s="17">
        <v>0.153742802382696</v>
      </c>
      <c r="I1116" t="s">
        <v>1614</v>
      </c>
      <c r="J1116" s="14">
        <v>1028.3539161431599</v>
      </c>
      <c r="K1116" s="14">
        <f t="shared" si="136"/>
        <v>291615.61332266888</v>
      </c>
      <c r="L1116" s="14">
        <f t="shared" si="137"/>
        <v>298</v>
      </c>
      <c r="M1116" s="14" t="str">
        <f t="shared" si="138"/>
        <v>17-11-2024</v>
      </c>
      <c r="N1116" s="14">
        <f t="shared" si="139"/>
        <v>0.15673163758330347</v>
      </c>
      <c r="O1116" s="20">
        <f t="shared" si="140"/>
        <v>2.5066622982795668</v>
      </c>
      <c r="P1116" s="14">
        <f t="shared" si="141"/>
        <v>462.58338235396542</v>
      </c>
      <c r="Q1116" s="14">
        <f t="shared" si="142"/>
        <v>379.11645378070483</v>
      </c>
      <c r="R1116" s="14" t="str">
        <f t="shared" si="143"/>
        <v>Nov</v>
      </c>
    </row>
    <row r="1117" spans="1:18" x14ac:dyDescent="0.3">
      <c r="A1117" t="s">
        <v>2725</v>
      </c>
      <c r="B1117" s="1">
        <v>45745</v>
      </c>
      <c r="C1117" t="s">
        <v>969</v>
      </c>
      <c r="D1117" t="s">
        <v>1519</v>
      </c>
      <c r="E1117" t="s">
        <v>1579</v>
      </c>
      <c r="F1117">
        <v>2.49559796108072</v>
      </c>
      <c r="G1117" s="14">
        <v>485.41082040731601</v>
      </c>
      <c r="H1117" s="17">
        <v>0.153749564453286</v>
      </c>
      <c r="I1117" t="s">
        <v>1609</v>
      </c>
      <c r="J1117" s="14">
        <v>1028.2459196837101</v>
      </c>
      <c r="K1117" s="14">
        <f t="shared" si="136"/>
        <v>291615.61332266888</v>
      </c>
      <c r="L1117" s="14">
        <f t="shared" si="137"/>
        <v>298</v>
      </c>
      <c r="M1117" s="14" t="str">
        <f t="shared" si="138"/>
        <v>29-03-2025</v>
      </c>
      <c r="N1117" s="14">
        <f t="shared" si="139"/>
        <v>0.15673501861859832</v>
      </c>
      <c r="O1117" s="20">
        <f t="shared" si="140"/>
        <v>2.5066748428795651</v>
      </c>
      <c r="P1117" s="14">
        <f t="shared" si="141"/>
        <v>462.55750090492529</v>
      </c>
      <c r="Q1117" s="14">
        <f t="shared" si="142"/>
        <v>379.07652190414001</v>
      </c>
      <c r="R1117" s="14" t="str">
        <f t="shared" si="143"/>
        <v>Mar</v>
      </c>
    </row>
    <row r="1118" spans="1:18" x14ac:dyDescent="0.3">
      <c r="A1118" t="s">
        <v>2726</v>
      </c>
      <c r="B1118" s="1">
        <v>45494</v>
      </c>
      <c r="C1118" t="s">
        <v>1005</v>
      </c>
      <c r="D1118" t="s">
        <v>1431</v>
      </c>
      <c r="E1118" t="s">
        <v>1537</v>
      </c>
      <c r="F1118">
        <v>2.4956230502807202</v>
      </c>
      <c r="G1118" s="14">
        <v>485.35905750923502</v>
      </c>
      <c r="H1118" s="17">
        <v>0.153756326523875</v>
      </c>
      <c r="I1118" t="s">
        <v>1611</v>
      </c>
      <c r="J1118" s="14">
        <v>1028.13792322426</v>
      </c>
      <c r="K1118" s="14">
        <f t="shared" si="136"/>
        <v>290587.36740298511</v>
      </c>
      <c r="L1118" s="14">
        <f t="shared" si="137"/>
        <v>297</v>
      </c>
      <c r="M1118" s="14" t="str">
        <f t="shared" si="138"/>
        <v>21-07-2024</v>
      </c>
      <c r="N1118" s="14">
        <f t="shared" si="139"/>
        <v>0.15673839965389308</v>
      </c>
      <c r="O1118" s="20">
        <f t="shared" si="140"/>
        <v>2.5066873874795639</v>
      </c>
      <c r="P1118" s="14">
        <f t="shared" si="141"/>
        <v>462.53161945588522</v>
      </c>
      <c r="Q1118" s="14">
        <f t="shared" si="142"/>
        <v>379.0365900275749</v>
      </c>
      <c r="R1118" s="14" t="str">
        <f t="shared" si="143"/>
        <v>Jul</v>
      </c>
    </row>
    <row r="1119" spans="1:18" x14ac:dyDescent="0.3">
      <c r="A1119" t="s">
        <v>2727</v>
      </c>
      <c r="B1119" s="1">
        <v>45883</v>
      </c>
      <c r="C1119" t="s">
        <v>347</v>
      </c>
      <c r="D1119" t="s">
        <v>1443</v>
      </c>
      <c r="E1119" t="s">
        <v>1558</v>
      </c>
      <c r="F1119">
        <v>2.4956481394807102</v>
      </c>
      <c r="G1119" s="14">
        <v>485.30729461115499</v>
      </c>
      <c r="H1119" s="17">
        <v>0.153763088594465</v>
      </c>
      <c r="I1119" t="s">
        <v>1611</v>
      </c>
      <c r="J1119" s="14">
        <v>1028.0299267648099</v>
      </c>
      <c r="K1119" s="14">
        <f t="shared" si="136"/>
        <v>290587.36740298511</v>
      </c>
      <c r="L1119" s="14">
        <f t="shared" si="137"/>
        <v>297</v>
      </c>
      <c r="M1119" s="14" t="str">
        <f t="shared" si="138"/>
        <v>14-08-2025</v>
      </c>
      <c r="N1119" s="14">
        <f t="shared" si="139"/>
        <v>0.15674178068918793</v>
      </c>
      <c r="O1119" s="20">
        <f t="shared" si="140"/>
        <v>2.5066999320795627</v>
      </c>
      <c r="P1119" s="14">
        <f t="shared" si="141"/>
        <v>462.50573800684504</v>
      </c>
      <c r="Q1119" s="14">
        <f t="shared" si="142"/>
        <v>378.99665815101002</v>
      </c>
      <c r="R1119" s="14" t="str">
        <f t="shared" si="143"/>
        <v>Aug</v>
      </c>
    </row>
    <row r="1120" spans="1:18" x14ac:dyDescent="0.3">
      <c r="A1120" t="s">
        <v>2728</v>
      </c>
      <c r="B1120" s="1">
        <v>45601</v>
      </c>
      <c r="C1120" t="s">
        <v>1154</v>
      </c>
      <c r="D1120" t="s">
        <v>1389</v>
      </c>
      <c r="E1120" t="s">
        <v>1577</v>
      </c>
      <c r="F1120">
        <v>2.49567322868071</v>
      </c>
      <c r="G1120" s="14">
        <v>485.25553171307502</v>
      </c>
      <c r="H1120" s="17">
        <v>0.153769850665055</v>
      </c>
      <c r="I1120" t="s">
        <v>1611</v>
      </c>
      <c r="J1120" s="14">
        <v>1027.9219303053501</v>
      </c>
      <c r="K1120" s="14">
        <f t="shared" si="136"/>
        <v>290587.36740298511</v>
      </c>
      <c r="L1120" s="14">
        <f t="shared" si="137"/>
        <v>297</v>
      </c>
      <c r="M1120" s="14" t="str">
        <f t="shared" si="138"/>
        <v>05-11-2024</v>
      </c>
      <c r="N1120" s="14">
        <f t="shared" si="139"/>
        <v>0.15674516172448275</v>
      </c>
      <c r="O1120" s="20">
        <f t="shared" si="140"/>
        <v>2.5067124766795614</v>
      </c>
      <c r="P1120" s="14">
        <f t="shared" si="141"/>
        <v>462.47985655780508</v>
      </c>
      <c r="Q1120" s="14">
        <f t="shared" si="142"/>
        <v>378.9567262744427</v>
      </c>
      <c r="R1120" s="14" t="str">
        <f t="shared" si="143"/>
        <v>Nov</v>
      </c>
    </row>
    <row r="1121" spans="1:18" x14ac:dyDescent="0.3">
      <c r="A1121" t="s">
        <v>2729</v>
      </c>
      <c r="B1121" s="1">
        <v>45454</v>
      </c>
      <c r="C1121" t="s">
        <v>1215</v>
      </c>
      <c r="D1121" t="s">
        <v>1511</v>
      </c>
      <c r="E1121" t="s">
        <v>1589</v>
      </c>
      <c r="F1121">
        <v>2.4956983178807102</v>
      </c>
      <c r="G1121" s="14">
        <v>485.20376881499499</v>
      </c>
      <c r="H1121" s="17">
        <v>0.153776612735644</v>
      </c>
      <c r="I1121" t="s">
        <v>1614</v>
      </c>
      <c r="J1121" s="14">
        <v>1027.8139338459</v>
      </c>
      <c r="K1121" s="14">
        <f t="shared" si="136"/>
        <v>290587.36740298511</v>
      </c>
      <c r="L1121" s="14">
        <f t="shared" si="137"/>
        <v>297</v>
      </c>
      <c r="M1121" s="14" t="str">
        <f t="shared" si="138"/>
        <v>11-06-2024</v>
      </c>
      <c r="N1121" s="14">
        <f t="shared" si="139"/>
        <v>0.15674854275977754</v>
      </c>
      <c r="O1121" s="20">
        <f t="shared" si="140"/>
        <v>2.5067250212795602</v>
      </c>
      <c r="P1121" s="14">
        <f t="shared" si="141"/>
        <v>462.45397510876495</v>
      </c>
      <c r="Q1121" s="14">
        <f t="shared" si="142"/>
        <v>378.91679439787788</v>
      </c>
      <c r="R1121" s="14" t="str">
        <f t="shared" si="143"/>
        <v>Jun</v>
      </c>
    </row>
    <row r="1122" spans="1:18" x14ac:dyDescent="0.3">
      <c r="A1122" t="s">
        <v>2730</v>
      </c>
      <c r="B1122" s="1">
        <v>45918</v>
      </c>
      <c r="C1122" t="s">
        <v>89</v>
      </c>
      <c r="D1122" t="s">
        <v>1473</v>
      </c>
      <c r="E1122" t="s">
        <v>1595</v>
      </c>
      <c r="F1122">
        <v>2.4957234070807099</v>
      </c>
      <c r="G1122" s="14">
        <v>485.15200591691502</v>
      </c>
      <c r="H1122" s="17">
        <v>0.153783374806234</v>
      </c>
      <c r="I1122" t="s">
        <v>1609</v>
      </c>
      <c r="J1122" s="14">
        <v>1027.7059373864499</v>
      </c>
      <c r="K1122" s="14">
        <f t="shared" si="136"/>
        <v>290587.36740298511</v>
      </c>
      <c r="L1122" s="14">
        <f t="shared" si="137"/>
        <v>297</v>
      </c>
      <c r="M1122" s="14" t="str">
        <f t="shared" si="138"/>
        <v>18-09-2025</v>
      </c>
      <c r="N1122" s="14">
        <f t="shared" si="139"/>
        <v>0.15675192379507233</v>
      </c>
      <c r="O1122" s="20">
        <f t="shared" si="140"/>
        <v>2.506737565879559</v>
      </c>
      <c r="P1122" s="14">
        <f t="shared" si="141"/>
        <v>462.42809365972488</v>
      </c>
      <c r="Q1122" s="14">
        <f t="shared" si="142"/>
        <v>378.876862521313</v>
      </c>
      <c r="R1122" s="14" t="str">
        <f t="shared" si="143"/>
        <v>Sep</v>
      </c>
    </row>
    <row r="1123" spans="1:18" x14ac:dyDescent="0.3">
      <c r="A1123" t="s">
        <v>2731</v>
      </c>
      <c r="B1123" s="1">
        <v>45729</v>
      </c>
      <c r="C1123" t="s">
        <v>218</v>
      </c>
      <c r="D1123" t="s">
        <v>1473</v>
      </c>
      <c r="E1123" t="s">
        <v>1537</v>
      </c>
      <c r="F1123">
        <v>2.4957484962806999</v>
      </c>
      <c r="G1123" s="14">
        <v>485.10024301883499</v>
      </c>
      <c r="H1123" s="17">
        <v>0.153790136876823</v>
      </c>
      <c r="I1123" t="s">
        <v>1611</v>
      </c>
      <c r="J1123" s="14">
        <v>1027.5979409270001</v>
      </c>
      <c r="K1123" s="14">
        <f t="shared" si="136"/>
        <v>289559.66146559868</v>
      </c>
      <c r="L1123" s="14">
        <f t="shared" si="137"/>
        <v>296</v>
      </c>
      <c r="M1123" s="14" t="str">
        <f t="shared" si="138"/>
        <v>13-03-2025</v>
      </c>
      <c r="N1123" s="14">
        <f t="shared" si="139"/>
        <v>0.15675530483036715</v>
      </c>
      <c r="O1123" s="20">
        <f t="shared" si="140"/>
        <v>2.5067501104795573</v>
      </c>
      <c r="P1123" s="14">
        <f t="shared" si="141"/>
        <v>462.40221221068481</v>
      </c>
      <c r="Q1123" s="14">
        <f t="shared" si="142"/>
        <v>378.83693064474812</v>
      </c>
      <c r="R1123" s="14" t="str">
        <f t="shared" si="143"/>
        <v>Mar</v>
      </c>
    </row>
    <row r="1124" spans="1:18" x14ac:dyDescent="0.3">
      <c r="A1124" t="s">
        <v>2732</v>
      </c>
      <c r="B1124" s="1">
        <v>45276</v>
      </c>
      <c r="C1124" t="s">
        <v>942</v>
      </c>
      <c r="D1124" t="s">
        <v>1479</v>
      </c>
      <c r="E1124" t="s">
        <v>1561</v>
      </c>
      <c r="F1124">
        <v>2.4957735854807002</v>
      </c>
      <c r="G1124" s="14">
        <v>485.04848012075399</v>
      </c>
      <c r="H1124" s="17">
        <v>0.153796898947413</v>
      </c>
      <c r="I1124" t="s">
        <v>1611</v>
      </c>
      <c r="J1124" s="14">
        <v>1027.48994446755</v>
      </c>
      <c r="K1124" s="14">
        <f t="shared" si="136"/>
        <v>289559.66146559868</v>
      </c>
      <c r="L1124" s="14">
        <f t="shared" si="137"/>
        <v>296</v>
      </c>
      <c r="M1124" s="14" t="str">
        <f t="shared" si="138"/>
        <v>16-12-2023</v>
      </c>
      <c r="N1124" s="14">
        <f t="shared" si="139"/>
        <v>0.15675868586566197</v>
      </c>
      <c r="O1124" s="20">
        <f t="shared" si="140"/>
        <v>2.5067626550795556</v>
      </c>
      <c r="P1124" s="14">
        <f t="shared" si="141"/>
        <v>462.37633076164468</v>
      </c>
      <c r="Q1124" s="14">
        <f t="shared" si="142"/>
        <v>378.79699876818302</v>
      </c>
      <c r="R1124" s="14" t="str">
        <f t="shared" si="143"/>
        <v>Dec</v>
      </c>
    </row>
    <row r="1125" spans="1:18" x14ac:dyDescent="0.3">
      <c r="A1125" t="s">
        <v>2733</v>
      </c>
      <c r="B1125" s="1">
        <v>45851</v>
      </c>
      <c r="C1125" t="s">
        <v>278</v>
      </c>
      <c r="D1125" t="s">
        <v>1397</v>
      </c>
      <c r="E1125" t="s">
        <v>1542</v>
      </c>
      <c r="F1125">
        <v>2.4957986746806999</v>
      </c>
      <c r="G1125" s="14">
        <v>484.99671722267402</v>
      </c>
      <c r="H1125" s="17">
        <v>0.153803661018003</v>
      </c>
      <c r="I1125" t="s">
        <v>1611</v>
      </c>
      <c r="J1125" s="14">
        <v>1027.3819480080999</v>
      </c>
      <c r="K1125" s="14">
        <f t="shared" si="136"/>
        <v>289559.66146559868</v>
      </c>
      <c r="L1125" s="14">
        <f t="shared" si="137"/>
        <v>296</v>
      </c>
      <c r="M1125" s="14" t="str">
        <f t="shared" si="138"/>
        <v>13-07-2025</v>
      </c>
      <c r="N1125" s="14">
        <f t="shared" si="139"/>
        <v>0.15676206690095673</v>
      </c>
      <c r="O1125" s="20">
        <f t="shared" si="140"/>
        <v>2.5067751996795549</v>
      </c>
      <c r="P1125" s="14">
        <f t="shared" si="141"/>
        <v>462.35044931260467</v>
      </c>
      <c r="Q1125" s="14">
        <f t="shared" si="142"/>
        <v>378.75706689161814</v>
      </c>
      <c r="R1125" s="14" t="str">
        <f t="shared" si="143"/>
        <v>Jul</v>
      </c>
    </row>
    <row r="1126" spans="1:18" x14ac:dyDescent="0.3">
      <c r="A1126" t="s">
        <v>2734</v>
      </c>
      <c r="B1126" s="1">
        <v>45418</v>
      </c>
      <c r="C1126" t="s">
        <v>878</v>
      </c>
      <c r="D1126" t="s">
        <v>1441</v>
      </c>
      <c r="E1126" t="s">
        <v>1579</v>
      </c>
      <c r="F1126">
        <v>2.4958237638807002</v>
      </c>
      <c r="G1126" s="14">
        <v>484.94495432459399</v>
      </c>
      <c r="H1126" s="17">
        <v>0.153810423088592</v>
      </c>
      <c r="I1126" t="s">
        <v>1609</v>
      </c>
      <c r="J1126" s="14">
        <v>1027.2739515486401</v>
      </c>
      <c r="K1126" s="14">
        <f t="shared" si="136"/>
        <v>289559.66146559868</v>
      </c>
      <c r="L1126" s="14">
        <f t="shared" si="137"/>
        <v>296</v>
      </c>
      <c r="M1126" s="14" t="str">
        <f t="shared" si="138"/>
        <v>06-05-2024</v>
      </c>
      <c r="N1126" s="14">
        <f t="shared" si="139"/>
        <v>0.15676544793625158</v>
      </c>
      <c r="O1126" s="20">
        <f t="shared" si="140"/>
        <v>2.5067877442795532</v>
      </c>
      <c r="P1126" s="14">
        <f t="shared" si="141"/>
        <v>462.32456786356454</v>
      </c>
      <c r="Q1126" s="14">
        <f t="shared" si="142"/>
        <v>378.71713501505087</v>
      </c>
      <c r="R1126" s="14" t="str">
        <f t="shared" si="143"/>
        <v>May</v>
      </c>
    </row>
    <row r="1127" spans="1:18" x14ac:dyDescent="0.3">
      <c r="A1127" t="s">
        <v>2735</v>
      </c>
      <c r="B1127" s="1">
        <v>45508</v>
      </c>
      <c r="C1127" t="s">
        <v>268</v>
      </c>
      <c r="D1127" t="s">
        <v>1353</v>
      </c>
      <c r="E1127" t="s">
        <v>1592</v>
      </c>
      <c r="F1127">
        <v>2.4958488530806902</v>
      </c>
      <c r="G1127" s="14">
        <v>484.89319142651402</v>
      </c>
      <c r="H1127" s="17">
        <v>0.153817185159182</v>
      </c>
      <c r="I1127" t="s">
        <v>1611</v>
      </c>
      <c r="J1127" s="14">
        <v>1027.16595508919</v>
      </c>
      <c r="K1127" s="14">
        <f t="shared" si="136"/>
        <v>288532.38751405006</v>
      </c>
      <c r="L1127" s="14">
        <f t="shared" si="137"/>
        <v>295</v>
      </c>
      <c r="M1127" s="14" t="str">
        <f t="shared" si="138"/>
        <v>04-08-2024</v>
      </c>
      <c r="N1127" s="14">
        <f t="shared" si="139"/>
        <v>0.1567688289715464</v>
      </c>
      <c r="O1127" s="20">
        <f t="shared" si="140"/>
        <v>2.506800288879552</v>
      </c>
      <c r="P1127" s="14">
        <f t="shared" si="141"/>
        <v>462.29868641452447</v>
      </c>
      <c r="Q1127" s="14">
        <f t="shared" si="142"/>
        <v>378.67720313848599</v>
      </c>
      <c r="R1127" s="14" t="str">
        <f t="shared" si="143"/>
        <v>Aug</v>
      </c>
    </row>
    <row r="1128" spans="1:18" x14ac:dyDescent="0.3">
      <c r="A1128" t="s">
        <v>2736</v>
      </c>
      <c r="B1128" s="1">
        <v>45269</v>
      </c>
      <c r="C1128" t="s">
        <v>934</v>
      </c>
      <c r="D1128" t="s">
        <v>1471</v>
      </c>
      <c r="E1128" t="s">
        <v>1567</v>
      </c>
      <c r="F1128">
        <v>2.4958739422806899</v>
      </c>
      <c r="G1128" s="14">
        <v>484.84142852843399</v>
      </c>
      <c r="H1128" s="17">
        <v>0.153823947229772</v>
      </c>
      <c r="I1128" t="s">
        <v>1614</v>
      </c>
      <c r="J1128" s="14">
        <v>1027.0579586297399</v>
      </c>
      <c r="K1128" s="14">
        <f t="shared" si="136"/>
        <v>288532.38751405006</v>
      </c>
      <c r="L1128" s="14">
        <f t="shared" si="137"/>
        <v>295</v>
      </c>
      <c r="M1128" s="14" t="str">
        <f t="shared" si="138"/>
        <v>09-12-2023</v>
      </c>
      <c r="N1128" s="14">
        <f t="shared" si="139"/>
        <v>0.15677221000684116</v>
      </c>
      <c r="O1128" s="20">
        <f t="shared" si="140"/>
        <v>2.5068128334795503</v>
      </c>
      <c r="P1128" s="14">
        <f t="shared" si="141"/>
        <v>462.27280496548434</v>
      </c>
      <c r="Q1128" s="14">
        <f t="shared" si="142"/>
        <v>378.63727126192111</v>
      </c>
      <c r="R1128" s="14" t="str">
        <f t="shared" si="143"/>
        <v>Dec</v>
      </c>
    </row>
    <row r="1129" spans="1:18" x14ac:dyDescent="0.3">
      <c r="A1129" t="s">
        <v>2737</v>
      </c>
      <c r="B1129" s="1">
        <v>45866</v>
      </c>
      <c r="C1129" t="s">
        <v>1236</v>
      </c>
      <c r="D1129" t="s">
        <v>1491</v>
      </c>
      <c r="E1129" t="s">
        <v>1564</v>
      </c>
      <c r="F1129">
        <v>2.4958990314806901</v>
      </c>
      <c r="G1129" s="14">
        <v>484.78966563035402</v>
      </c>
      <c r="H1129" s="17">
        <v>0.153830709300361</v>
      </c>
      <c r="I1129" t="s">
        <v>1609</v>
      </c>
      <c r="J1129" s="14">
        <v>1026.9499621702901</v>
      </c>
      <c r="K1129" s="14">
        <f t="shared" si="136"/>
        <v>288532.38751405006</v>
      </c>
      <c r="L1129" s="14">
        <f t="shared" si="137"/>
        <v>295</v>
      </c>
      <c r="M1129" s="14" t="str">
        <f t="shared" si="138"/>
        <v>28-07-2025</v>
      </c>
      <c r="N1129" s="14">
        <f t="shared" si="139"/>
        <v>0.15677559104213595</v>
      </c>
      <c r="O1129" s="20">
        <f t="shared" si="140"/>
        <v>2.5068253780795491</v>
      </c>
      <c r="P1129" s="14">
        <f t="shared" si="141"/>
        <v>462.24692351644433</v>
      </c>
      <c r="Q1129" s="14">
        <f t="shared" si="142"/>
        <v>378.59733938535629</v>
      </c>
      <c r="R1129" s="14" t="str">
        <f t="shared" si="143"/>
        <v>Jul</v>
      </c>
    </row>
    <row r="1130" spans="1:18" x14ac:dyDescent="0.3">
      <c r="A1130" t="s">
        <v>2738</v>
      </c>
      <c r="B1130" s="1">
        <v>45462</v>
      </c>
      <c r="C1130" t="s">
        <v>381</v>
      </c>
      <c r="D1130" t="s">
        <v>1393</v>
      </c>
      <c r="E1130" t="s">
        <v>1571</v>
      </c>
      <c r="F1130">
        <v>2.4959241206806801</v>
      </c>
      <c r="G1130" s="14">
        <v>484.73790273227303</v>
      </c>
      <c r="H1130" s="17">
        <v>0.153837471370951</v>
      </c>
      <c r="I1130" t="s">
        <v>1609</v>
      </c>
      <c r="J1130" s="14">
        <v>1026.84196571084</v>
      </c>
      <c r="K1130" s="14">
        <f t="shared" si="136"/>
        <v>287505.43755187967</v>
      </c>
      <c r="L1130" s="14">
        <f t="shared" si="137"/>
        <v>294</v>
      </c>
      <c r="M1130" s="14" t="str">
        <f t="shared" si="138"/>
        <v>19-06-2024</v>
      </c>
      <c r="N1130" s="14">
        <f t="shared" si="139"/>
        <v>0.15677897207743077</v>
      </c>
      <c r="O1130" s="20">
        <f t="shared" si="140"/>
        <v>2.5068379226795479</v>
      </c>
      <c r="P1130" s="14">
        <f t="shared" si="141"/>
        <v>462.2210420674042</v>
      </c>
      <c r="Q1130" s="14">
        <f t="shared" si="142"/>
        <v>378.55740750879113</v>
      </c>
      <c r="R1130" s="14" t="str">
        <f t="shared" si="143"/>
        <v>Jun</v>
      </c>
    </row>
    <row r="1131" spans="1:18" x14ac:dyDescent="0.3">
      <c r="A1131" t="s">
        <v>2739</v>
      </c>
      <c r="B1131" s="1">
        <v>45313</v>
      </c>
      <c r="C1131" t="s">
        <v>1166</v>
      </c>
      <c r="D1131" t="s">
        <v>1477</v>
      </c>
      <c r="E1131" t="s">
        <v>1564</v>
      </c>
      <c r="F1131">
        <v>2.4959492098806799</v>
      </c>
      <c r="G1131" s="14">
        <v>484.686139834193</v>
      </c>
      <c r="H1131" s="17">
        <v>0.15384423344154</v>
      </c>
      <c r="I1131" t="s">
        <v>1614</v>
      </c>
      <c r="J1131" s="14">
        <v>1026.7339692513799</v>
      </c>
      <c r="K1131" s="14">
        <f t="shared" si="136"/>
        <v>286478.59558616893</v>
      </c>
      <c r="L1131" s="14">
        <f t="shared" si="137"/>
        <v>293</v>
      </c>
      <c r="M1131" s="14" t="str">
        <f t="shared" si="138"/>
        <v>22-01-2024</v>
      </c>
      <c r="N1131" s="14">
        <f t="shared" si="139"/>
        <v>0.15678235311272562</v>
      </c>
      <c r="O1131" s="20">
        <f t="shared" si="140"/>
        <v>2.5068504672795466</v>
      </c>
      <c r="P1131" s="14">
        <f t="shared" si="141"/>
        <v>462.19516061836413</v>
      </c>
      <c r="Q1131" s="14">
        <f t="shared" si="142"/>
        <v>378.51747563222375</v>
      </c>
      <c r="R1131" s="14" t="str">
        <f t="shared" si="143"/>
        <v>Jan</v>
      </c>
    </row>
    <row r="1132" spans="1:18" x14ac:dyDescent="0.3">
      <c r="A1132" t="s">
        <v>2740</v>
      </c>
      <c r="B1132" s="1">
        <v>45390</v>
      </c>
      <c r="C1132" t="s">
        <v>818</v>
      </c>
      <c r="D1132" t="s">
        <v>1401</v>
      </c>
      <c r="E1132" t="s">
        <v>1561</v>
      </c>
      <c r="F1132">
        <v>2.4959742990806801</v>
      </c>
      <c r="G1132" s="14">
        <v>484.63437693611297</v>
      </c>
      <c r="H1132" s="17">
        <v>0.15385099551213</v>
      </c>
      <c r="I1132" t="s">
        <v>1614</v>
      </c>
      <c r="J1132" s="14">
        <v>1026.6259727919301</v>
      </c>
      <c r="K1132" s="14">
        <f t="shared" si="136"/>
        <v>286478.59558616893</v>
      </c>
      <c r="L1132" s="14">
        <f t="shared" si="137"/>
        <v>293</v>
      </c>
      <c r="M1132" s="14" t="str">
        <f t="shared" si="138"/>
        <v>08-04-2024</v>
      </c>
      <c r="N1132" s="14">
        <f t="shared" si="139"/>
        <v>0.15678573414802041</v>
      </c>
      <c r="O1132" s="20">
        <f t="shared" si="140"/>
        <v>2.506863011879545</v>
      </c>
      <c r="P1132" s="14">
        <f t="shared" si="141"/>
        <v>462.169279169324</v>
      </c>
      <c r="Q1132" s="14">
        <f t="shared" si="142"/>
        <v>378.47754375565898</v>
      </c>
      <c r="R1132" s="14" t="str">
        <f t="shared" si="143"/>
        <v>Apr</v>
      </c>
    </row>
    <row r="1133" spans="1:18" x14ac:dyDescent="0.3">
      <c r="A1133" t="s">
        <v>2741</v>
      </c>
      <c r="B1133" s="1">
        <v>45795</v>
      </c>
      <c r="C1133" t="s">
        <v>579</v>
      </c>
      <c r="D1133" t="s">
        <v>1431</v>
      </c>
      <c r="E1133" t="s">
        <v>1577</v>
      </c>
      <c r="F1133">
        <v>2.4959993882806799</v>
      </c>
      <c r="G1133" s="14">
        <v>484.582614038033</v>
      </c>
      <c r="H1133" s="17">
        <v>0.15385775758272</v>
      </c>
      <c r="I1133" t="s">
        <v>1611</v>
      </c>
      <c r="J1133" s="14">
        <v>1026.51797633248</v>
      </c>
      <c r="K1133" s="14">
        <f t="shared" si="136"/>
        <v>286478.59558616893</v>
      </c>
      <c r="L1133" s="14">
        <f t="shared" si="137"/>
        <v>293</v>
      </c>
      <c r="M1133" s="14" t="str">
        <f t="shared" si="138"/>
        <v>18-05-2025</v>
      </c>
      <c r="N1133" s="14">
        <f t="shared" si="139"/>
        <v>0.1567891151833152</v>
      </c>
      <c r="O1133" s="20">
        <f t="shared" si="140"/>
        <v>2.5068755564795437</v>
      </c>
      <c r="P1133" s="14">
        <f t="shared" si="141"/>
        <v>462.14339772028387</v>
      </c>
      <c r="Q1133" s="14">
        <f t="shared" si="142"/>
        <v>378.43761187909411</v>
      </c>
      <c r="R1133" s="14" t="str">
        <f t="shared" si="143"/>
        <v>May</v>
      </c>
    </row>
    <row r="1134" spans="1:18" x14ac:dyDescent="0.3">
      <c r="A1134" t="s">
        <v>2742</v>
      </c>
      <c r="B1134" s="1">
        <v>45267</v>
      </c>
      <c r="C1134" t="s">
        <v>1080</v>
      </c>
      <c r="D1134" t="s">
        <v>1511</v>
      </c>
      <c r="E1134" t="s">
        <v>1574</v>
      </c>
      <c r="F1134">
        <v>2.4960244774806699</v>
      </c>
      <c r="G1134" s="14">
        <v>484.53085113995297</v>
      </c>
      <c r="H1134" s="17">
        <v>0.153864519653309</v>
      </c>
      <c r="I1134" t="s">
        <v>1614</v>
      </c>
      <c r="J1134" s="14">
        <v>1026.4099798730299</v>
      </c>
      <c r="K1134" s="14">
        <f t="shared" si="136"/>
        <v>286478.59558616893</v>
      </c>
      <c r="L1134" s="14">
        <f t="shared" si="137"/>
        <v>293</v>
      </c>
      <c r="M1134" s="14" t="str">
        <f t="shared" si="138"/>
        <v>07-12-2023</v>
      </c>
      <c r="N1134" s="14">
        <f t="shared" si="139"/>
        <v>0.15679249621860999</v>
      </c>
      <c r="O1134" s="20">
        <f t="shared" si="140"/>
        <v>2.506888101079543</v>
      </c>
      <c r="P1134" s="14">
        <f t="shared" si="141"/>
        <v>462.1175162712438</v>
      </c>
      <c r="Q1134" s="14">
        <f t="shared" si="142"/>
        <v>378.39768000252923</v>
      </c>
      <c r="R1134" s="14" t="str">
        <f t="shared" si="143"/>
        <v>Dec</v>
      </c>
    </row>
    <row r="1135" spans="1:18" x14ac:dyDescent="0.3">
      <c r="A1135" t="s">
        <v>2743</v>
      </c>
      <c r="B1135" s="1">
        <v>45314</v>
      </c>
      <c r="C1135" t="s">
        <v>1306</v>
      </c>
      <c r="D1135" t="s">
        <v>1385</v>
      </c>
      <c r="E1135" t="s">
        <v>1546</v>
      </c>
      <c r="F1135">
        <v>2.4960495666806701</v>
      </c>
      <c r="G1135" s="14">
        <v>484.479088241873</v>
      </c>
      <c r="H1135" s="17">
        <v>0.15387128172389899</v>
      </c>
      <c r="I1135" t="s">
        <v>1614</v>
      </c>
      <c r="J1135" s="14">
        <v>1026.30198341358</v>
      </c>
      <c r="K1135" s="14">
        <f t="shared" si="136"/>
        <v>286478.59558616893</v>
      </c>
      <c r="L1135" s="14">
        <f t="shared" si="137"/>
        <v>293</v>
      </c>
      <c r="M1135" s="14" t="str">
        <f t="shared" si="138"/>
        <v>23-01-2024</v>
      </c>
      <c r="N1135" s="14">
        <f t="shared" si="139"/>
        <v>0.15679587725390481</v>
      </c>
      <c r="O1135" s="20">
        <f t="shared" si="140"/>
        <v>2.5069006456795417</v>
      </c>
      <c r="P1135" s="14">
        <f t="shared" si="141"/>
        <v>462.09163482220373</v>
      </c>
      <c r="Q1135" s="14">
        <f t="shared" si="142"/>
        <v>378.35774812596441</v>
      </c>
      <c r="R1135" s="14" t="str">
        <f t="shared" si="143"/>
        <v>Jan</v>
      </c>
    </row>
    <row r="1136" spans="1:18" x14ac:dyDescent="0.3">
      <c r="A1136" t="s">
        <v>2744</v>
      </c>
      <c r="B1136" s="1">
        <v>45267</v>
      </c>
      <c r="C1136" t="s">
        <v>929</v>
      </c>
      <c r="D1136" t="s">
        <v>1373</v>
      </c>
      <c r="E1136" t="s">
        <v>1564</v>
      </c>
      <c r="F1136">
        <v>2.4960746558806699</v>
      </c>
      <c r="G1136" s="14">
        <v>484.42732534379297</v>
      </c>
      <c r="H1136" s="17">
        <v>0.153878043794488</v>
      </c>
      <c r="I1136" t="s">
        <v>1614</v>
      </c>
      <c r="J1136" s="14">
        <v>1026.19398695413</v>
      </c>
      <c r="K1136" s="14">
        <f t="shared" si="136"/>
        <v>286478.59558616893</v>
      </c>
      <c r="L1136" s="14">
        <f t="shared" si="137"/>
        <v>293</v>
      </c>
      <c r="M1136" s="14" t="str">
        <f t="shared" si="138"/>
        <v>07-12-2023</v>
      </c>
      <c r="N1136" s="14">
        <f t="shared" si="139"/>
        <v>0.15679925828919963</v>
      </c>
      <c r="O1136" s="20">
        <f t="shared" si="140"/>
        <v>2.5069131902795392</v>
      </c>
      <c r="P1136" s="14">
        <f t="shared" si="141"/>
        <v>462.06575337316366</v>
      </c>
      <c r="Q1136" s="14">
        <f t="shared" si="142"/>
        <v>378.31781624939953</v>
      </c>
      <c r="R1136" s="14" t="str">
        <f t="shared" si="143"/>
        <v>Dec</v>
      </c>
    </row>
    <row r="1137" spans="1:18" x14ac:dyDescent="0.3">
      <c r="A1137" t="s">
        <v>2745</v>
      </c>
      <c r="B1137" s="1">
        <v>45641</v>
      </c>
      <c r="C1137" t="s">
        <v>1178</v>
      </c>
      <c r="D1137" t="s">
        <v>1517</v>
      </c>
      <c r="E1137" t="s">
        <v>1542</v>
      </c>
      <c r="F1137">
        <v>2.4960997450806701</v>
      </c>
      <c r="G1137" s="14">
        <v>484.37556244571198</v>
      </c>
      <c r="H1137" s="17">
        <v>0.15388480586507799</v>
      </c>
      <c r="I1137" t="s">
        <v>1609</v>
      </c>
      <c r="J1137" s="14">
        <v>1026.0859904946701</v>
      </c>
      <c r="K1137" s="14">
        <f t="shared" si="136"/>
        <v>286478.59558616893</v>
      </c>
      <c r="L1137" s="14">
        <f t="shared" si="137"/>
        <v>293</v>
      </c>
      <c r="M1137" s="14" t="str">
        <f t="shared" si="138"/>
        <v>15-12-2024</v>
      </c>
      <c r="N1137" s="14">
        <f t="shared" si="139"/>
        <v>0.15680263932449442</v>
      </c>
      <c r="O1137" s="20">
        <f t="shared" si="140"/>
        <v>2.5069257348795388</v>
      </c>
      <c r="P1137" s="14">
        <f t="shared" si="141"/>
        <v>462.03987192412353</v>
      </c>
      <c r="Q1137" s="14">
        <f t="shared" si="142"/>
        <v>378.27788437283198</v>
      </c>
      <c r="R1137" s="14" t="str">
        <f t="shared" si="143"/>
        <v>Dec</v>
      </c>
    </row>
    <row r="1138" spans="1:18" x14ac:dyDescent="0.3">
      <c r="A1138" t="s">
        <v>2746</v>
      </c>
      <c r="B1138" s="1">
        <v>45371</v>
      </c>
      <c r="C1138" t="s">
        <v>441</v>
      </c>
      <c r="D1138" t="s">
        <v>1383</v>
      </c>
      <c r="E1138" t="s">
        <v>1586</v>
      </c>
      <c r="F1138">
        <v>2.4961248342806601</v>
      </c>
      <c r="G1138" s="14">
        <v>484.32379954763201</v>
      </c>
      <c r="H1138" s="17">
        <v>0.15389156793566799</v>
      </c>
      <c r="I1138" t="s">
        <v>1611</v>
      </c>
      <c r="J1138" s="14">
        <v>1025.97799403522</v>
      </c>
      <c r="K1138" s="14">
        <f t="shared" si="136"/>
        <v>285452.50959567417</v>
      </c>
      <c r="L1138" s="14">
        <f t="shared" si="137"/>
        <v>292</v>
      </c>
      <c r="M1138" s="14" t="str">
        <f t="shared" si="138"/>
        <v>20-03-2024</v>
      </c>
      <c r="N1138" s="14">
        <f t="shared" si="139"/>
        <v>0.15680602035978924</v>
      </c>
      <c r="O1138" s="20">
        <f t="shared" si="140"/>
        <v>2.5069382794795376</v>
      </c>
      <c r="P1138" s="14">
        <f t="shared" si="141"/>
        <v>462.01399047508346</v>
      </c>
      <c r="Q1138" s="14">
        <f t="shared" si="142"/>
        <v>378.2379524962671</v>
      </c>
      <c r="R1138" s="14" t="str">
        <f t="shared" si="143"/>
        <v>Mar</v>
      </c>
    </row>
    <row r="1139" spans="1:18" x14ac:dyDescent="0.3">
      <c r="A1139" t="s">
        <v>2747</v>
      </c>
      <c r="B1139" s="1">
        <v>45670</v>
      </c>
      <c r="C1139" t="s">
        <v>1320</v>
      </c>
      <c r="D1139" t="s">
        <v>1443</v>
      </c>
      <c r="E1139" t="s">
        <v>1567</v>
      </c>
      <c r="F1139">
        <v>2.4961499234806599</v>
      </c>
      <c r="G1139" s="14">
        <v>484.27203664955198</v>
      </c>
      <c r="H1139" s="17">
        <v>0.15389833000625699</v>
      </c>
      <c r="I1139" t="s">
        <v>1611</v>
      </c>
      <c r="J1139" s="14">
        <v>1025.86999757577</v>
      </c>
      <c r="K1139" s="14">
        <f t="shared" si="136"/>
        <v>285452.50959567417</v>
      </c>
      <c r="L1139" s="14">
        <f t="shared" si="137"/>
        <v>292</v>
      </c>
      <c r="M1139" s="14" t="str">
        <f t="shared" si="138"/>
        <v>13-01-2025</v>
      </c>
      <c r="N1139" s="14">
        <f t="shared" si="139"/>
        <v>0.15680940139508404</v>
      </c>
      <c r="O1139" s="20">
        <f t="shared" si="140"/>
        <v>2.506950824079536</v>
      </c>
      <c r="P1139" s="14">
        <f t="shared" si="141"/>
        <v>461.98810902604339</v>
      </c>
      <c r="Q1139" s="14">
        <f t="shared" si="142"/>
        <v>378.19802061970222</v>
      </c>
      <c r="R1139" s="14" t="str">
        <f t="shared" si="143"/>
        <v>Jan</v>
      </c>
    </row>
    <row r="1140" spans="1:18" x14ac:dyDescent="0.3">
      <c r="A1140" t="s">
        <v>2748</v>
      </c>
      <c r="B1140" s="1">
        <v>45885</v>
      </c>
      <c r="C1140" t="s">
        <v>244</v>
      </c>
      <c r="D1140" t="s">
        <v>1521</v>
      </c>
      <c r="E1140" t="s">
        <v>1558</v>
      </c>
      <c r="F1140">
        <v>2.4961750126806601</v>
      </c>
      <c r="G1140" s="14">
        <v>484.22027375147201</v>
      </c>
      <c r="H1140" s="17">
        <v>0.15390509207684699</v>
      </c>
      <c r="I1140" t="s">
        <v>1614</v>
      </c>
      <c r="J1140" s="14">
        <v>1025.7620011163201</v>
      </c>
      <c r="K1140" s="14">
        <f t="shared" si="136"/>
        <v>285452.50959567417</v>
      </c>
      <c r="L1140" s="14">
        <f t="shared" si="137"/>
        <v>292</v>
      </c>
      <c r="M1140" s="14" t="str">
        <f t="shared" si="138"/>
        <v>16-08-2025</v>
      </c>
      <c r="N1140" s="14">
        <f t="shared" si="139"/>
        <v>0.15681278243037886</v>
      </c>
      <c r="O1140" s="20">
        <f t="shared" si="140"/>
        <v>2.5069633686795338</v>
      </c>
      <c r="P1140" s="14">
        <f t="shared" si="141"/>
        <v>461.96222757700332</v>
      </c>
      <c r="Q1140" s="14">
        <f t="shared" si="142"/>
        <v>378.1580887431374</v>
      </c>
      <c r="R1140" s="14" t="str">
        <f t="shared" si="143"/>
        <v>Aug</v>
      </c>
    </row>
    <row r="1141" spans="1:18" x14ac:dyDescent="0.3">
      <c r="A1141" t="s">
        <v>2749</v>
      </c>
      <c r="B1141" s="1">
        <v>45812</v>
      </c>
      <c r="C1141" t="s">
        <v>295</v>
      </c>
      <c r="D1141" t="s">
        <v>1423</v>
      </c>
      <c r="E1141" t="s">
        <v>1537</v>
      </c>
      <c r="F1141">
        <v>2.4962001018806599</v>
      </c>
      <c r="G1141" s="14">
        <v>484.16851085339198</v>
      </c>
      <c r="H1141" s="17">
        <v>0.15391185414743599</v>
      </c>
      <c r="I1141" t="s">
        <v>1609</v>
      </c>
      <c r="J1141" s="14">
        <v>1025.65400465687</v>
      </c>
      <c r="K1141" s="14">
        <f t="shared" si="136"/>
        <v>285452.50959567417</v>
      </c>
      <c r="L1141" s="14">
        <f t="shared" si="137"/>
        <v>292</v>
      </c>
      <c r="M1141" s="14" t="str">
        <f t="shared" si="138"/>
        <v>04-06-2025</v>
      </c>
      <c r="N1141" s="14">
        <f t="shared" si="139"/>
        <v>0.15681616346567367</v>
      </c>
      <c r="O1141" s="20">
        <f t="shared" si="140"/>
        <v>2.5069759132795335</v>
      </c>
      <c r="P1141" s="14">
        <f t="shared" si="141"/>
        <v>461.93634612796319</v>
      </c>
      <c r="Q1141" s="14">
        <f t="shared" si="142"/>
        <v>378.11815686657252</v>
      </c>
      <c r="R1141" s="14" t="str">
        <f t="shared" si="143"/>
        <v>Jun</v>
      </c>
    </row>
    <row r="1142" spans="1:18" x14ac:dyDescent="0.3">
      <c r="A1142" t="s">
        <v>2750</v>
      </c>
      <c r="B1142" s="1">
        <v>45235</v>
      </c>
      <c r="C1142" t="s">
        <v>1299</v>
      </c>
      <c r="D1142" t="s">
        <v>1411</v>
      </c>
      <c r="E1142" t="s">
        <v>1579</v>
      </c>
      <c r="F1142">
        <v>2.4962251910806499</v>
      </c>
      <c r="G1142" s="14">
        <v>484.11674795531201</v>
      </c>
      <c r="H1142" s="17">
        <v>0.15391861621802599</v>
      </c>
      <c r="I1142" t="s">
        <v>1609</v>
      </c>
      <c r="J1142" s="14">
        <v>1025.54600819742</v>
      </c>
      <c r="K1142" s="14">
        <f t="shared" si="136"/>
        <v>284426.85559101729</v>
      </c>
      <c r="L1142" s="14">
        <f t="shared" si="137"/>
        <v>291</v>
      </c>
      <c r="M1142" s="14" t="str">
        <f t="shared" si="138"/>
        <v>05-11-2023</v>
      </c>
      <c r="N1142" s="14">
        <f t="shared" si="139"/>
        <v>0.15681954450096847</v>
      </c>
      <c r="O1142" s="20">
        <f t="shared" si="140"/>
        <v>2.5069884578795323</v>
      </c>
      <c r="P1142" s="14">
        <f t="shared" si="141"/>
        <v>461.91046467892312</v>
      </c>
      <c r="Q1142" s="14">
        <f t="shared" si="142"/>
        <v>378.0782249900077</v>
      </c>
      <c r="R1142" s="14" t="str">
        <f t="shared" si="143"/>
        <v>Nov</v>
      </c>
    </row>
    <row r="1143" spans="1:18" x14ac:dyDescent="0.3">
      <c r="A1143" t="s">
        <v>2751</v>
      </c>
      <c r="B1143" s="1">
        <v>45710</v>
      </c>
      <c r="C1143" t="s">
        <v>1283</v>
      </c>
      <c r="D1143" t="s">
        <v>1399</v>
      </c>
      <c r="E1143" t="s">
        <v>1582</v>
      </c>
      <c r="F1143">
        <v>2.4962502802806501</v>
      </c>
      <c r="G1143" s="14">
        <v>484.06498505723101</v>
      </c>
      <c r="H1143" s="17">
        <v>0.15392537828861599</v>
      </c>
      <c r="I1143" t="s">
        <v>1611</v>
      </c>
      <c r="J1143" s="14">
        <v>1025.4380117379601</v>
      </c>
      <c r="K1143" s="14">
        <f t="shared" si="136"/>
        <v>283401.30958281993</v>
      </c>
      <c r="L1143" s="14">
        <f t="shared" si="137"/>
        <v>290</v>
      </c>
      <c r="M1143" s="14" t="str">
        <f t="shared" si="138"/>
        <v>22-02-2025</v>
      </c>
      <c r="N1143" s="14">
        <f t="shared" si="139"/>
        <v>0.15682292553626323</v>
      </c>
      <c r="O1143" s="20">
        <f t="shared" si="140"/>
        <v>2.5070010024795306</v>
      </c>
      <c r="P1143" s="14">
        <f t="shared" si="141"/>
        <v>461.88458322988305</v>
      </c>
      <c r="Q1143" s="14">
        <f t="shared" si="142"/>
        <v>378.03829311344009</v>
      </c>
      <c r="R1143" s="14" t="str">
        <f t="shared" si="143"/>
        <v>Feb</v>
      </c>
    </row>
    <row r="1144" spans="1:18" x14ac:dyDescent="0.3">
      <c r="A1144" t="s">
        <v>2752</v>
      </c>
      <c r="B1144" s="1">
        <v>45753</v>
      </c>
      <c r="C1144" t="s">
        <v>1217</v>
      </c>
      <c r="D1144" t="s">
        <v>1401</v>
      </c>
      <c r="E1144" t="s">
        <v>1537</v>
      </c>
      <c r="F1144">
        <v>2.4962753694806499</v>
      </c>
      <c r="G1144" s="14">
        <v>484.01322215915098</v>
      </c>
      <c r="H1144" s="17">
        <v>0.15393214035920499</v>
      </c>
      <c r="I1144" t="s">
        <v>1614</v>
      </c>
      <c r="J1144" s="14">
        <v>1025.33001527851</v>
      </c>
      <c r="K1144" s="14">
        <f t="shared" si="136"/>
        <v>283401.30958281993</v>
      </c>
      <c r="L1144" s="14">
        <f t="shared" si="137"/>
        <v>290</v>
      </c>
      <c r="M1144" s="14" t="str">
        <f t="shared" si="138"/>
        <v>06-04-2025</v>
      </c>
      <c r="N1144" s="14">
        <f t="shared" si="139"/>
        <v>0.15682630657155802</v>
      </c>
      <c r="O1144" s="20">
        <f t="shared" si="140"/>
        <v>2.5070135470795298</v>
      </c>
      <c r="P1144" s="14">
        <f t="shared" si="141"/>
        <v>461.85870178084298</v>
      </c>
      <c r="Q1144" s="14">
        <f t="shared" si="142"/>
        <v>377.99836123687521</v>
      </c>
      <c r="R1144" s="14" t="str">
        <f t="shared" si="143"/>
        <v>Apr</v>
      </c>
    </row>
    <row r="1145" spans="1:18" x14ac:dyDescent="0.3">
      <c r="A1145" t="s">
        <v>2753</v>
      </c>
      <c r="B1145" s="1">
        <v>45594</v>
      </c>
      <c r="C1145" t="s">
        <v>134</v>
      </c>
      <c r="D1145" t="s">
        <v>1425</v>
      </c>
      <c r="E1145" t="s">
        <v>1551</v>
      </c>
      <c r="F1145">
        <v>2.4963004586806501</v>
      </c>
      <c r="G1145" s="14">
        <v>483.96145926107101</v>
      </c>
      <c r="H1145" s="17">
        <v>0.15393890242979499</v>
      </c>
      <c r="I1145" t="s">
        <v>1611</v>
      </c>
      <c r="J1145" s="14">
        <v>1025.2220188190599</v>
      </c>
      <c r="K1145" s="14">
        <f t="shared" si="136"/>
        <v>283401.30958281993</v>
      </c>
      <c r="L1145" s="14">
        <f t="shared" si="137"/>
        <v>290</v>
      </c>
      <c r="M1145" s="14" t="str">
        <f t="shared" si="138"/>
        <v>29-10-2024</v>
      </c>
      <c r="N1145" s="14">
        <f t="shared" si="139"/>
        <v>0.15682968760685287</v>
      </c>
      <c r="O1145" s="20">
        <f t="shared" si="140"/>
        <v>2.5070260916795282</v>
      </c>
      <c r="P1145" s="14">
        <f t="shared" si="141"/>
        <v>461.83282033180291</v>
      </c>
      <c r="Q1145" s="14">
        <f t="shared" si="142"/>
        <v>377.95842936031033</v>
      </c>
      <c r="R1145" s="14" t="str">
        <f t="shared" si="143"/>
        <v>Oct</v>
      </c>
    </row>
    <row r="1146" spans="1:18" x14ac:dyDescent="0.3">
      <c r="A1146" t="s">
        <v>2754</v>
      </c>
      <c r="B1146" s="1">
        <v>45686</v>
      </c>
      <c r="C1146" t="s">
        <v>1310</v>
      </c>
      <c r="D1146" t="s">
        <v>1511</v>
      </c>
      <c r="E1146" t="s">
        <v>1551</v>
      </c>
      <c r="F1146">
        <v>2.4963255478806401</v>
      </c>
      <c r="G1146" s="14">
        <v>483.90969636299099</v>
      </c>
      <c r="H1146" s="17">
        <v>0.15394566450038499</v>
      </c>
      <c r="I1146" t="s">
        <v>1611</v>
      </c>
      <c r="J1146" s="14">
        <v>1025.1140223596101</v>
      </c>
      <c r="K1146" s="14">
        <f t="shared" si="136"/>
        <v>283401.30958281993</v>
      </c>
      <c r="L1146" s="14">
        <f t="shared" si="137"/>
        <v>290</v>
      </c>
      <c r="M1146" s="14" t="str">
        <f t="shared" si="138"/>
        <v>29-01-2025</v>
      </c>
      <c r="N1146" s="14">
        <f t="shared" si="139"/>
        <v>0.15683306864214766</v>
      </c>
      <c r="O1146" s="20">
        <f t="shared" si="140"/>
        <v>2.5070386362795269</v>
      </c>
      <c r="P1146" s="14">
        <f t="shared" si="141"/>
        <v>461.80693888276278</v>
      </c>
      <c r="Q1146" s="14">
        <f t="shared" si="142"/>
        <v>377.91849748374551</v>
      </c>
      <c r="R1146" s="14" t="str">
        <f t="shared" si="143"/>
        <v>Jan</v>
      </c>
    </row>
    <row r="1147" spans="1:18" x14ac:dyDescent="0.3">
      <c r="A1147" t="s">
        <v>2755</v>
      </c>
      <c r="B1147" s="1">
        <v>45354</v>
      </c>
      <c r="C1147" t="s">
        <v>1249</v>
      </c>
      <c r="D1147" t="s">
        <v>1459</v>
      </c>
      <c r="E1147" t="s">
        <v>1551</v>
      </c>
      <c r="F1147">
        <v>2.4963506370806399</v>
      </c>
      <c r="G1147" s="14">
        <v>483.85793346491101</v>
      </c>
      <c r="H1147" s="17">
        <v>0.15395242657097399</v>
      </c>
      <c r="I1147" t="s">
        <v>1614</v>
      </c>
      <c r="J1147" s="14">
        <v>1025.00602590016</v>
      </c>
      <c r="K1147" s="14">
        <f t="shared" si="136"/>
        <v>283401.30958281993</v>
      </c>
      <c r="L1147" s="14">
        <f t="shared" si="137"/>
        <v>290</v>
      </c>
      <c r="M1147" s="14" t="str">
        <f t="shared" si="138"/>
        <v>03-03-2024</v>
      </c>
      <c r="N1147" s="14">
        <f t="shared" si="139"/>
        <v>0.15683644967744245</v>
      </c>
      <c r="O1147" s="20">
        <f t="shared" si="140"/>
        <v>2.5070511808795262</v>
      </c>
      <c r="P1147" s="14">
        <f t="shared" si="141"/>
        <v>461.78105743372265</v>
      </c>
      <c r="Q1147" s="14">
        <f t="shared" si="142"/>
        <v>377.87856560718069</v>
      </c>
      <c r="R1147" s="14" t="str">
        <f t="shared" si="143"/>
        <v>Mar</v>
      </c>
    </row>
    <row r="1148" spans="1:18" x14ac:dyDescent="0.3">
      <c r="A1148" t="s">
        <v>2756</v>
      </c>
      <c r="B1148" s="1">
        <v>45600</v>
      </c>
      <c r="C1148" t="s">
        <v>1274</v>
      </c>
      <c r="D1148" t="s">
        <v>1491</v>
      </c>
      <c r="E1148" t="s">
        <v>1595</v>
      </c>
      <c r="F1148">
        <v>2.4963757262806401</v>
      </c>
      <c r="G1148" s="14">
        <v>483.80617056683099</v>
      </c>
      <c r="H1148" s="17">
        <v>0.15395918864156399</v>
      </c>
      <c r="I1148" t="s">
        <v>1611</v>
      </c>
      <c r="J1148" s="14">
        <v>1024.8980294407099</v>
      </c>
      <c r="K1148" s="14">
        <f t="shared" si="136"/>
        <v>283401.30958281993</v>
      </c>
      <c r="L1148" s="14">
        <f t="shared" si="137"/>
        <v>290</v>
      </c>
      <c r="M1148" s="14" t="str">
        <f t="shared" si="138"/>
        <v>04-11-2024</v>
      </c>
      <c r="N1148" s="14">
        <f t="shared" si="139"/>
        <v>0.15683983071273724</v>
      </c>
      <c r="O1148" s="20">
        <f t="shared" si="140"/>
        <v>2.5070637254795245</v>
      </c>
      <c r="P1148" s="14">
        <f t="shared" si="141"/>
        <v>461.75517598468258</v>
      </c>
      <c r="Q1148" s="14">
        <f t="shared" si="142"/>
        <v>377.83863373061581</v>
      </c>
      <c r="R1148" s="14" t="str">
        <f t="shared" si="143"/>
        <v>Nov</v>
      </c>
    </row>
    <row r="1149" spans="1:18" x14ac:dyDescent="0.3">
      <c r="A1149" t="s">
        <v>2757</v>
      </c>
      <c r="B1149" s="1">
        <v>45538</v>
      </c>
      <c r="C1149" t="s">
        <v>866</v>
      </c>
      <c r="D1149" t="s">
        <v>1495</v>
      </c>
      <c r="E1149" t="s">
        <v>1561</v>
      </c>
      <c r="F1149">
        <v>2.4964008154806301</v>
      </c>
      <c r="G1149" s="14">
        <v>483.75440766874999</v>
      </c>
      <c r="H1149" s="17">
        <v>0.15396595071215299</v>
      </c>
      <c r="I1149" t="s">
        <v>1614</v>
      </c>
      <c r="J1149" s="14">
        <v>1024.7900329812501</v>
      </c>
      <c r="K1149" s="14">
        <f t="shared" si="136"/>
        <v>283401.30958281993</v>
      </c>
      <c r="L1149" s="14">
        <f t="shared" si="137"/>
        <v>290</v>
      </c>
      <c r="M1149" s="14" t="str">
        <f t="shared" si="138"/>
        <v>03-09-2024</v>
      </c>
      <c r="N1149" s="14">
        <f t="shared" si="139"/>
        <v>0.15684321174803206</v>
      </c>
      <c r="O1149" s="20">
        <f t="shared" si="140"/>
        <v>2.5070762700795228</v>
      </c>
      <c r="P1149" s="14">
        <f t="shared" si="141"/>
        <v>461.72929453564257</v>
      </c>
      <c r="Q1149" s="14">
        <f t="shared" si="142"/>
        <v>377.7987018540482</v>
      </c>
      <c r="R1149" s="14" t="str">
        <f t="shared" si="143"/>
        <v>Sep</v>
      </c>
    </row>
    <row r="1150" spans="1:18" x14ac:dyDescent="0.3">
      <c r="A1150" t="s">
        <v>2758</v>
      </c>
      <c r="B1150" s="1">
        <v>45411</v>
      </c>
      <c r="C1150" t="s">
        <v>1193</v>
      </c>
      <c r="D1150" t="s">
        <v>1338</v>
      </c>
      <c r="E1150" t="s">
        <v>1551</v>
      </c>
      <c r="F1150">
        <v>2.4964259046806299</v>
      </c>
      <c r="G1150" s="14">
        <v>483.70264477067002</v>
      </c>
      <c r="H1150" s="17">
        <v>0.15397271278274299</v>
      </c>
      <c r="I1150" t="s">
        <v>1609</v>
      </c>
      <c r="J1150" s="14">
        <v>1024.6820365218</v>
      </c>
      <c r="K1150" s="14">
        <f t="shared" si="136"/>
        <v>283401.30958281993</v>
      </c>
      <c r="L1150" s="14">
        <f t="shared" si="137"/>
        <v>290</v>
      </c>
      <c r="M1150" s="14" t="str">
        <f t="shared" si="138"/>
        <v>29-04-2024</v>
      </c>
      <c r="N1150" s="14">
        <f t="shared" si="139"/>
        <v>0.15684659278332688</v>
      </c>
      <c r="O1150" s="20">
        <f t="shared" si="140"/>
        <v>2.5070888146795216</v>
      </c>
      <c r="P1150" s="14">
        <f t="shared" si="141"/>
        <v>461.7034130866025</v>
      </c>
      <c r="Q1150" s="14">
        <f t="shared" si="142"/>
        <v>377.75876997748333</v>
      </c>
      <c r="R1150" s="14" t="str">
        <f t="shared" si="143"/>
        <v>Apr</v>
      </c>
    </row>
    <row r="1151" spans="1:18" x14ac:dyDescent="0.3">
      <c r="A1151" t="s">
        <v>2759</v>
      </c>
      <c r="B1151" s="1">
        <v>45411</v>
      </c>
      <c r="C1151" t="s">
        <v>329</v>
      </c>
      <c r="D1151" t="s">
        <v>1425</v>
      </c>
      <c r="E1151" t="s">
        <v>1551</v>
      </c>
      <c r="F1151">
        <v>2.4964509938806301</v>
      </c>
      <c r="G1151" s="14">
        <v>483.65088187258999</v>
      </c>
      <c r="H1151" s="17">
        <v>0.15397947485333299</v>
      </c>
      <c r="I1151" t="s">
        <v>1614</v>
      </c>
      <c r="J1151" s="14">
        <v>1024.5740400623499</v>
      </c>
      <c r="K1151" s="14">
        <f t="shared" si="136"/>
        <v>282376.62754629808</v>
      </c>
      <c r="L1151" s="14">
        <f t="shared" si="137"/>
        <v>289</v>
      </c>
      <c r="M1151" s="14" t="str">
        <f t="shared" si="138"/>
        <v>29-04-2024</v>
      </c>
      <c r="N1151" s="14">
        <f t="shared" si="139"/>
        <v>0.15684997381862167</v>
      </c>
      <c r="O1151" s="20">
        <f t="shared" si="140"/>
        <v>2.5071013592795208</v>
      </c>
      <c r="P1151" s="14">
        <f t="shared" si="141"/>
        <v>461.67753163756242</v>
      </c>
      <c r="Q1151" s="14">
        <f t="shared" si="142"/>
        <v>377.71883810091845</v>
      </c>
      <c r="R1151" s="14" t="str">
        <f t="shared" si="143"/>
        <v>Apr</v>
      </c>
    </row>
    <row r="1152" spans="1:18" x14ac:dyDescent="0.3">
      <c r="A1152" t="s">
        <v>2760</v>
      </c>
      <c r="B1152" s="1">
        <v>45775</v>
      </c>
      <c r="C1152" t="s">
        <v>1050</v>
      </c>
      <c r="D1152" t="s">
        <v>1475</v>
      </c>
      <c r="E1152" t="s">
        <v>1571</v>
      </c>
      <c r="F1152">
        <v>2.4964760830806298</v>
      </c>
      <c r="G1152" s="14">
        <v>483.59911897451002</v>
      </c>
      <c r="H1152" s="17">
        <v>0.15398623692392199</v>
      </c>
      <c r="I1152" t="s">
        <v>1611</v>
      </c>
      <c r="J1152" s="14">
        <v>1024.4660436029001</v>
      </c>
      <c r="K1152" s="14">
        <f t="shared" si="136"/>
        <v>282376.62754629808</v>
      </c>
      <c r="L1152" s="14">
        <f t="shared" si="137"/>
        <v>289</v>
      </c>
      <c r="M1152" s="14" t="str">
        <f t="shared" si="138"/>
        <v>28-04-2025</v>
      </c>
      <c r="N1152" s="14">
        <f t="shared" si="139"/>
        <v>0.15685335485391647</v>
      </c>
      <c r="O1152" s="20">
        <f t="shared" si="140"/>
        <v>2.5071139038795192</v>
      </c>
      <c r="P1152" s="14">
        <f t="shared" si="141"/>
        <v>461.65165018852235</v>
      </c>
      <c r="Q1152" s="14">
        <f t="shared" si="142"/>
        <v>377.67890622435368</v>
      </c>
      <c r="R1152" s="14" t="str">
        <f t="shared" si="143"/>
        <v>Apr</v>
      </c>
    </row>
    <row r="1153" spans="1:18" x14ac:dyDescent="0.3">
      <c r="A1153" t="s">
        <v>2761</v>
      </c>
      <c r="B1153" s="1">
        <v>45459</v>
      </c>
      <c r="C1153" t="s">
        <v>470</v>
      </c>
      <c r="D1153" t="s">
        <v>1425</v>
      </c>
      <c r="E1153" t="s">
        <v>1595</v>
      </c>
      <c r="F1153">
        <v>2.4965011722806199</v>
      </c>
      <c r="G1153" s="14">
        <v>483.54735607642999</v>
      </c>
      <c r="H1153" s="17">
        <v>0.15399299899451199</v>
      </c>
      <c r="I1153" t="s">
        <v>1611</v>
      </c>
      <c r="J1153" s="14">
        <v>1024.35804714345</v>
      </c>
      <c r="K1153" s="14">
        <f t="shared" si="136"/>
        <v>282376.62754629808</v>
      </c>
      <c r="L1153" s="14">
        <f t="shared" si="137"/>
        <v>289</v>
      </c>
      <c r="M1153" s="14" t="str">
        <f t="shared" si="138"/>
        <v>16-06-2024</v>
      </c>
      <c r="N1153" s="14">
        <f t="shared" si="139"/>
        <v>0.15685673588921129</v>
      </c>
      <c r="O1153" s="20">
        <f t="shared" si="140"/>
        <v>2.5071264484795179</v>
      </c>
      <c r="P1153" s="14">
        <f t="shared" si="141"/>
        <v>461.62576873948228</v>
      </c>
      <c r="Q1153" s="14">
        <f t="shared" si="142"/>
        <v>377.6389743477888</v>
      </c>
      <c r="R1153" s="14" t="str">
        <f t="shared" si="143"/>
        <v>Jun</v>
      </c>
    </row>
    <row r="1154" spans="1:18" x14ac:dyDescent="0.3">
      <c r="A1154" t="s">
        <v>2762</v>
      </c>
      <c r="B1154" s="1">
        <v>45617</v>
      </c>
      <c r="C1154" t="s">
        <v>1245</v>
      </c>
      <c r="D1154" t="s">
        <v>1517</v>
      </c>
      <c r="E1154" t="s">
        <v>1584</v>
      </c>
      <c r="F1154">
        <v>2.4965262614806201</v>
      </c>
      <c r="G1154" s="14">
        <v>483.49559317835002</v>
      </c>
      <c r="H1154" s="17">
        <v>0.15399976106510099</v>
      </c>
      <c r="I1154" t="s">
        <v>1614</v>
      </c>
      <c r="J1154" s="14">
        <v>1024.2500506839999</v>
      </c>
      <c r="K1154" s="14">
        <f t="shared" ref="K1154:K1217" si="144">SUMIF(I1154:I3153,"Credit Card",J1154:J3153)</f>
        <v>282376.62754629808</v>
      </c>
      <c r="L1154" s="14">
        <f t="shared" ref="L1154:L1217" si="145">COUNTIF(I1154:I3153,"Credit Card")</f>
        <v>289</v>
      </c>
      <c r="M1154" s="14" t="str">
        <f t="shared" ref="M1154:M1217" si="146">TEXT(B1154:B3153,"dd-mm-yyyy")</f>
        <v>21-11-2024</v>
      </c>
      <c r="N1154" s="14">
        <f t="shared" ref="N1154:N1217" si="147">AVERAGE(H1154:H3153)</f>
        <v>0.15686011692450608</v>
      </c>
      <c r="O1154" s="20">
        <f t="shared" ref="O1154:O1217" si="148">AVERAGE(F1154:F3153)</f>
        <v>2.5071389930795172</v>
      </c>
      <c r="P1154" s="14">
        <f t="shared" ref="P1154:P1217" si="149">AVERAGE(G1154:G3153)</f>
        <v>461.59988729044221</v>
      </c>
      <c r="Q1154" s="14">
        <f t="shared" ref="Q1154:Q1217" si="150">AVERAGE(F1154,G1154,H1154,J1154)</f>
        <v>377.59904247122392</v>
      </c>
      <c r="R1154" s="14" t="str">
        <f t="shared" ref="R1154:R1217" si="151">TEXT(M1154,"mmm")</f>
        <v>Nov</v>
      </c>
    </row>
    <row r="1155" spans="1:18" x14ac:dyDescent="0.3">
      <c r="A1155" t="s">
        <v>2763</v>
      </c>
      <c r="B1155" s="1">
        <v>45763</v>
      </c>
      <c r="C1155" t="s">
        <v>541</v>
      </c>
      <c r="D1155" t="s">
        <v>1345</v>
      </c>
      <c r="E1155" t="s">
        <v>1554</v>
      </c>
      <c r="F1155">
        <v>2.4965513506806198</v>
      </c>
      <c r="G1155" s="14">
        <v>483.44383028026903</v>
      </c>
      <c r="H1155" s="17">
        <v>0.15400652313569099</v>
      </c>
      <c r="I1155" t="s">
        <v>1609</v>
      </c>
      <c r="J1155" s="14">
        <v>1024.1420542245401</v>
      </c>
      <c r="K1155" s="14">
        <f t="shared" si="144"/>
        <v>282376.62754629808</v>
      </c>
      <c r="L1155" s="14">
        <f t="shared" si="145"/>
        <v>289</v>
      </c>
      <c r="M1155" s="14" t="str">
        <f t="shared" si="146"/>
        <v>16-04-2025</v>
      </c>
      <c r="N1155" s="14">
        <f t="shared" si="147"/>
        <v>0.15686349795980087</v>
      </c>
      <c r="O1155" s="20">
        <f t="shared" si="148"/>
        <v>2.5071515376795159</v>
      </c>
      <c r="P1155" s="14">
        <f t="shared" si="149"/>
        <v>461.57400584140208</v>
      </c>
      <c r="Q1155" s="14">
        <f t="shared" si="150"/>
        <v>377.55911059465637</v>
      </c>
      <c r="R1155" s="14" t="str">
        <f t="shared" si="151"/>
        <v>Apr</v>
      </c>
    </row>
    <row r="1156" spans="1:18" x14ac:dyDescent="0.3">
      <c r="A1156" t="s">
        <v>2764</v>
      </c>
      <c r="B1156" s="1">
        <v>45618</v>
      </c>
      <c r="C1156" t="s">
        <v>1017</v>
      </c>
      <c r="D1156" t="s">
        <v>1431</v>
      </c>
      <c r="E1156" t="s">
        <v>1574</v>
      </c>
      <c r="F1156">
        <v>2.4965764398806201</v>
      </c>
      <c r="G1156" s="14">
        <v>483.392067382189</v>
      </c>
      <c r="H1156" s="17">
        <v>0.15401328520628099</v>
      </c>
      <c r="I1156" t="s">
        <v>1614</v>
      </c>
      <c r="J1156" s="14">
        <v>1024.03405776509</v>
      </c>
      <c r="K1156" s="14">
        <f t="shared" si="144"/>
        <v>281352.48549207352</v>
      </c>
      <c r="L1156" s="14">
        <f t="shared" si="145"/>
        <v>288</v>
      </c>
      <c r="M1156" s="14" t="str">
        <f t="shared" si="146"/>
        <v>22-11-2024</v>
      </c>
      <c r="N1156" s="14">
        <f t="shared" si="147"/>
        <v>0.15686687899509572</v>
      </c>
      <c r="O1156" s="20">
        <f t="shared" si="148"/>
        <v>2.5071640822795143</v>
      </c>
      <c r="P1156" s="14">
        <f t="shared" si="149"/>
        <v>461.54812439236201</v>
      </c>
      <c r="Q1156" s="14">
        <f t="shared" si="150"/>
        <v>377.5191787180915</v>
      </c>
      <c r="R1156" s="14" t="str">
        <f t="shared" si="151"/>
        <v>Nov</v>
      </c>
    </row>
    <row r="1157" spans="1:18" x14ac:dyDescent="0.3">
      <c r="A1157" t="s">
        <v>2765</v>
      </c>
      <c r="B1157" s="1">
        <v>45290</v>
      </c>
      <c r="C1157" t="s">
        <v>1248</v>
      </c>
      <c r="D1157" t="s">
        <v>1453</v>
      </c>
      <c r="E1157" t="s">
        <v>1592</v>
      </c>
      <c r="F1157">
        <v>2.4966015290806101</v>
      </c>
      <c r="G1157" s="14">
        <v>483.34030448410903</v>
      </c>
      <c r="H1157" s="17">
        <v>0.15402004727686999</v>
      </c>
      <c r="I1157" t="s">
        <v>1609</v>
      </c>
      <c r="J1157" s="14">
        <v>1023.92606130564</v>
      </c>
      <c r="K1157" s="14">
        <f t="shared" si="144"/>
        <v>281352.48549207352</v>
      </c>
      <c r="L1157" s="14">
        <f t="shared" si="145"/>
        <v>288</v>
      </c>
      <c r="M1157" s="14" t="str">
        <f t="shared" si="146"/>
        <v>30-12-2023</v>
      </c>
      <c r="N1157" s="14">
        <f t="shared" si="147"/>
        <v>0.15687026003039051</v>
      </c>
      <c r="O1157" s="20">
        <f t="shared" si="148"/>
        <v>2.507176626879513</v>
      </c>
      <c r="P1157" s="14">
        <f t="shared" si="149"/>
        <v>461.522242943322</v>
      </c>
      <c r="Q1157" s="14">
        <f t="shared" si="150"/>
        <v>377.47924684152662</v>
      </c>
      <c r="R1157" s="14" t="str">
        <f t="shared" si="151"/>
        <v>Dec</v>
      </c>
    </row>
    <row r="1158" spans="1:18" x14ac:dyDescent="0.3">
      <c r="A1158" t="s">
        <v>2766</v>
      </c>
      <c r="B1158" s="1">
        <v>45904</v>
      </c>
      <c r="C1158" t="s">
        <v>1285</v>
      </c>
      <c r="D1158" t="s">
        <v>1447</v>
      </c>
      <c r="E1158" t="s">
        <v>1589</v>
      </c>
      <c r="F1158">
        <v>2.4966266182806098</v>
      </c>
      <c r="G1158" s="14">
        <v>483.288541586029</v>
      </c>
      <c r="H1158" s="17">
        <v>0.15402680934745999</v>
      </c>
      <c r="I1158" t="s">
        <v>1614</v>
      </c>
      <c r="J1158" s="14">
        <v>1023.8180648461901</v>
      </c>
      <c r="K1158" s="14">
        <f t="shared" si="144"/>
        <v>280328.55943076796</v>
      </c>
      <c r="L1158" s="14">
        <f t="shared" si="145"/>
        <v>287</v>
      </c>
      <c r="M1158" s="14" t="str">
        <f t="shared" si="146"/>
        <v>04-09-2025</v>
      </c>
      <c r="N1158" s="14">
        <f t="shared" si="147"/>
        <v>0.15687364106568533</v>
      </c>
      <c r="O1158" s="20">
        <f t="shared" si="148"/>
        <v>2.5071891714795118</v>
      </c>
      <c r="P1158" s="14">
        <f t="shared" si="149"/>
        <v>461.49636149428198</v>
      </c>
      <c r="Q1158" s="14">
        <f t="shared" si="150"/>
        <v>377.4393149649618</v>
      </c>
      <c r="R1158" s="14" t="str">
        <f t="shared" si="151"/>
        <v>Sep</v>
      </c>
    </row>
    <row r="1159" spans="1:18" x14ac:dyDescent="0.3">
      <c r="A1159" t="s">
        <v>2767</v>
      </c>
      <c r="B1159" s="1">
        <v>45227</v>
      </c>
      <c r="C1159" t="s">
        <v>461</v>
      </c>
      <c r="D1159" t="s">
        <v>1421</v>
      </c>
      <c r="E1159" t="s">
        <v>1577</v>
      </c>
      <c r="F1159">
        <v>2.49665170748061</v>
      </c>
      <c r="G1159" s="14">
        <v>483.23677868794903</v>
      </c>
      <c r="H1159" s="17">
        <v>0.15403357141804899</v>
      </c>
      <c r="I1159" t="s">
        <v>1611</v>
      </c>
      <c r="J1159" s="14">
        <v>1023.71006838674</v>
      </c>
      <c r="K1159" s="14">
        <f t="shared" si="144"/>
        <v>280328.55943076796</v>
      </c>
      <c r="L1159" s="14">
        <f t="shared" si="145"/>
        <v>287</v>
      </c>
      <c r="M1159" s="14" t="str">
        <f t="shared" si="146"/>
        <v>28-10-2023</v>
      </c>
      <c r="N1159" s="14">
        <f t="shared" si="147"/>
        <v>0.15687702210098012</v>
      </c>
      <c r="O1159" s="20">
        <f t="shared" si="148"/>
        <v>2.5072017160795101</v>
      </c>
      <c r="P1159" s="14">
        <f t="shared" si="149"/>
        <v>461.47048004524186</v>
      </c>
      <c r="Q1159" s="14">
        <f t="shared" si="150"/>
        <v>377.39938308839692</v>
      </c>
      <c r="R1159" s="14" t="str">
        <f t="shared" si="151"/>
        <v>Oct</v>
      </c>
    </row>
    <row r="1160" spans="1:18" x14ac:dyDescent="0.3">
      <c r="A1160" t="s">
        <v>2768</v>
      </c>
      <c r="B1160" s="1">
        <v>45600</v>
      </c>
      <c r="C1160" t="s">
        <v>1269</v>
      </c>
      <c r="D1160" t="s">
        <v>1495</v>
      </c>
      <c r="E1160" t="s">
        <v>1561</v>
      </c>
      <c r="F1160">
        <v>2.4966767966806098</v>
      </c>
      <c r="G1160" s="14">
        <v>483.185015789869</v>
      </c>
      <c r="H1160" s="17">
        <v>0.15404033348863899</v>
      </c>
      <c r="I1160" t="s">
        <v>1611</v>
      </c>
      <c r="J1160" s="14">
        <v>1023.60207192728</v>
      </c>
      <c r="K1160" s="14">
        <f t="shared" si="144"/>
        <v>280328.55943076796</v>
      </c>
      <c r="L1160" s="14">
        <f t="shared" si="145"/>
        <v>287</v>
      </c>
      <c r="M1160" s="14" t="str">
        <f t="shared" si="146"/>
        <v>04-11-2024</v>
      </c>
      <c r="N1160" s="14">
        <f t="shared" si="147"/>
        <v>0.15688040313627491</v>
      </c>
      <c r="O1160" s="20">
        <f t="shared" si="148"/>
        <v>2.5072142606795085</v>
      </c>
      <c r="P1160" s="14">
        <f t="shared" si="149"/>
        <v>461.44459859620173</v>
      </c>
      <c r="Q1160" s="14">
        <f t="shared" si="150"/>
        <v>377.35945121182954</v>
      </c>
      <c r="R1160" s="14" t="str">
        <f t="shared" si="151"/>
        <v>Nov</v>
      </c>
    </row>
    <row r="1161" spans="1:18" x14ac:dyDescent="0.3">
      <c r="A1161" t="s">
        <v>2769</v>
      </c>
      <c r="B1161" s="1">
        <v>45646</v>
      </c>
      <c r="C1161" t="s">
        <v>150</v>
      </c>
      <c r="D1161" t="s">
        <v>1465</v>
      </c>
      <c r="E1161" t="s">
        <v>1558</v>
      </c>
      <c r="F1161">
        <v>2.4967018858805998</v>
      </c>
      <c r="G1161" s="14">
        <v>483.13325289178903</v>
      </c>
      <c r="H1161" s="17">
        <v>0.15404709555922899</v>
      </c>
      <c r="I1161" t="s">
        <v>1609</v>
      </c>
      <c r="J1161" s="14">
        <v>1023.49407546783</v>
      </c>
      <c r="K1161" s="14">
        <f t="shared" si="144"/>
        <v>280328.55943076796</v>
      </c>
      <c r="L1161" s="14">
        <f t="shared" si="145"/>
        <v>287</v>
      </c>
      <c r="M1161" s="14" t="str">
        <f t="shared" si="146"/>
        <v>20-12-2024</v>
      </c>
      <c r="N1161" s="14">
        <f t="shared" si="147"/>
        <v>0.15688378417156973</v>
      </c>
      <c r="O1161" s="20">
        <f t="shared" si="148"/>
        <v>2.5072268052795077</v>
      </c>
      <c r="P1161" s="14">
        <f t="shared" si="149"/>
        <v>461.41871714716171</v>
      </c>
      <c r="Q1161" s="14">
        <f t="shared" si="150"/>
        <v>377.31951933526472</v>
      </c>
      <c r="R1161" s="14" t="str">
        <f t="shared" si="151"/>
        <v>Dec</v>
      </c>
    </row>
    <row r="1162" spans="1:18" x14ac:dyDescent="0.3">
      <c r="A1162" t="s">
        <v>2770</v>
      </c>
      <c r="B1162" s="1">
        <v>45725</v>
      </c>
      <c r="C1162" t="s">
        <v>565</v>
      </c>
      <c r="D1162" t="s">
        <v>1499</v>
      </c>
      <c r="E1162" t="s">
        <v>1561</v>
      </c>
      <c r="F1162">
        <v>2.4967269750806</v>
      </c>
      <c r="G1162" s="14">
        <v>483.08148999370798</v>
      </c>
      <c r="H1162" s="17">
        <v>0.15405385762981799</v>
      </c>
      <c r="I1162" t="s">
        <v>1611</v>
      </c>
      <c r="J1162" s="14">
        <v>1023.38607900838</v>
      </c>
      <c r="K1162" s="14">
        <f t="shared" si="144"/>
        <v>279305.06535530015</v>
      </c>
      <c r="L1162" s="14">
        <f t="shared" si="145"/>
        <v>286</v>
      </c>
      <c r="M1162" s="14" t="str">
        <f t="shared" si="146"/>
        <v>09-03-2025</v>
      </c>
      <c r="N1162" s="14">
        <f t="shared" si="147"/>
        <v>0.15688716520686452</v>
      </c>
      <c r="O1162" s="20">
        <f t="shared" si="148"/>
        <v>2.5072393498795065</v>
      </c>
      <c r="P1162" s="14">
        <f t="shared" si="149"/>
        <v>461.39283569812159</v>
      </c>
      <c r="Q1162" s="14">
        <f t="shared" si="150"/>
        <v>377.27958745869961</v>
      </c>
      <c r="R1162" s="14" t="str">
        <f t="shared" si="151"/>
        <v>Mar</v>
      </c>
    </row>
    <row r="1163" spans="1:18" x14ac:dyDescent="0.3">
      <c r="A1163" t="s">
        <v>2771</v>
      </c>
      <c r="B1163" s="1">
        <v>45742</v>
      </c>
      <c r="C1163" t="s">
        <v>487</v>
      </c>
      <c r="D1163" t="s">
        <v>1399</v>
      </c>
      <c r="E1163" t="s">
        <v>1554</v>
      </c>
      <c r="F1163">
        <v>2.4967520642805998</v>
      </c>
      <c r="G1163" s="14">
        <v>483.029727095628</v>
      </c>
      <c r="H1163" s="17">
        <v>0.15406061970040799</v>
      </c>
      <c r="I1163" t="s">
        <v>1609</v>
      </c>
      <c r="J1163" s="14">
        <v>1023.27808254893</v>
      </c>
      <c r="K1163" s="14">
        <f t="shared" si="144"/>
        <v>279305.06535530015</v>
      </c>
      <c r="L1163" s="14">
        <f t="shared" si="145"/>
        <v>286</v>
      </c>
      <c r="M1163" s="14" t="str">
        <f t="shared" si="146"/>
        <v>26-03-2025</v>
      </c>
      <c r="N1163" s="14">
        <f t="shared" si="147"/>
        <v>0.15689054624215934</v>
      </c>
      <c r="O1163" s="20">
        <f t="shared" si="148"/>
        <v>2.5072518944795052</v>
      </c>
      <c r="P1163" s="14">
        <f t="shared" si="149"/>
        <v>461.36695424908157</v>
      </c>
      <c r="Q1163" s="14">
        <f t="shared" si="150"/>
        <v>377.23965558213479</v>
      </c>
      <c r="R1163" s="14" t="str">
        <f t="shared" si="151"/>
        <v>Mar</v>
      </c>
    </row>
    <row r="1164" spans="1:18" x14ac:dyDescent="0.3">
      <c r="A1164" t="s">
        <v>2772</v>
      </c>
      <c r="B1164" s="1">
        <v>45750</v>
      </c>
      <c r="C1164" t="s">
        <v>381</v>
      </c>
      <c r="D1164" t="s">
        <v>1457</v>
      </c>
      <c r="E1164" t="s">
        <v>1542</v>
      </c>
      <c r="F1164">
        <v>2.4967771534806</v>
      </c>
      <c r="G1164" s="14">
        <v>482.97796419754798</v>
      </c>
      <c r="H1164" s="17">
        <v>0.15406738177099699</v>
      </c>
      <c r="I1164" t="s">
        <v>1614</v>
      </c>
      <c r="J1164" s="14">
        <v>1023.17008608948</v>
      </c>
      <c r="K1164" s="14">
        <f t="shared" si="144"/>
        <v>278281.78727275121</v>
      </c>
      <c r="L1164" s="14">
        <f t="shared" si="145"/>
        <v>285</v>
      </c>
      <c r="M1164" s="14" t="str">
        <f t="shared" si="146"/>
        <v>03-04-2025</v>
      </c>
      <c r="N1164" s="14">
        <f t="shared" si="147"/>
        <v>0.15689392727745413</v>
      </c>
      <c r="O1164" s="20">
        <f t="shared" si="148"/>
        <v>2.5072644390795036</v>
      </c>
      <c r="P1164" s="14">
        <f t="shared" si="149"/>
        <v>461.34107280004145</v>
      </c>
      <c r="Q1164" s="14">
        <f t="shared" si="150"/>
        <v>377.19972370556991</v>
      </c>
      <c r="R1164" s="14" t="str">
        <f t="shared" si="151"/>
        <v>Apr</v>
      </c>
    </row>
    <row r="1165" spans="1:18" x14ac:dyDescent="0.3">
      <c r="A1165" t="s">
        <v>2773</v>
      </c>
      <c r="B1165" s="1">
        <v>45327</v>
      </c>
      <c r="C1165" t="s">
        <v>1293</v>
      </c>
      <c r="D1165" t="s">
        <v>1401</v>
      </c>
      <c r="E1165" t="s">
        <v>1571</v>
      </c>
      <c r="F1165">
        <v>2.49680224268059</v>
      </c>
      <c r="G1165" s="14">
        <v>482.926201299468</v>
      </c>
      <c r="H1165" s="17">
        <v>0.15407414384158699</v>
      </c>
      <c r="I1165" t="s">
        <v>1611</v>
      </c>
      <c r="J1165" s="14">
        <v>1023.06208963003</v>
      </c>
      <c r="K1165" s="14">
        <f t="shared" si="144"/>
        <v>278281.78727275121</v>
      </c>
      <c r="L1165" s="14">
        <f t="shared" si="145"/>
        <v>285</v>
      </c>
      <c r="M1165" s="14" t="str">
        <f t="shared" si="146"/>
        <v>05-02-2024</v>
      </c>
      <c r="N1165" s="14">
        <f t="shared" si="147"/>
        <v>0.15689730831274895</v>
      </c>
      <c r="O1165" s="20">
        <f t="shared" si="148"/>
        <v>2.5072769836795024</v>
      </c>
      <c r="P1165" s="14">
        <f t="shared" si="149"/>
        <v>461.31519135100137</v>
      </c>
      <c r="Q1165" s="14">
        <f t="shared" si="150"/>
        <v>377.15979182900503</v>
      </c>
      <c r="R1165" s="14" t="str">
        <f t="shared" si="151"/>
        <v>Feb</v>
      </c>
    </row>
    <row r="1166" spans="1:18" x14ac:dyDescent="0.3">
      <c r="A1166" t="s">
        <v>2774</v>
      </c>
      <c r="B1166" s="1">
        <v>45465</v>
      </c>
      <c r="C1166" t="s">
        <v>97</v>
      </c>
      <c r="D1166" t="s">
        <v>1467</v>
      </c>
      <c r="E1166" t="s">
        <v>1571</v>
      </c>
      <c r="F1166">
        <v>2.4968273318805898</v>
      </c>
      <c r="G1166" s="14">
        <v>482.87443840138798</v>
      </c>
      <c r="H1166" s="17">
        <v>0.15408090591217699</v>
      </c>
      <c r="I1166" t="s">
        <v>1614</v>
      </c>
      <c r="J1166" s="14">
        <v>1022.95409317057</v>
      </c>
      <c r="K1166" s="14">
        <f t="shared" si="144"/>
        <v>278281.78727275121</v>
      </c>
      <c r="L1166" s="14">
        <f t="shared" si="145"/>
        <v>285</v>
      </c>
      <c r="M1166" s="14" t="str">
        <f t="shared" si="146"/>
        <v>22-06-2024</v>
      </c>
      <c r="N1166" s="14">
        <f t="shared" si="147"/>
        <v>0.15690068934804374</v>
      </c>
      <c r="O1166" s="20">
        <f t="shared" si="148"/>
        <v>2.5072895282795007</v>
      </c>
      <c r="P1166" s="14">
        <f t="shared" si="149"/>
        <v>461.28930990196125</v>
      </c>
      <c r="Q1166" s="14">
        <f t="shared" si="150"/>
        <v>377.11985995243765</v>
      </c>
      <c r="R1166" s="14" t="str">
        <f t="shared" si="151"/>
        <v>Jun</v>
      </c>
    </row>
    <row r="1167" spans="1:18" x14ac:dyDescent="0.3">
      <c r="A1167" t="s">
        <v>2775</v>
      </c>
      <c r="B1167" s="1">
        <v>45883</v>
      </c>
      <c r="C1167" t="s">
        <v>1258</v>
      </c>
      <c r="D1167" t="s">
        <v>1509</v>
      </c>
      <c r="E1167" t="s">
        <v>1558</v>
      </c>
      <c r="F1167">
        <v>2.49685242108059</v>
      </c>
      <c r="G1167" s="14">
        <v>482.82267550330801</v>
      </c>
      <c r="H1167" s="17">
        <v>0.15408766798276599</v>
      </c>
      <c r="I1167" t="s">
        <v>1609</v>
      </c>
      <c r="J1167" s="14">
        <v>1022.84609671112</v>
      </c>
      <c r="K1167" s="14">
        <f t="shared" si="144"/>
        <v>278281.78727275121</v>
      </c>
      <c r="L1167" s="14">
        <f t="shared" si="145"/>
        <v>285</v>
      </c>
      <c r="M1167" s="14" t="str">
        <f t="shared" si="146"/>
        <v>14-08-2025</v>
      </c>
      <c r="N1167" s="14">
        <f t="shared" si="147"/>
        <v>0.15690407038333856</v>
      </c>
      <c r="O1167" s="20">
        <f t="shared" si="148"/>
        <v>2.507302072879499</v>
      </c>
      <c r="P1167" s="14">
        <f t="shared" si="149"/>
        <v>461.26342845292129</v>
      </c>
      <c r="Q1167" s="14">
        <f t="shared" si="150"/>
        <v>377.07992807587283</v>
      </c>
      <c r="R1167" s="14" t="str">
        <f t="shared" si="151"/>
        <v>Aug</v>
      </c>
    </row>
    <row r="1168" spans="1:18" x14ac:dyDescent="0.3">
      <c r="A1168" t="s">
        <v>2776</v>
      </c>
      <c r="B1168" s="1">
        <v>45445</v>
      </c>
      <c r="C1168" t="s">
        <v>779</v>
      </c>
      <c r="D1168" t="s">
        <v>1401</v>
      </c>
      <c r="E1168" t="s">
        <v>1589</v>
      </c>
      <c r="F1168">
        <v>2.4968775102805898</v>
      </c>
      <c r="G1168" s="14">
        <v>482.77091260522701</v>
      </c>
      <c r="H1168" s="17">
        <v>0.15409443005335599</v>
      </c>
      <c r="I1168" t="s">
        <v>1614</v>
      </c>
      <c r="J1168" s="14">
        <v>1022.7381002516699</v>
      </c>
      <c r="K1168" s="14">
        <f t="shared" si="144"/>
        <v>277258.9411760401</v>
      </c>
      <c r="L1168" s="14">
        <f t="shared" si="145"/>
        <v>284</v>
      </c>
      <c r="M1168" s="14" t="str">
        <f t="shared" si="146"/>
        <v>02-06-2024</v>
      </c>
      <c r="N1168" s="14">
        <f t="shared" si="147"/>
        <v>0.15690745141863338</v>
      </c>
      <c r="O1168" s="20">
        <f t="shared" si="148"/>
        <v>2.5073146174794982</v>
      </c>
      <c r="P1168" s="14">
        <f t="shared" si="149"/>
        <v>461.23754700388128</v>
      </c>
      <c r="Q1168" s="14">
        <f t="shared" si="150"/>
        <v>377.03999619930772</v>
      </c>
      <c r="R1168" s="14" t="str">
        <f t="shared" si="151"/>
        <v>Jun</v>
      </c>
    </row>
    <row r="1169" spans="1:18" x14ac:dyDescent="0.3">
      <c r="A1169" t="s">
        <v>2777</v>
      </c>
      <c r="B1169" s="1">
        <v>45640</v>
      </c>
      <c r="C1169" t="s">
        <v>610</v>
      </c>
      <c r="D1169" t="s">
        <v>1491</v>
      </c>
      <c r="E1169" t="s">
        <v>1551</v>
      </c>
      <c r="F1169">
        <v>2.4969025994805798</v>
      </c>
      <c r="G1169" s="14">
        <v>482.71914970714698</v>
      </c>
      <c r="H1169" s="17">
        <v>0.15410119212394599</v>
      </c>
      <c r="I1169" t="s">
        <v>1611</v>
      </c>
      <c r="J1169" s="14">
        <v>1022.63010379222</v>
      </c>
      <c r="K1169" s="14">
        <f t="shared" si="144"/>
        <v>277258.9411760401</v>
      </c>
      <c r="L1169" s="14">
        <f t="shared" si="145"/>
        <v>284</v>
      </c>
      <c r="M1169" s="14" t="str">
        <f t="shared" si="146"/>
        <v>14-12-2024</v>
      </c>
      <c r="N1169" s="14">
        <f t="shared" si="147"/>
        <v>0.15691083245392817</v>
      </c>
      <c r="O1169" s="20">
        <f t="shared" si="148"/>
        <v>2.5073271620794966</v>
      </c>
      <c r="P1169" s="14">
        <f t="shared" si="149"/>
        <v>461.21166555484109</v>
      </c>
      <c r="Q1169" s="14">
        <f t="shared" si="150"/>
        <v>377.0000643227429</v>
      </c>
      <c r="R1169" s="14" t="str">
        <f t="shared" si="151"/>
        <v>Dec</v>
      </c>
    </row>
    <row r="1170" spans="1:18" x14ac:dyDescent="0.3">
      <c r="A1170" t="s">
        <v>2778</v>
      </c>
      <c r="B1170" s="1">
        <v>45411</v>
      </c>
      <c r="C1170" t="s">
        <v>607</v>
      </c>
      <c r="D1170" t="s">
        <v>1401</v>
      </c>
      <c r="E1170" t="s">
        <v>1592</v>
      </c>
      <c r="F1170">
        <v>2.49692768868058</v>
      </c>
      <c r="G1170" s="14">
        <v>482.66738680906701</v>
      </c>
      <c r="H1170" s="17">
        <v>0.15410795419453499</v>
      </c>
      <c r="I1170" t="s">
        <v>1609</v>
      </c>
      <c r="J1170" s="14">
        <v>1022.52210733277</v>
      </c>
      <c r="K1170" s="14">
        <f t="shared" si="144"/>
        <v>277258.9411760401</v>
      </c>
      <c r="L1170" s="14">
        <f t="shared" si="145"/>
        <v>284</v>
      </c>
      <c r="M1170" s="14" t="str">
        <f t="shared" si="146"/>
        <v>29-04-2024</v>
      </c>
      <c r="N1170" s="14">
        <f t="shared" si="147"/>
        <v>0.15691421348922296</v>
      </c>
      <c r="O1170" s="20">
        <f t="shared" si="148"/>
        <v>2.5073397066794954</v>
      </c>
      <c r="P1170" s="14">
        <f t="shared" si="149"/>
        <v>461.18578410580108</v>
      </c>
      <c r="Q1170" s="14">
        <f t="shared" si="150"/>
        <v>376.96013244617802</v>
      </c>
      <c r="R1170" s="14" t="str">
        <f t="shared" si="151"/>
        <v>Apr</v>
      </c>
    </row>
    <row r="1171" spans="1:18" x14ac:dyDescent="0.3">
      <c r="A1171" t="s">
        <v>2779</v>
      </c>
      <c r="B1171" s="1">
        <v>45224</v>
      </c>
      <c r="C1171" t="s">
        <v>1160</v>
      </c>
      <c r="D1171" t="s">
        <v>1467</v>
      </c>
      <c r="E1171" t="s">
        <v>1567</v>
      </c>
      <c r="F1171">
        <v>2.4969527778805798</v>
      </c>
      <c r="G1171" s="14">
        <v>482.61562391098698</v>
      </c>
      <c r="H1171" s="17">
        <v>0.15411471626512499</v>
      </c>
      <c r="I1171" t="s">
        <v>1611</v>
      </c>
      <c r="J1171" s="14">
        <v>1022.4141108733201</v>
      </c>
      <c r="K1171" s="14">
        <f t="shared" si="144"/>
        <v>276236.41906870727</v>
      </c>
      <c r="L1171" s="14">
        <f t="shared" si="145"/>
        <v>283</v>
      </c>
      <c r="M1171" s="14" t="str">
        <f t="shared" si="146"/>
        <v>25-10-2023</v>
      </c>
      <c r="N1171" s="14">
        <f t="shared" si="147"/>
        <v>0.15691759452451781</v>
      </c>
      <c r="O1171" s="20">
        <f t="shared" si="148"/>
        <v>2.5073522512794941</v>
      </c>
      <c r="P1171" s="14">
        <f t="shared" si="149"/>
        <v>461.15990265676101</v>
      </c>
      <c r="Q1171" s="14">
        <f t="shared" si="150"/>
        <v>376.92020056961314</v>
      </c>
      <c r="R1171" s="14" t="str">
        <f t="shared" si="151"/>
        <v>Oct</v>
      </c>
    </row>
    <row r="1172" spans="1:18" x14ac:dyDescent="0.3">
      <c r="A1172" t="s">
        <v>2780</v>
      </c>
      <c r="B1172" s="1">
        <v>45497</v>
      </c>
      <c r="C1172" t="s">
        <v>338</v>
      </c>
      <c r="D1172" t="s">
        <v>1433</v>
      </c>
      <c r="E1172" t="s">
        <v>1546</v>
      </c>
      <c r="F1172">
        <v>2.49697786708058</v>
      </c>
      <c r="G1172" s="14">
        <v>482.56386101290701</v>
      </c>
      <c r="H1172" s="17">
        <v>0.15412147833571399</v>
      </c>
      <c r="I1172" t="s">
        <v>1614</v>
      </c>
      <c r="J1172" s="14">
        <v>1022.30611441386</v>
      </c>
      <c r="K1172" s="14">
        <f t="shared" si="144"/>
        <v>276236.41906870727</v>
      </c>
      <c r="L1172" s="14">
        <f t="shared" si="145"/>
        <v>283</v>
      </c>
      <c r="M1172" s="14" t="str">
        <f t="shared" si="146"/>
        <v>24-07-2024</v>
      </c>
      <c r="N1172" s="14">
        <f t="shared" si="147"/>
        <v>0.15692097555981258</v>
      </c>
      <c r="O1172" s="20">
        <f t="shared" si="148"/>
        <v>2.5073647958794929</v>
      </c>
      <c r="P1172" s="14">
        <f t="shared" si="149"/>
        <v>461.13402120772088</v>
      </c>
      <c r="Q1172" s="14">
        <f t="shared" si="150"/>
        <v>376.88026869304582</v>
      </c>
      <c r="R1172" s="14" t="str">
        <f t="shared" si="151"/>
        <v>Jul</v>
      </c>
    </row>
    <row r="1173" spans="1:18" x14ac:dyDescent="0.3">
      <c r="A1173" t="s">
        <v>2781</v>
      </c>
      <c r="B1173" s="1">
        <v>45807</v>
      </c>
      <c r="C1173" t="s">
        <v>59</v>
      </c>
      <c r="D1173" t="s">
        <v>1387</v>
      </c>
      <c r="E1173" t="s">
        <v>1567</v>
      </c>
      <c r="F1173">
        <v>2.49700295628057</v>
      </c>
      <c r="G1173" s="14">
        <v>482.51209811482698</v>
      </c>
      <c r="H1173" s="17">
        <v>0.15412824040630399</v>
      </c>
      <c r="I1173" t="s">
        <v>1614</v>
      </c>
      <c r="J1173" s="14">
        <v>1022.19811795441</v>
      </c>
      <c r="K1173" s="14">
        <f t="shared" si="144"/>
        <v>276236.41906870727</v>
      </c>
      <c r="L1173" s="14">
        <f t="shared" si="145"/>
        <v>283</v>
      </c>
      <c r="M1173" s="14" t="str">
        <f t="shared" si="146"/>
        <v>30-05-2025</v>
      </c>
      <c r="N1173" s="14">
        <f t="shared" si="147"/>
        <v>0.15692435659510739</v>
      </c>
      <c r="O1173" s="20">
        <f t="shared" si="148"/>
        <v>2.5073773404794917</v>
      </c>
      <c r="P1173" s="14">
        <f t="shared" si="149"/>
        <v>461.10813975868081</v>
      </c>
      <c r="Q1173" s="14">
        <f t="shared" si="150"/>
        <v>376.840336816481</v>
      </c>
      <c r="R1173" s="14" t="str">
        <f t="shared" si="151"/>
        <v>May</v>
      </c>
    </row>
    <row r="1174" spans="1:18" x14ac:dyDescent="0.3">
      <c r="A1174" t="s">
        <v>2782</v>
      </c>
      <c r="B1174" s="1">
        <v>45942</v>
      </c>
      <c r="C1174" t="s">
        <v>1263</v>
      </c>
      <c r="D1174" t="s">
        <v>1445</v>
      </c>
      <c r="E1174" t="s">
        <v>1598</v>
      </c>
      <c r="F1174">
        <v>2.4970280454805698</v>
      </c>
      <c r="G1174" s="14">
        <v>482.46033521674599</v>
      </c>
      <c r="H1174" s="17">
        <v>0.15413500247689399</v>
      </c>
      <c r="I1174" t="s">
        <v>1609</v>
      </c>
      <c r="J1174" s="14">
        <v>1022.09012149496</v>
      </c>
      <c r="K1174" s="14">
        <f t="shared" si="144"/>
        <v>276236.41906870727</v>
      </c>
      <c r="L1174" s="14">
        <f t="shared" si="145"/>
        <v>283</v>
      </c>
      <c r="M1174" s="14" t="str">
        <f t="shared" si="146"/>
        <v>12-10-2025</v>
      </c>
      <c r="N1174" s="14">
        <f t="shared" si="147"/>
        <v>0.15692773763040221</v>
      </c>
      <c r="O1174" s="20">
        <f t="shared" si="148"/>
        <v>2.50738988507949</v>
      </c>
      <c r="P1174" s="14">
        <f t="shared" si="149"/>
        <v>461.08225830964074</v>
      </c>
      <c r="Q1174" s="14">
        <f t="shared" si="150"/>
        <v>376.80040493991589</v>
      </c>
      <c r="R1174" s="14" t="str">
        <f t="shared" si="151"/>
        <v>Oct</v>
      </c>
    </row>
    <row r="1175" spans="1:18" x14ac:dyDescent="0.3">
      <c r="A1175" t="s">
        <v>2783</v>
      </c>
      <c r="B1175" s="1">
        <v>45314</v>
      </c>
      <c r="C1175" t="s">
        <v>969</v>
      </c>
      <c r="D1175" t="s">
        <v>1489</v>
      </c>
      <c r="E1175" t="s">
        <v>1546</v>
      </c>
      <c r="F1175">
        <v>2.49705313468057</v>
      </c>
      <c r="G1175" s="14">
        <v>482.40857231866602</v>
      </c>
      <c r="H1175" s="17">
        <v>0.15414176454748299</v>
      </c>
      <c r="I1175" t="s">
        <v>1611</v>
      </c>
      <c r="J1175" s="14">
        <v>1021.98212503551</v>
      </c>
      <c r="K1175" s="14">
        <f t="shared" si="144"/>
        <v>275214.32894721231</v>
      </c>
      <c r="L1175" s="14">
        <f t="shared" si="145"/>
        <v>282</v>
      </c>
      <c r="M1175" s="14" t="str">
        <f t="shared" si="146"/>
        <v>23-01-2024</v>
      </c>
      <c r="N1175" s="14">
        <f t="shared" si="147"/>
        <v>0.15693111866569698</v>
      </c>
      <c r="O1175" s="20">
        <f t="shared" si="148"/>
        <v>2.5074024296794888</v>
      </c>
      <c r="P1175" s="14">
        <f t="shared" si="149"/>
        <v>461.05637686060061</v>
      </c>
      <c r="Q1175" s="14">
        <f t="shared" si="150"/>
        <v>376.76047306335101</v>
      </c>
      <c r="R1175" s="14" t="str">
        <f t="shared" si="151"/>
        <v>Jan</v>
      </c>
    </row>
    <row r="1176" spans="1:18" x14ac:dyDescent="0.3">
      <c r="A1176" t="s">
        <v>2784</v>
      </c>
      <c r="B1176" s="1">
        <v>45943</v>
      </c>
      <c r="C1176" t="s">
        <v>651</v>
      </c>
      <c r="D1176" t="s">
        <v>1429</v>
      </c>
      <c r="E1176" t="s">
        <v>1589</v>
      </c>
      <c r="F1176">
        <v>2.49707822388056</v>
      </c>
      <c r="G1176" s="14">
        <v>482.35680942058599</v>
      </c>
      <c r="H1176" s="17">
        <v>0.15414852661807299</v>
      </c>
      <c r="I1176" t="s">
        <v>1609</v>
      </c>
      <c r="J1176" s="14">
        <v>1021.87412857606</v>
      </c>
      <c r="K1176" s="14">
        <f t="shared" si="144"/>
        <v>275214.32894721231</v>
      </c>
      <c r="L1176" s="14">
        <f t="shared" si="145"/>
        <v>282</v>
      </c>
      <c r="M1176" s="14" t="str">
        <f t="shared" si="146"/>
        <v>13-10-2025</v>
      </c>
      <c r="N1176" s="14">
        <f t="shared" si="147"/>
        <v>0.15693449970099183</v>
      </c>
      <c r="O1176" s="20">
        <f t="shared" si="148"/>
        <v>2.5074149742794876</v>
      </c>
      <c r="P1176" s="14">
        <f t="shared" si="149"/>
        <v>461.03049541156059</v>
      </c>
      <c r="Q1176" s="14">
        <f t="shared" si="150"/>
        <v>376.72054118678614</v>
      </c>
      <c r="R1176" s="14" t="str">
        <f t="shared" si="151"/>
        <v>Oct</v>
      </c>
    </row>
    <row r="1177" spans="1:18" x14ac:dyDescent="0.3">
      <c r="A1177" t="s">
        <v>2785</v>
      </c>
      <c r="B1177" s="1">
        <v>45356</v>
      </c>
      <c r="C1177" t="s">
        <v>1264</v>
      </c>
      <c r="D1177" t="s">
        <v>1361</v>
      </c>
      <c r="E1177" t="s">
        <v>1571</v>
      </c>
      <c r="F1177">
        <v>2.4971033130805602</v>
      </c>
      <c r="G1177" s="14">
        <v>482.30504652250602</v>
      </c>
      <c r="H1177" s="17">
        <v>0.15415528868866199</v>
      </c>
      <c r="I1177" t="s">
        <v>1609</v>
      </c>
      <c r="J1177" s="14">
        <v>1021.76613211661</v>
      </c>
      <c r="K1177" s="14">
        <f t="shared" si="144"/>
        <v>274192.45481863624</v>
      </c>
      <c r="L1177" s="14">
        <f t="shared" si="145"/>
        <v>281</v>
      </c>
      <c r="M1177" s="14" t="str">
        <f t="shared" si="146"/>
        <v>05-03-2024</v>
      </c>
      <c r="N1177" s="14">
        <f t="shared" si="147"/>
        <v>0.15693788073628664</v>
      </c>
      <c r="O1177" s="20">
        <f t="shared" si="148"/>
        <v>2.5074275188794863</v>
      </c>
      <c r="P1177" s="14">
        <f t="shared" si="149"/>
        <v>461.00461396252047</v>
      </c>
      <c r="Q1177" s="14">
        <f t="shared" si="150"/>
        <v>376.68060931022131</v>
      </c>
      <c r="R1177" s="14" t="str">
        <f t="shared" si="151"/>
        <v>Mar</v>
      </c>
    </row>
    <row r="1178" spans="1:18" x14ac:dyDescent="0.3">
      <c r="A1178" t="s">
        <v>2786</v>
      </c>
      <c r="B1178" s="1">
        <v>45854</v>
      </c>
      <c r="C1178" t="s">
        <v>514</v>
      </c>
      <c r="D1178" t="s">
        <v>1477</v>
      </c>
      <c r="E1178" t="s">
        <v>1567</v>
      </c>
      <c r="F1178">
        <v>2.49712840228056</v>
      </c>
      <c r="G1178" s="14">
        <v>482.25328362442599</v>
      </c>
      <c r="H1178" s="17">
        <v>0.15416205075925199</v>
      </c>
      <c r="I1178" t="s">
        <v>1614</v>
      </c>
      <c r="J1178" s="14">
        <v>1021.65813565715</v>
      </c>
      <c r="K1178" s="14">
        <f t="shared" si="144"/>
        <v>273170.68868651969</v>
      </c>
      <c r="L1178" s="14">
        <f t="shared" si="145"/>
        <v>280</v>
      </c>
      <c r="M1178" s="14" t="str">
        <f t="shared" si="146"/>
        <v>16-07-2025</v>
      </c>
      <c r="N1178" s="14">
        <f t="shared" si="147"/>
        <v>0.15694126177158141</v>
      </c>
      <c r="O1178" s="20">
        <f t="shared" si="148"/>
        <v>2.5074400634794851</v>
      </c>
      <c r="P1178" s="14">
        <f t="shared" si="149"/>
        <v>460.97873251348045</v>
      </c>
      <c r="Q1178" s="14">
        <f t="shared" si="150"/>
        <v>376.64067743365393</v>
      </c>
      <c r="R1178" s="14" t="str">
        <f t="shared" si="151"/>
        <v>Jul</v>
      </c>
    </row>
    <row r="1179" spans="1:18" x14ac:dyDescent="0.3">
      <c r="A1179" t="s">
        <v>2787</v>
      </c>
      <c r="B1179" s="1">
        <v>45219</v>
      </c>
      <c r="C1179" t="s">
        <v>849</v>
      </c>
      <c r="D1179" t="s">
        <v>1363</v>
      </c>
      <c r="E1179" t="s">
        <v>1598</v>
      </c>
      <c r="F1179">
        <v>2.4971534914805602</v>
      </c>
      <c r="G1179" s="14">
        <v>482.20152072634602</v>
      </c>
      <c r="H1179" s="17">
        <v>0.15416881282984199</v>
      </c>
      <c r="I1179" t="s">
        <v>1611</v>
      </c>
      <c r="J1179" s="14">
        <v>1021.5501391977</v>
      </c>
      <c r="K1179" s="14">
        <f t="shared" si="144"/>
        <v>273170.68868651969</v>
      </c>
      <c r="L1179" s="14">
        <f t="shared" si="145"/>
        <v>280</v>
      </c>
      <c r="M1179" s="14" t="str">
        <f t="shared" si="146"/>
        <v>20-10-2023</v>
      </c>
      <c r="N1179" s="14">
        <f t="shared" si="147"/>
        <v>0.15694464280687623</v>
      </c>
      <c r="O1179" s="20">
        <f t="shared" si="148"/>
        <v>2.5074526080794834</v>
      </c>
      <c r="P1179" s="14">
        <f t="shared" si="149"/>
        <v>460.95285106444032</v>
      </c>
      <c r="Q1179" s="14">
        <f t="shared" si="150"/>
        <v>376.60074555708911</v>
      </c>
      <c r="R1179" s="14" t="str">
        <f t="shared" si="151"/>
        <v>Oct</v>
      </c>
    </row>
    <row r="1180" spans="1:18" x14ac:dyDescent="0.3">
      <c r="A1180" t="s">
        <v>2788</v>
      </c>
      <c r="B1180" s="1">
        <v>45447</v>
      </c>
      <c r="C1180" t="s">
        <v>788</v>
      </c>
      <c r="D1180" t="s">
        <v>1477</v>
      </c>
      <c r="E1180" t="s">
        <v>1542</v>
      </c>
      <c r="F1180">
        <v>2.4971785806805502</v>
      </c>
      <c r="G1180" s="14">
        <v>482.14975782826599</v>
      </c>
      <c r="H1180" s="17">
        <v>0.15417557490043099</v>
      </c>
      <c r="I1180" t="s">
        <v>1614</v>
      </c>
      <c r="J1180" s="14">
        <v>1021.44214273825</v>
      </c>
      <c r="K1180" s="14">
        <f t="shared" si="144"/>
        <v>273170.68868651969</v>
      </c>
      <c r="L1180" s="14">
        <f t="shared" si="145"/>
        <v>280</v>
      </c>
      <c r="M1180" s="14" t="str">
        <f t="shared" si="146"/>
        <v>04-06-2024</v>
      </c>
      <c r="N1180" s="14">
        <f t="shared" si="147"/>
        <v>0.15694802384217105</v>
      </c>
      <c r="O1180" s="20">
        <f t="shared" si="148"/>
        <v>2.5074651526794827</v>
      </c>
      <c r="P1180" s="14">
        <f t="shared" si="149"/>
        <v>460.92696961540025</v>
      </c>
      <c r="Q1180" s="14">
        <f t="shared" si="150"/>
        <v>376.56081368052423</v>
      </c>
      <c r="R1180" s="14" t="str">
        <f t="shared" si="151"/>
        <v>Jun</v>
      </c>
    </row>
    <row r="1181" spans="1:18" x14ac:dyDescent="0.3">
      <c r="A1181" t="s">
        <v>2789</v>
      </c>
      <c r="B1181" s="1">
        <v>45225</v>
      </c>
      <c r="C1181" t="s">
        <v>663</v>
      </c>
      <c r="D1181" t="s">
        <v>1513</v>
      </c>
      <c r="E1181" t="s">
        <v>1586</v>
      </c>
      <c r="F1181">
        <v>2.49720366988055</v>
      </c>
      <c r="G1181" s="14">
        <v>482.097994930185</v>
      </c>
      <c r="H1181" s="17">
        <v>0.15418233697102099</v>
      </c>
      <c r="I1181" t="s">
        <v>1614</v>
      </c>
      <c r="J1181" s="14">
        <v>1021.3341462787999</v>
      </c>
      <c r="K1181" s="14">
        <f t="shared" si="144"/>
        <v>273170.68868651969</v>
      </c>
      <c r="L1181" s="14">
        <f t="shared" si="145"/>
        <v>280</v>
      </c>
      <c r="M1181" s="14" t="str">
        <f t="shared" si="146"/>
        <v>26-10-2023</v>
      </c>
      <c r="N1181" s="14">
        <f t="shared" si="147"/>
        <v>0.15695140487746584</v>
      </c>
      <c r="O1181" s="20">
        <f t="shared" si="148"/>
        <v>2.5074776972794814</v>
      </c>
      <c r="P1181" s="14">
        <f t="shared" si="149"/>
        <v>460.90108816636024</v>
      </c>
      <c r="Q1181" s="14">
        <f t="shared" si="150"/>
        <v>376.52088180395913</v>
      </c>
      <c r="R1181" s="14" t="str">
        <f t="shared" si="151"/>
        <v>Oct</v>
      </c>
    </row>
    <row r="1182" spans="1:18" x14ac:dyDescent="0.3">
      <c r="A1182" t="s">
        <v>2790</v>
      </c>
      <c r="B1182" s="1">
        <v>45754</v>
      </c>
      <c r="C1182" t="s">
        <v>275</v>
      </c>
      <c r="D1182" t="s">
        <v>1365</v>
      </c>
      <c r="E1182" t="s">
        <v>1595</v>
      </c>
      <c r="F1182">
        <v>2.4972287590805502</v>
      </c>
      <c r="G1182" s="14">
        <v>482.04623203210502</v>
      </c>
      <c r="H1182" s="17">
        <v>0.15418909904160999</v>
      </c>
      <c r="I1182" t="s">
        <v>1614</v>
      </c>
      <c r="J1182" s="14">
        <v>1021.22614981935</v>
      </c>
      <c r="K1182" s="14">
        <f t="shared" si="144"/>
        <v>273170.68868651969</v>
      </c>
      <c r="L1182" s="14">
        <f t="shared" si="145"/>
        <v>280</v>
      </c>
      <c r="M1182" s="14" t="str">
        <f t="shared" si="146"/>
        <v>07-04-2025</v>
      </c>
      <c r="N1182" s="14">
        <f t="shared" si="147"/>
        <v>0.15695478591276063</v>
      </c>
      <c r="O1182" s="20">
        <f t="shared" si="148"/>
        <v>2.5074902418794802</v>
      </c>
      <c r="P1182" s="14">
        <f t="shared" si="149"/>
        <v>460.87520671732005</v>
      </c>
      <c r="Q1182" s="14">
        <f t="shared" si="150"/>
        <v>376.48094992739431</v>
      </c>
      <c r="R1182" s="14" t="str">
        <f t="shared" si="151"/>
        <v>Apr</v>
      </c>
    </row>
    <row r="1183" spans="1:18" x14ac:dyDescent="0.3">
      <c r="A1183" t="s">
        <v>2791</v>
      </c>
      <c r="B1183" s="1">
        <v>45729</v>
      </c>
      <c r="C1183" t="s">
        <v>353</v>
      </c>
      <c r="D1183" t="s">
        <v>1385</v>
      </c>
      <c r="E1183" t="s">
        <v>1584</v>
      </c>
      <c r="F1183">
        <v>2.49725384828055</v>
      </c>
      <c r="G1183" s="14">
        <v>481.994469134025</v>
      </c>
      <c r="H1183" s="17">
        <v>0.15419586111219999</v>
      </c>
      <c r="I1183" t="s">
        <v>1609</v>
      </c>
      <c r="J1183" s="14">
        <v>1021.11815335989</v>
      </c>
      <c r="K1183" s="14">
        <f t="shared" si="144"/>
        <v>273170.68868651969</v>
      </c>
      <c r="L1183" s="14">
        <f t="shared" si="145"/>
        <v>280</v>
      </c>
      <c r="M1183" s="14" t="str">
        <f t="shared" si="146"/>
        <v>13-03-2025</v>
      </c>
      <c r="N1183" s="14">
        <f t="shared" si="147"/>
        <v>0.15695816694805548</v>
      </c>
      <c r="O1183" s="20">
        <f t="shared" si="148"/>
        <v>2.5075027864794786</v>
      </c>
      <c r="P1183" s="14">
        <f t="shared" si="149"/>
        <v>460.84932526828004</v>
      </c>
      <c r="Q1183" s="14">
        <f t="shared" si="150"/>
        <v>376.44101805082693</v>
      </c>
      <c r="R1183" s="14" t="str">
        <f t="shared" si="151"/>
        <v>Mar</v>
      </c>
    </row>
    <row r="1184" spans="1:18" x14ac:dyDescent="0.3">
      <c r="A1184" t="s">
        <v>2792</v>
      </c>
      <c r="B1184" s="1">
        <v>45480</v>
      </c>
      <c r="C1184" t="s">
        <v>857</v>
      </c>
      <c r="D1184" t="s">
        <v>1485</v>
      </c>
      <c r="E1184" t="s">
        <v>1592</v>
      </c>
      <c r="F1184">
        <v>2.49727893748054</v>
      </c>
      <c r="G1184" s="14">
        <v>481.94270623594502</v>
      </c>
      <c r="H1184" s="17">
        <v>0.15420262318278999</v>
      </c>
      <c r="I1184" t="s">
        <v>1609</v>
      </c>
      <c r="J1184" s="14">
        <v>1021.0101569004401</v>
      </c>
      <c r="K1184" s="14">
        <f t="shared" si="144"/>
        <v>272149.57053315977</v>
      </c>
      <c r="L1184" s="14">
        <f t="shared" si="145"/>
        <v>279</v>
      </c>
      <c r="M1184" s="14" t="str">
        <f t="shared" si="146"/>
        <v>07-07-2024</v>
      </c>
      <c r="N1184" s="14">
        <f t="shared" si="147"/>
        <v>0.1569615479833503</v>
      </c>
      <c r="O1184" s="20">
        <f t="shared" si="148"/>
        <v>2.5075153310794773</v>
      </c>
      <c r="P1184" s="14">
        <f t="shared" si="149"/>
        <v>460.82344381923997</v>
      </c>
      <c r="Q1184" s="14">
        <f t="shared" si="150"/>
        <v>376.4010861742621</v>
      </c>
      <c r="R1184" s="14" t="str">
        <f t="shared" si="151"/>
        <v>Jul</v>
      </c>
    </row>
    <row r="1185" spans="1:18" x14ac:dyDescent="0.3">
      <c r="A1185" t="s">
        <v>2793</v>
      </c>
      <c r="B1185" s="1">
        <v>45361</v>
      </c>
      <c r="C1185" t="s">
        <v>1316</v>
      </c>
      <c r="D1185" t="s">
        <v>1455</v>
      </c>
      <c r="E1185" t="s">
        <v>1586</v>
      </c>
      <c r="F1185">
        <v>2.4973040266805402</v>
      </c>
      <c r="G1185" s="14">
        <v>481.890943337865</v>
      </c>
      <c r="H1185" s="17">
        <v>0.15420938525337899</v>
      </c>
      <c r="I1185" t="s">
        <v>1611</v>
      </c>
      <c r="J1185" s="14">
        <v>1020.90216044099</v>
      </c>
      <c r="K1185" s="14">
        <f t="shared" si="144"/>
        <v>271128.56037625932</v>
      </c>
      <c r="L1185" s="14">
        <f t="shared" si="145"/>
        <v>278</v>
      </c>
      <c r="M1185" s="14" t="str">
        <f t="shared" si="146"/>
        <v>10-03-2024</v>
      </c>
      <c r="N1185" s="14">
        <f t="shared" si="147"/>
        <v>0.15696492901864506</v>
      </c>
      <c r="O1185" s="20">
        <f t="shared" si="148"/>
        <v>2.5075278756794761</v>
      </c>
      <c r="P1185" s="14">
        <f t="shared" si="149"/>
        <v>460.79756237019984</v>
      </c>
      <c r="Q1185" s="14">
        <f t="shared" si="150"/>
        <v>376.36115429769723</v>
      </c>
      <c r="R1185" s="14" t="str">
        <f t="shared" si="151"/>
        <v>Mar</v>
      </c>
    </row>
    <row r="1186" spans="1:18" x14ac:dyDescent="0.3">
      <c r="A1186" t="s">
        <v>2794</v>
      </c>
      <c r="B1186" s="1">
        <v>45915</v>
      </c>
      <c r="C1186" t="s">
        <v>344</v>
      </c>
      <c r="D1186" t="s">
        <v>1463</v>
      </c>
      <c r="E1186" t="s">
        <v>1561</v>
      </c>
      <c r="F1186">
        <v>2.49732911588054</v>
      </c>
      <c r="G1186" s="14">
        <v>481.83918043978503</v>
      </c>
      <c r="H1186" s="17">
        <v>0.15421614732396899</v>
      </c>
      <c r="I1186" t="s">
        <v>1609</v>
      </c>
      <c r="J1186" s="14">
        <v>1020.79416398154</v>
      </c>
      <c r="K1186" s="14">
        <f t="shared" si="144"/>
        <v>271128.56037625932</v>
      </c>
      <c r="L1186" s="14">
        <f t="shared" si="145"/>
        <v>278</v>
      </c>
      <c r="M1186" s="14" t="str">
        <f t="shared" si="146"/>
        <v>15-09-2025</v>
      </c>
      <c r="N1186" s="14">
        <f t="shared" si="147"/>
        <v>0.15696831005393988</v>
      </c>
      <c r="O1186" s="20">
        <f t="shared" si="148"/>
        <v>2.5075404202794749</v>
      </c>
      <c r="P1186" s="14">
        <f t="shared" si="149"/>
        <v>460.77168092115983</v>
      </c>
      <c r="Q1186" s="14">
        <f t="shared" si="150"/>
        <v>376.32122242113235</v>
      </c>
      <c r="R1186" s="14" t="str">
        <f t="shared" si="151"/>
        <v>Sep</v>
      </c>
    </row>
    <row r="1187" spans="1:18" x14ac:dyDescent="0.3">
      <c r="A1187" t="s">
        <v>2795</v>
      </c>
      <c r="B1187" s="1">
        <v>45607</v>
      </c>
      <c r="C1187" t="s">
        <v>255</v>
      </c>
      <c r="D1187" t="s">
        <v>1479</v>
      </c>
      <c r="E1187" t="s">
        <v>1571</v>
      </c>
      <c r="F1187">
        <v>2.4973542050805402</v>
      </c>
      <c r="G1187" s="14">
        <v>481.78741754170397</v>
      </c>
      <c r="H1187" s="17">
        <v>0.15422290939455799</v>
      </c>
      <c r="I1187" t="s">
        <v>1609</v>
      </c>
      <c r="J1187" s="14">
        <v>1020.68616752209</v>
      </c>
      <c r="K1187" s="14">
        <f t="shared" si="144"/>
        <v>270107.76621227775</v>
      </c>
      <c r="L1187" s="14">
        <f t="shared" si="145"/>
        <v>277</v>
      </c>
      <c r="M1187" s="14" t="str">
        <f t="shared" si="146"/>
        <v>11-11-2024</v>
      </c>
      <c r="N1187" s="14">
        <f t="shared" si="147"/>
        <v>0.1569716910892347</v>
      </c>
      <c r="O1187" s="20">
        <f t="shared" si="148"/>
        <v>2.5075529648794737</v>
      </c>
      <c r="P1187" s="14">
        <f t="shared" si="149"/>
        <v>460.7457994721197</v>
      </c>
      <c r="Q1187" s="14">
        <f t="shared" si="150"/>
        <v>376.28129054456724</v>
      </c>
      <c r="R1187" s="14" t="str">
        <f t="shared" si="151"/>
        <v>Nov</v>
      </c>
    </row>
    <row r="1188" spans="1:18" x14ac:dyDescent="0.3">
      <c r="A1188" t="s">
        <v>2796</v>
      </c>
      <c r="B1188" s="1">
        <v>45666</v>
      </c>
      <c r="C1188" t="s">
        <v>849</v>
      </c>
      <c r="D1188" t="s">
        <v>1455</v>
      </c>
      <c r="E1188" t="s">
        <v>1551</v>
      </c>
      <c r="F1188">
        <v>2.4973792942805302</v>
      </c>
      <c r="G1188" s="14">
        <v>481.735654643624</v>
      </c>
      <c r="H1188" s="17">
        <v>0.15422967146514799</v>
      </c>
      <c r="I1188" t="s">
        <v>1611</v>
      </c>
      <c r="J1188" s="14">
        <v>1020.57817106264</v>
      </c>
      <c r="K1188" s="14">
        <f t="shared" si="144"/>
        <v>269087.08004475571</v>
      </c>
      <c r="L1188" s="14">
        <f t="shared" si="145"/>
        <v>276</v>
      </c>
      <c r="M1188" s="14" t="str">
        <f t="shared" si="146"/>
        <v>09-01-2025</v>
      </c>
      <c r="N1188" s="14">
        <f t="shared" si="147"/>
        <v>0.15697507212452949</v>
      </c>
      <c r="O1188" s="20">
        <f t="shared" si="148"/>
        <v>2.5075655094794724</v>
      </c>
      <c r="P1188" s="14">
        <f t="shared" si="149"/>
        <v>460.71991802307957</v>
      </c>
      <c r="Q1188" s="14">
        <f t="shared" si="150"/>
        <v>376.24135866800242</v>
      </c>
      <c r="R1188" s="14" t="str">
        <f t="shared" si="151"/>
        <v>Jan</v>
      </c>
    </row>
    <row r="1189" spans="1:18" x14ac:dyDescent="0.3">
      <c r="A1189" t="s">
        <v>2797</v>
      </c>
      <c r="B1189" s="1">
        <v>45406</v>
      </c>
      <c r="C1189" t="s">
        <v>1320</v>
      </c>
      <c r="D1189" t="s">
        <v>1411</v>
      </c>
      <c r="E1189" t="s">
        <v>1546</v>
      </c>
      <c r="F1189">
        <v>2.49740438348053</v>
      </c>
      <c r="G1189" s="14">
        <v>481.68389174554397</v>
      </c>
      <c r="H1189" s="17">
        <v>0.15423643353573799</v>
      </c>
      <c r="I1189" t="s">
        <v>1609</v>
      </c>
      <c r="J1189" s="14">
        <v>1020.47017460318</v>
      </c>
      <c r="K1189" s="14">
        <f t="shared" si="144"/>
        <v>269087.08004475571</v>
      </c>
      <c r="L1189" s="14">
        <f t="shared" si="145"/>
        <v>276</v>
      </c>
      <c r="M1189" s="14" t="str">
        <f t="shared" si="146"/>
        <v>24-04-2024</v>
      </c>
      <c r="N1189" s="14">
        <f t="shared" si="147"/>
        <v>0.15697845315982428</v>
      </c>
      <c r="O1189" s="20">
        <f t="shared" si="148"/>
        <v>2.5075780540794712</v>
      </c>
      <c r="P1189" s="14">
        <f t="shared" si="149"/>
        <v>460.6940365740395</v>
      </c>
      <c r="Q1189" s="14">
        <f t="shared" si="150"/>
        <v>376.2014267914351</v>
      </c>
      <c r="R1189" s="14" t="str">
        <f t="shared" si="151"/>
        <v>Apr</v>
      </c>
    </row>
    <row r="1190" spans="1:18" x14ac:dyDescent="0.3">
      <c r="A1190" t="s">
        <v>2798</v>
      </c>
      <c r="B1190" s="1">
        <v>45284</v>
      </c>
      <c r="C1190" t="s">
        <v>378</v>
      </c>
      <c r="D1190" t="s">
        <v>1483</v>
      </c>
      <c r="E1190" t="s">
        <v>1551</v>
      </c>
      <c r="F1190">
        <v>2.4974294726805302</v>
      </c>
      <c r="G1190" s="14">
        <v>481.632128847464</v>
      </c>
      <c r="H1190" s="17">
        <v>0.15424319560632699</v>
      </c>
      <c r="I1190" t="s">
        <v>1611</v>
      </c>
      <c r="J1190" s="14">
        <v>1020.36217814373</v>
      </c>
      <c r="K1190" s="14">
        <f t="shared" si="144"/>
        <v>268066.60987015249</v>
      </c>
      <c r="L1190" s="14">
        <f t="shared" si="145"/>
        <v>275</v>
      </c>
      <c r="M1190" s="14" t="str">
        <f t="shared" si="146"/>
        <v>24-12-2023</v>
      </c>
      <c r="N1190" s="14">
        <f t="shared" si="147"/>
        <v>0.15698183419511913</v>
      </c>
      <c r="O1190" s="20">
        <f t="shared" si="148"/>
        <v>2.50759059867947</v>
      </c>
      <c r="P1190" s="14">
        <f t="shared" si="149"/>
        <v>460.66815512499954</v>
      </c>
      <c r="Q1190" s="14">
        <f t="shared" si="150"/>
        <v>376.16149491487022</v>
      </c>
      <c r="R1190" s="14" t="str">
        <f t="shared" si="151"/>
        <v>Dec</v>
      </c>
    </row>
    <row r="1191" spans="1:18" x14ac:dyDescent="0.3">
      <c r="A1191" t="s">
        <v>2799</v>
      </c>
      <c r="B1191" s="1">
        <v>45348</v>
      </c>
      <c r="C1191" t="s">
        <v>481</v>
      </c>
      <c r="D1191" t="s">
        <v>1453</v>
      </c>
      <c r="E1191" t="s">
        <v>1584</v>
      </c>
      <c r="F1191">
        <v>2.4974545618805299</v>
      </c>
      <c r="G1191" s="14">
        <v>481.58036594938397</v>
      </c>
      <c r="H1191" s="17">
        <v>0.15424995767691699</v>
      </c>
      <c r="I1191" t="s">
        <v>1609</v>
      </c>
      <c r="J1191" s="14">
        <v>1020.25418168428</v>
      </c>
      <c r="K1191" s="14">
        <f t="shared" si="144"/>
        <v>268066.60987015249</v>
      </c>
      <c r="L1191" s="14">
        <f t="shared" si="145"/>
        <v>275</v>
      </c>
      <c r="M1191" s="14" t="str">
        <f t="shared" si="146"/>
        <v>26-02-2024</v>
      </c>
      <c r="N1191" s="14">
        <f t="shared" si="147"/>
        <v>0.15698521523041389</v>
      </c>
      <c r="O1191" s="20">
        <f t="shared" si="148"/>
        <v>2.5076031432794688</v>
      </c>
      <c r="P1191" s="14">
        <f t="shared" si="149"/>
        <v>460.64227367595936</v>
      </c>
      <c r="Q1191" s="14">
        <f t="shared" si="150"/>
        <v>376.12156303830534</v>
      </c>
      <c r="R1191" s="14" t="str">
        <f t="shared" si="151"/>
        <v>Feb</v>
      </c>
    </row>
    <row r="1192" spans="1:18" x14ac:dyDescent="0.3">
      <c r="A1192" t="s">
        <v>2800</v>
      </c>
      <c r="B1192" s="1">
        <v>45676</v>
      </c>
      <c r="C1192" t="s">
        <v>188</v>
      </c>
      <c r="D1192" t="s">
        <v>1429</v>
      </c>
      <c r="E1192" t="s">
        <v>1582</v>
      </c>
      <c r="F1192">
        <v>2.4974796510805199</v>
      </c>
      <c r="G1192" s="14">
        <v>481.528603051304</v>
      </c>
      <c r="H1192" s="17">
        <v>0.15425671974750699</v>
      </c>
      <c r="I1192" t="s">
        <v>1611</v>
      </c>
      <c r="J1192" s="14">
        <v>1020.14618522483</v>
      </c>
      <c r="K1192" s="14">
        <f t="shared" si="144"/>
        <v>267046.35568846826</v>
      </c>
      <c r="L1192" s="14">
        <f t="shared" si="145"/>
        <v>274</v>
      </c>
      <c r="M1192" s="14" t="str">
        <f t="shared" si="146"/>
        <v>19-01-2025</v>
      </c>
      <c r="N1192" s="14">
        <f t="shared" si="147"/>
        <v>0.15698859626570871</v>
      </c>
      <c r="O1192" s="20">
        <f t="shared" si="148"/>
        <v>2.5076156878794671</v>
      </c>
      <c r="P1192" s="14">
        <f t="shared" si="149"/>
        <v>460.61639222691923</v>
      </c>
      <c r="Q1192" s="14">
        <f t="shared" si="150"/>
        <v>376.08163116174052</v>
      </c>
      <c r="R1192" s="14" t="str">
        <f t="shared" si="151"/>
        <v>Jan</v>
      </c>
    </row>
    <row r="1193" spans="1:18" x14ac:dyDescent="0.3">
      <c r="A1193" t="s">
        <v>2801</v>
      </c>
      <c r="B1193" s="1">
        <v>45863</v>
      </c>
      <c r="C1193" t="s">
        <v>875</v>
      </c>
      <c r="D1193" t="s">
        <v>1471</v>
      </c>
      <c r="E1193" t="s">
        <v>1579</v>
      </c>
      <c r="F1193">
        <v>2.4975047402805202</v>
      </c>
      <c r="G1193" s="14">
        <v>481.47684015322301</v>
      </c>
      <c r="H1193" s="17">
        <v>0.15426348181809599</v>
      </c>
      <c r="I1193" t="s">
        <v>1609</v>
      </c>
      <c r="J1193" s="14">
        <v>1020.03818876538</v>
      </c>
      <c r="K1193" s="14">
        <f t="shared" si="144"/>
        <v>267046.35568846826</v>
      </c>
      <c r="L1193" s="14">
        <f t="shared" si="145"/>
        <v>274</v>
      </c>
      <c r="M1193" s="14" t="str">
        <f t="shared" si="146"/>
        <v>25-07-2025</v>
      </c>
      <c r="N1193" s="14">
        <f t="shared" si="147"/>
        <v>0.15699197730100353</v>
      </c>
      <c r="O1193" s="20">
        <f t="shared" si="148"/>
        <v>2.5076282324794659</v>
      </c>
      <c r="P1193" s="14">
        <f t="shared" si="149"/>
        <v>460.59051077787922</v>
      </c>
      <c r="Q1193" s="14">
        <f t="shared" si="150"/>
        <v>376.04169928517541</v>
      </c>
      <c r="R1193" s="14" t="str">
        <f t="shared" si="151"/>
        <v>Jul</v>
      </c>
    </row>
    <row r="1194" spans="1:18" x14ac:dyDescent="0.3">
      <c r="A1194" t="s">
        <v>2802</v>
      </c>
      <c r="B1194" s="1">
        <v>45409</v>
      </c>
      <c r="C1194" t="s">
        <v>499</v>
      </c>
      <c r="D1194" t="s">
        <v>1449</v>
      </c>
      <c r="E1194" t="s">
        <v>1574</v>
      </c>
      <c r="F1194">
        <v>2.4975298294805199</v>
      </c>
      <c r="G1194" s="14">
        <v>481.42507725514298</v>
      </c>
      <c r="H1194" s="17">
        <v>0.15427024388868599</v>
      </c>
      <c r="I1194" t="s">
        <v>1611</v>
      </c>
      <c r="J1194" s="14">
        <v>1019.9301923059299</v>
      </c>
      <c r="K1194" s="14">
        <f t="shared" si="144"/>
        <v>266026.31749970285</v>
      </c>
      <c r="L1194" s="14">
        <f t="shared" si="145"/>
        <v>273</v>
      </c>
      <c r="M1194" s="14" t="str">
        <f t="shared" si="146"/>
        <v>27-04-2024</v>
      </c>
      <c r="N1194" s="14">
        <f t="shared" si="147"/>
        <v>0.15699535833629832</v>
      </c>
      <c r="O1194" s="20">
        <f t="shared" si="148"/>
        <v>2.5076407770794646</v>
      </c>
      <c r="P1194" s="14">
        <f t="shared" si="149"/>
        <v>460.56462932883915</v>
      </c>
      <c r="Q1194" s="14">
        <f t="shared" si="150"/>
        <v>376.00176740861053</v>
      </c>
      <c r="R1194" s="14" t="str">
        <f t="shared" si="151"/>
        <v>Apr</v>
      </c>
    </row>
    <row r="1195" spans="1:18" x14ac:dyDescent="0.3">
      <c r="A1195" t="s">
        <v>2803</v>
      </c>
      <c r="B1195" s="1">
        <v>45880</v>
      </c>
      <c r="C1195" t="s">
        <v>52</v>
      </c>
      <c r="D1195" t="s">
        <v>1491</v>
      </c>
      <c r="E1195" t="s">
        <v>1558</v>
      </c>
      <c r="F1195">
        <v>2.4975549186805099</v>
      </c>
      <c r="G1195" s="14">
        <v>481.37331435706301</v>
      </c>
      <c r="H1195" s="17">
        <v>0.15427700595927499</v>
      </c>
      <c r="I1195" t="s">
        <v>1611</v>
      </c>
      <c r="J1195" s="14">
        <v>1019.82219584647</v>
      </c>
      <c r="K1195" s="14">
        <f t="shared" si="144"/>
        <v>266026.31749970285</v>
      </c>
      <c r="L1195" s="14">
        <f t="shared" si="145"/>
        <v>273</v>
      </c>
      <c r="M1195" s="14" t="str">
        <f t="shared" si="146"/>
        <v>11-08-2025</v>
      </c>
      <c r="N1195" s="14">
        <f t="shared" si="147"/>
        <v>0.15699873937159314</v>
      </c>
      <c r="O1195" s="20">
        <f t="shared" si="148"/>
        <v>2.507653321679463</v>
      </c>
      <c r="P1195" s="14">
        <f t="shared" si="149"/>
        <v>460.53874787979908</v>
      </c>
      <c r="Q1195" s="14">
        <f t="shared" si="150"/>
        <v>375.96183553204321</v>
      </c>
      <c r="R1195" s="14" t="str">
        <f t="shared" si="151"/>
        <v>Aug</v>
      </c>
    </row>
    <row r="1196" spans="1:18" x14ac:dyDescent="0.3">
      <c r="A1196" t="s">
        <v>2804</v>
      </c>
      <c r="B1196" s="1">
        <v>45731</v>
      </c>
      <c r="C1196" t="s">
        <v>1053</v>
      </c>
      <c r="D1196" t="s">
        <v>1441</v>
      </c>
      <c r="E1196" t="s">
        <v>1537</v>
      </c>
      <c r="F1196">
        <v>2.4975800078805102</v>
      </c>
      <c r="G1196" s="14">
        <v>481.32155145898298</v>
      </c>
      <c r="H1196" s="17">
        <v>0.15428376802986499</v>
      </c>
      <c r="I1196" t="s">
        <v>1614</v>
      </c>
      <c r="J1196" s="14">
        <v>1019.71419938702</v>
      </c>
      <c r="K1196" s="14">
        <f t="shared" si="144"/>
        <v>266026.31749970285</v>
      </c>
      <c r="L1196" s="14">
        <f t="shared" si="145"/>
        <v>273</v>
      </c>
      <c r="M1196" s="14" t="str">
        <f t="shared" si="146"/>
        <v>15-03-2025</v>
      </c>
      <c r="N1196" s="14">
        <f t="shared" si="147"/>
        <v>0.15700212040688794</v>
      </c>
      <c r="O1196" s="20">
        <f t="shared" si="148"/>
        <v>2.5076658662794618</v>
      </c>
      <c r="P1196" s="14">
        <f t="shared" si="149"/>
        <v>460.512866430759</v>
      </c>
      <c r="Q1196" s="14">
        <f t="shared" si="150"/>
        <v>375.92190365547833</v>
      </c>
      <c r="R1196" s="14" t="str">
        <f t="shared" si="151"/>
        <v>Mar</v>
      </c>
    </row>
    <row r="1197" spans="1:18" x14ac:dyDescent="0.3">
      <c r="A1197" t="s">
        <v>2805</v>
      </c>
      <c r="B1197" s="1">
        <v>45671</v>
      </c>
      <c r="C1197" t="s">
        <v>44</v>
      </c>
      <c r="D1197" t="s">
        <v>1521</v>
      </c>
      <c r="E1197" t="s">
        <v>1561</v>
      </c>
      <c r="F1197">
        <v>2.4976050970805099</v>
      </c>
      <c r="G1197" s="14">
        <v>481.26978856090301</v>
      </c>
      <c r="H1197" s="17">
        <v>0.15429053010045499</v>
      </c>
      <c r="I1197" t="s">
        <v>1614</v>
      </c>
      <c r="J1197" s="14">
        <v>1019.6062029275701</v>
      </c>
      <c r="K1197" s="14">
        <f t="shared" si="144"/>
        <v>266026.31749970285</v>
      </c>
      <c r="L1197" s="14">
        <f t="shared" si="145"/>
        <v>273</v>
      </c>
      <c r="M1197" s="14" t="str">
        <f t="shared" si="146"/>
        <v>14-01-2025</v>
      </c>
      <c r="N1197" s="14">
        <f t="shared" si="147"/>
        <v>0.15700550144218273</v>
      </c>
      <c r="O1197" s="20">
        <f t="shared" si="148"/>
        <v>2.5076784108794605</v>
      </c>
      <c r="P1197" s="14">
        <f t="shared" si="149"/>
        <v>460.48698498171893</v>
      </c>
      <c r="Q1197" s="14">
        <f t="shared" si="150"/>
        <v>375.88197177891351</v>
      </c>
      <c r="R1197" s="14" t="str">
        <f t="shared" si="151"/>
        <v>Jan</v>
      </c>
    </row>
    <row r="1198" spans="1:18" x14ac:dyDescent="0.3">
      <c r="A1198" t="s">
        <v>2806</v>
      </c>
      <c r="B1198" s="1">
        <v>45809</v>
      </c>
      <c r="C1198" t="s">
        <v>562</v>
      </c>
      <c r="D1198" t="s">
        <v>1367</v>
      </c>
      <c r="E1198" t="s">
        <v>1537</v>
      </c>
      <c r="F1198">
        <v>2.4976301862805101</v>
      </c>
      <c r="G1198" s="14">
        <v>481.21802566282298</v>
      </c>
      <c r="H1198" s="17">
        <v>0.15429729217104399</v>
      </c>
      <c r="I1198" t="s">
        <v>1609</v>
      </c>
      <c r="J1198" s="14">
        <v>1019.49820646812</v>
      </c>
      <c r="K1198" s="14">
        <f t="shared" si="144"/>
        <v>266026.31749970285</v>
      </c>
      <c r="L1198" s="14">
        <f t="shared" si="145"/>
        <v>273</v>
      </c>
      <c r="M1198" s="14" t="str">
        <f t="shared" si="146"/>
        <v>01-06-2025</v>
      </c>
      <c r="N1198" s="14">
        <f t="shared" si="147"/>
        <v>0.15700888247747752</v>
      </c>
      <c r="O1198" s="20">
        <f t="shared" si="148"/>
        <v>2.5076909554794589</v>
      </c>
      <c r="P1198" s="14">
        <f t="shared" si="149"/>
        <v>460.46110353267881</v>
      </c>
      <c r="Q1198" s="14">
        <f t="shared" si="150"/>
        <v>375.84203990234863</v>
      </c>
      <c r="R1198" s="14" t="str">
        <f t="shared" si="151"/>
        <v>Jun</v>
      </c>
    </row>
    <row r="1199" spans="1:18" x14ac:dyDescent="0.3">
      <c r="A1199" t="s">
        <v>2807</v>
      </c>
      <c r="B1199" s="1">
        <v>45559</v>
      </c>
      <c r="C1199" t="s">
        <v>1315</v>
      </c>
      <c r="D1199" t="s">
        <v>1389</v>
      </c>
      <c r="E1199" t="s">
        <v>1592</v>
      </c>
      <c r="F1199">
        <v>2.4976552754805001</v>
      </c>
      <c r="G1199" s="14">
        <v>481.16626276474199</v>
      </c>
      <c r="H1199" s="17">
        <v>0.15430405424163399</v>
      </c>
      <c r="I1199" t="s">
        <v>1614</v>
      </c>
      <c r="J1199" s="14">
        <v>1019.39021000867</v>
      </c>
      <c r="K1199" s="14">
        <f t="shared" si="144"/>
        <v>265006.81929323473</v>
      </c>
      <c r="L1199" s="14">
        <f t="shared" si="145"/>
        <v>272</v>
      </c>
      <c r="M1199" s="14" t="str">
        <f t="shared" si="146"/>
        <v>24-09-2024</v>
      </c>
      <c r="N1199" s="14">
        <f t="shared" si="147"/>
        <v>0.15701226351277234</v>
      </c>
      <c r="O1199" s="20">
        <f t="shared" si="148"/>
        <v>2.5077035000794576</v>
      </c>
      <c r="P1199" s="14">
        <f t="shared" si="149"/>
        <v>460.43522208363873</v>
      </c>
      <c r="Q1199" s="14">
        <f t="shared" si="150"/>
        <v>375.80210802578353</v>
      </c>
      <c r="R1199" s="14" t="str">
        <f t="shared" si="151"/>
        <v>Sep</v>
      </c>
    </row>
    <row r="1200" spans="1:18" x14ac:dyDescent="0.3">
      <c r="A1200" t="s">
        <v>2808</v>
      </c>
      <c r="B1200" s="1">
        <v>45253</v>
      </c>
      <c r="C1200" t="s">
        <v>461</v>
      </c>
      <c r="D1200" t="s">
        <v>1363</v>
      </c>
      <c r="E1200" t="s">
        <v>1558</v>
      </c>
      <c r="F1200">
        <v>2.4976803646804999</v>
      </c>
      <c r="G1200" s="14">
        <v>481.11449986666202</v>
      </c>
      <c r="H1200" s="17">
        <v>0.15431081631222299</v>
      </c>
      <c r="I1200" t="s">
        <v>1609</v>
      </c>
      <c r="J1200" s="14">
        <v>1019.28221354922</v>
      </c>
      <c r="K1200" s="14">
        <f t="shared" si="144"/>
        <v>265006.81929323473</v>
      </c>
      <c r="L1200" s="14">
        <f t="shared" si="145"/>
        <v>272</v>
      </c>
      <c r="M1200" s="14" t="str">
        <f t="shared" si="146"/>
        <v>23-11-2023</v>
      </c>
      <c r="N1200" s="14">
        <f t="shared" si="147"/>
        <v>0.15701564454806716</v>
      </c>
      <c r="O1200" s="20">
        <f t="shared" si="148"/>
        <v>2.5077160446794564</v>
      </c>
      <c r="P1200" s="14">
        <f t="shared" si="149"/>
        <v>460.40934063459872</v>
      </c>
      <c r="Q1200" s="14">
        <f t="shared" si="150"/>
        <v>375.7621761492187</v>
      </c>
      <c r="R1200" s="14" t="str">
        <f t="shared" si="151"/>
        <v>Nov</v>
      </c>
    </row>
    <row r="1201" spans="1:18" x14ac:dyDescent="0.3">
      <c r="A1201" t="s">
        <v>2809</v>
      </c>
      <c r="B1201" s="1">
        <v>45861</v>
      </c>
      <c r="C1201" t="s">
        <v>702</v>
      </c>
      <c r="D1201" t="s">
        <v>1505</v>
      </c>
      <c r="E1201" t="s">
        <v>1567</v>
      </c>
      <c r="F1201">
        <v>2.4977054538805001</v>
      </c>
      <c r="G1201" s="14">
        <v>481.06273696858199</v>
      </c>
      <c r="H1201" s="17">
        <v>0.15431757838281299</v>
      </c>
      <c r="I1201" t="s">
        <v>1614</v>
      </c>
      <c r="J1201" s="14">
        <v>1019.17421708976</v>
      </c>
      <c r="K1201" s="14">
        <f t="shared" si="144"/>
        <v>263987.53707968554</v>
      </c>
      <c r="L1201" s="14">
        <f t="shared" si="145"/>
        <v>271</v>
      </c>
      <c r="M1201" s="14" t="str">
        <f t="shared" si="146"/>
        <v>23-07-2025</v>
      </c>
      <c r="N1201" s="14">
        <f t="shared" si="147"/>
        <v>0.15701902558336198</v>
      </c>
      <c r="O1201" s="20">
        <f t="shared" si="148"/>
        <v>2.5077285892794547</v>
      </c>
      <c r="P1201" s="14">
        <f t="shared" si="149"/>
        <v>460.38345918555859</v>
      </c>
      <c r="Q1201" s="14">
        <f t="shared" si="150"/>
        <v>375.72224427265132</v>
      </c>
      <c r="R1201" s="14" t="str">
        <f t="shared" si="151"/>
        <v>Jul</v>
      </c>
    </row>
    <row r="1202" spans="1:18" x14ac:dyDescent="0.3">
      <c r="A1202" t="s">
        <v>2810</v>
      </c>
      <c r="B1202" s="1">
        <v>45917</v>
      </c>
      <c r="C1202" t="s">
        <v>127</v>
      </c>
      <c r="D1202" t="s">
        <v>1457</v>
      </c>
      <c r="E1202" t="s">
        <v>1579</v>
      </c>
      <c r="F1202">
        <v>2.4977305430804999</v>
      </c>
      <c r="G1202" s="14">
        <v>481.01097407050202</v>
      </c>
      <c r="H1202" s="17">
        <v>0.15432434045340299</v>
      </c>
      <c r="I1202" t="s">
        <v>1609</v>
      </c>
      <c r="J1202" s="14">
        <v>1019.06622063031</v>
      </c>
      <c r="K1202" s="14">
        <f t="shared" si="144"/>
        <v>263987.53707968554</v>
      </c>
      <c r="L1202" s="14">
        <f t="shared" si="145"/>
        <v>271</v>
      </c>
      <c r="M1202" s="14" t="str">
        <f t="shared" si="146"/>
        <v>17-09-2025</v>
      </c>
      <c r="N1202" s="14">
        <f t="shared" si="147"/>
        <v>0.15702240661865677</v>
      </c>
      <c r="O1202" s="20">
        <f t="shared" si="148"/>
        <v>2.5077411338794535</v>
      </c>
      <c r="P1202" s="14">
        <f t="shared" si="149"/>
        <v>460.35757773651846</v>
      </c>
      <c r="Q1202" s="14">
        <f t="shared" si="150"/>
        <v>375.68231239608645</v>
      </c>
      <c r="R1202" s="14" t="str">
        <f t="shared" si="151"/>
        <v>Sep</v>
      </c>
    </row>
    <row r="1203" spans="1:18" x14ac:dyDescent="0.3">
      <c r="A1203" t="s">
        <v>2811</v>
      </c>
      <c r="B1203" s="1">
        <v>45754</v>
      </c>
      <c r="C1203" t="s">
        <v>1297</v>
      </c>
      <c r="D1203" t="s">
        <v>1365</v>
      </c>
      <c r="E1203" t="s">
        <v>1598</v>
      </c>
      <c r="F1203">
        <v>2.4977556322804899</v>
      </c>
      <c r="G1203" s="14">
        <v>480.95921117242199</v>
      </c>
      <c r="H1203" s="17">
        <v>0.15433110252399199</v>
      </c>
      <c r="I1203" t="s">
        <v>1614</v>
      </c>
      <c r="J1203" s="14">
        <v>1018.95822417086</v>
      </c>
      <c r="K1203" s="14">
        <f t="shared" si="144"/>
        <v>262968.47085905517</v>
      </c>
      <c r="L1203" s="14">
        <f t="shared" si="145"/>
        <v>270</v>
      </c>
      <c r="M1203" s="14" t="str">
        <f t="shared" si="146"/>
        <v>07-04-2025</v>
      </c>
      <c r="N1203" s="14">
        <f t="shared" si="147"/>
        <v>0.15702578765395156</v>
      </c>
      <c r="O1203" s="20">
        <f t="shared" si="148"/>
        <v>2.5077536784794523</v>
      </c>
      <c r="P1203" s="14">
        <f t="shared" si="149"/>
        <v>460.33169628747845</v>
      </c>
      <c r="Q1203" s="14">
        <f t="shared" si="150"/>
        <v>375.64238051952162</v>
      </c>
      <c r="R1203" s="14" t="str">
        <f t="shared" si="151"/>
        <v>Apr</v>
      </c>
    </row>
    <row r="1204" spans="1:18" x14ac:dyDescent="0.3">
      <c r="A1204" t="s">
        <v>2812</v>
      </c>
      <c r="B1204" s="1">
        <v>45312</v>
      </c>
      <c r="C1204" t="s">
        <v>1023</v>
      </c>
      <c r="D1204" t="s">
        <v>1347</v>
      </c>
      <c r="E1204" t="s">
        <v>1589</v>
      </c>
      <c r="F1204">
        <v>2.4977807214804901</v>
      </c>
      <c r="G1204" s="14">
        <v>480.90744827434202</v>
      </c>
      <c r="H1204" s="17">
        <v>0.15433786459458201</v>
      </c>
      <c r="I1204" t="s">
        <v>1611</v>
      </c>
      <c r="J1204" s="14">
        <v>1018.85022771141</v>
      </c>
      <c r="K1204" s="14">
        <f t="shared" si="144"/>
        <v>262968.47085905517</v>
      </c>
      <c r="L1204" s="14">
        <f t="shared" si="145"/>
        <v>270</v>
      </c>
      <c r="M1204" s="14" t="str">
        <f t="shared" si="146"/>
        <v>21-01-2024</v>
      </c>
      <c r="N1204" s="14">
        <f t="shared" si="147"/>
        <v>0.15702916868924635</v>
      </c>
      <c r="O1204" s="20">
        <f t="shared" si="148"/>
        <v>2.5077662230794506</v>
      </c>
      <c r="P1204" s="14">
        <f t="shared" si="149"/>
        <v>460.30581483843844</v>
      </c>
      <c r="Q1204" s="14">
        <f t="shared" si="150"/>
        <v>375.60244864295674</v>
      </c>
      <c r="R1204" s="14" t="str">
        <f t="shared" si="151"/>
        <v>Jan</v>
      </c>
    </row>
    <row r="1205" spans="1:18" x14ac:dyDescent="0.3">
      <c r="A1205" t="s">
        <v>2813</v>
      </c>
      <c r="B1205" s="1">
        <v>45480</v>
      </c>
      <c r="C1205" t="s">
        <v>1139</v>
      </c>
      <c r="D1205" t="s">
        <v>1463</v>
      </c>
      <c r="E1205" t="s">
        <v>1577</v>
      </c>
      <c r="F1205">
        <v>2.4978058106804899</v>
      </c>
      <c r="G1205" s="14">
        <v>480.85568537626199</v>
      </c>
      <c r="H1205" s="17">
        <v>0.15434462666517099</v>
      </c>
      <c r="I1205" t="s">
        <v>1609</v>
      </c>
      <c r="J1205" s="14">
        <v>1018.74223125196</v>
      </c>
      <c r="K1205" s="14">
        <f t="shared" si="144"/>
        <v>262968.47085905517</v>
      </c>
      <c r="L1205" s="14">
        <f t="shared" si="145"/>
        <v>270</v>
      </c>
      <c r="M1205" s="14" t="str">
        <f t="shared" si="146"/>
        <v>07-07-2024</v>
      </c>
      <c r="N1205" s="14">
        <f t="shared" si="147"/>
        <v>0.1570325497245412</v>
      </c>
      <c r="O1205" s="20">
        <f t="shared" si="148"/>
        <v>2.5077787676794494</v>
      </c>
      <c r="P1205" s="14">
        <f t="shared" si="149"/>
        <v>460.27993338939825</v>
      </c>
      <c r="Q1205" s="14">
        <f t="shared" si="150"/>
        <v>375.56251676639192</v>
      </c>
      <c r="R1205" s="14" t="str">
        <f t="shared" si="151"/>
        <v>Jul</v>
      </c>
    </row>
    <row r="1206" spans="1:18" x14ac:dyDescent="0.3">
      <c r="A1206" t="s">
        <v>2814</v>
      </c>
      <c r="B1206" s="1">
        <v>45780</v>
      </c>
      <c r="C1206" t="s">
        <v>654</v>
      </c>
      <c r="D1206" t="s">
        <v>1361</v>
      </c>
      <c r="E1206" t="s">
        <v>1537</v>
      </c>
      <c r="F1206">
        <v>2.4978308998804901</v>
      </c>
      <c r="G1206" s="14">
        <v>480.80392247818099</v>
      </c>
      <c r="H1206" s="17">
        <v>0.15435138873576101</v>
      </c>
      <c r="I1206" t="s">
        <v>1611</v>
      </c>
      <c r="J1206" s="14">
        <v>1018.6342347925</v>
      </c>
      <c r="K1206" s="14">
        <f t="shared" si="144"/>
        <v>261949.72862780324</v>
      </c>
      <c r="L1206" s="14">
        <f t="shared" si="145"/>
        <v>269</v>
      </c>
      <c r="M1206" s="14" t="str">
        <f t="shared" si="146"/>
        <v>03-05-2025</v>
      </c>
      <c r="N1206" s="14">
        <f t="shared" si="147"/>
        <v>0.15703593075983596</v>
      </c>
      <c r="O1206" s="20">
        <f t="shared" si="148"/>
        <v>2.5077913122794482</v>
      </c>
      <c r="P1206" s="14">
        <f t="shared" si="149"/>
        <v>460.25405194035812</v>
      </c>
      <c r="Q1206" s="14">
        <f t="shared" si="150"/>
        <v>375.52258488982432</v>
      </c>
      <c r="R1206" s="14" t="str">
        <f t="shared" si="151"/>
        <v>May</v>
      </c>
    </row>
    <row r="1207" spans="1:18" x14ac:dyDescent="0.3">
      <c r="A1207" t="s">
        <v>2815</v>
      </c>
      <c r="B1207" s="1">
        <v>45349</v>
      </c>
      <c r="C1207" t="s">
        <v>1284</v>
      </c>
      <c r="D1207" t="s">
        <v>1347</v>
      </c>
      <c r="E1207" t="s">
        <v>1564</v>
      </c>
      <c r="F1207">
        <v>2.4978559890804801</v>
      </c>
      <c r="G1207" s="14">
        <v>480.75215958010102</v>
      </c>
      <c r="H1207" s="17">
        <v>0.15435815080635101</v>
      </c>
      <c r="I1207" t="s">
        <v>1611</v>
      </c>
      <c r="J1207" s="14">
        <v>1018.5262383330499</v>
      </c>
      <c r="K1207" s="14">
        <f t="shared" si="144"/>
        <v>261949.72862780324</v>
      </c>
      <c r="L1207" s="14">
        <f t="shared" si="145"/>
        <v>269</v>
      </c>
      <c r="M1207" s="14" t="str">
        <f t="shared" si="146"/>
        <v>27-02-2024</v>
      </c>
      <c r="N1207" s="14">
        <f t="shared" si="147"/>
        <v>0.15703931179513078</v>
      </c>
      <c r="O1207" s="20">
        <f t="shared" si="148"/>
        <v>2.507803856879447</v>
      </c>
      <c r="P1207" s="14">
        <f t="shared" si="149"/>
        <v>460.22817049131811</v>
      </c>
      <c r="Q1207" s="14">
        <f t="shared" si="150"/>
        <v>375.48265301325944</v>
      </c>
      <c r="R1207" s="14" t="str">
        <f t="shared" si="151"/>
        <v>Feb</v>
      </c>
    </row>
    <row r="1208" spans="1:18" x14ac:dyDescent="0.3">
      <c r="A1208" t="s">
        <v>2816</v>
      </c>
      <c r="B1208" s="1">
        <v>45846</v>
      </c>
      <c r="C1208" t="s">
        <v>1080</v>
      </c>
      <c r="D1208" t="s">
        <v>1481</v>
      </c>
      <c r="E1208" t="s">
        <v>1564</v>
      </c>
      <c r="F1208">
        <v>2.4978810782804799</v>
      </c>
      <c r="G1208" s="14">
        <v>480.70039668202099</v>
      </c>
      <c r="H1208" s="17">
        <v>0.15436491287694001</v>
      </c>
      <c r="I1208" t="s">
        <v>1611</v>
      </c>
      <c r="J1208" s="14">
        <v>1018.4182418736</v>
      </c>
      <c r="K1208" s="14">
        <f t="shared" si="144"/>
        <v>261949.72862780324</v>
      </c>
      <c r="L1208" s="14">
        <f t="shared" si="145"/>
        <v>269</v>
      </c>
      <c r="M1208" s="14" t="str">
        <f t="shared" si="146"/>
        <v>08-07-2025</v>
      </c>
      <c r="N1208" s="14">
        <f t="shared" si="147"/>
        <v>0.1570426928304256</v>
      </c>
      <c r="O1208" s="20">
        <f t="shared" si="148"/>
        <v>2.5078164014794457</v>
      </c>
      <c r="P1208" s="14">
        <f t="shared" si="149"/>
        <v>460.20228904227798</v>
      </c>
      <c r="Q1208" s="14">
        <f t="shared" si="150"/>
        <v>375.44272113669462</v>
      </c>
      <c r="R1208" s="14" t="str">
        <f t="shared" si="151"/>
        <v>Jul</v>
      </c>
    </row>
    <row r="1209" spans="1:18" x14ac:dyDescent="0.3">
      <c r="A1209" t="s">
        <v>2817</v>
      </c>
      <c r="B1209" s="1">
        <v>45729</v>
      </c>
      <c r="C1209" t="s">
        <v>1256</v>
      </c>
      <c r="D1209" t="s">
        <v>1521</v>
      </c>
      <c r="E1209" t="s">
        <v>1579</v>
      </c>
      <c r="F1209">
        <v>2.4979061674804801</v>
      </c>
      <c r="G1209" s="14">
        <v>480.64863378394102</v>
      </c>
      <c r="H1209" s="17">
        <v>0.15437167494753001</v>
      </c>
      <c r="I1209" t="s">
        <v>1614</v>
      </c>
      <c r="J1209" s="14">
        <v>1018.31024541415</v>
      </c>
      <c r="K1209" s="14">
        <f t="shared" si="144"/>
        <v>261949.72862780324</v>
      </c>
      <c r="L1209" s="14">
        <f t="shared" si="145"/>
        <v>269</v>
      </c>
      <c r="M1209" s="14" t="str">
        <f t="shared" si="146"/>
        <v>13-03-2025</v>
      </c>
      <c r="N1209" s="14">
        <f t="shared" si="147"/>
        <v>0.15704607386572042</v>
      </c>
      <c r="O1209" s="20">
        <f t="shared" si="148"/>
        <v>2.5078289460794445</v>
      </c>
      <c r="P1209" s="14">
        <f t="shared" si="149"/>
        <v>460.17640759323797</v>
      </c>
      <c r="Q1209" s="14">
        <f t="shared" si="150"/>
        <v>375.40278926012979</v>
      </c>
      <c r="R1209" s="14" t="str">
        <f t="shared" si="151"/>
        <v>Mar</v>
      </c>
    </row>
    <row r="1210" spans="1:18" x14ac:dyDescent="0.3">
      <c r="A1210" t="s">
        <v>2818</v>
      </c>
      <c r="B1210" s="1">
        <v>45768</v>
      </c>
      <c r="C1210" t="s">
        <v>301</v>
      </c>
      <c r="D1210" t="s">
        <v>1423</v>
      </c>
      <c r="E1210" t="s">
        <v>1571</v>
      </c>
      <c r="F1210">
        <v>2.4979312566804799</v>
      </c>
      <c r="G1210" s="14">
        <v>480.59687088586099</v>
      </c>
      <c r="H1210" s="17">
        <v>0.15437843701812001</v>
      </c>
      <c r="I1210" t="s">
        <v>1611</v>
      </c>
      <c r="J1210" s="14">
        <v>1018.2022489547001</v>
      </c>
      <c r="K1210" s="14">
        <f t="shared" si="144"/>
        <v>261949.72862780324</v>
      </c>
      <c r="L1210" s="14">
        <f t="shared" si="145"/>
        <v>269</v>
      </c>
      <c r="M1210" s="14" t="str">
        <f t="shared" si="146"/>
        <v>21-04-2025</v>
      </c>
      <c r="N1210" s="14">
        <f t="shared" si="147"/>
        <v>0.15704945490101518</v>
      </c>
      <c r="O1210" s="20">
        <f t="shared" si="148"/>
        <v>2.5078414906794433</v>
      </c>
      <c r="P1210" s="14">
        <f t="shared" si="149"/>
        <v>460.15052614419784</v>
      </c>
      <c r="Q1210" s="14">
        <f t="shared" si="150"/>
        <v>375.36285738356491</v>
      </c>
      <c r="R1210" s="14" t="str">
        <f t="shared" si="151"/>
        <v>Apr</v>
      </c>
    </row>
    <row r="1211" spans="1:18" x14ac:dyDescent="0.3">
      <c r="A1211" t="s">
        <v>2819</v>
      </c>
      <c r="B1211" s="1">
        <v>45606</v>
      </c>
      <c r="C1211" t="s">
        <v>100</v>
      </c>
      <c r="D1211" t="s">
        <v>1469</v>
      </c>
      <c r="E1211" t="s">
        <v>1551</v>
      </c>
      <c r="F1211">
        <v>2.4979563458804699</v>
      </c>
      <c r="G1211" s="14">
        <v>480.54510798778102</v>
      </c>
      <c r="H1211" s="17">
        <v>0.15438519908870901</v>
      </c>
      <c r="I1211" t="s">
        <v>1609</v>
      </c>
      <c r="J1211" s="14">
        <v>1018.09425249525</v>
      </c>
      <c r="K1211" s="14">
        <f t="shared" si="144"/>
        <v>261949.72862780324</v>
      </c>
      <c r="L1211" s="14">
        <f t="shared" si="145"/>
        <v>269</v>
      </c>
      <c r="M1211" s="14" t="str">
        <f t="shared" si="146"/>
        <v>10-11-2024</v>
      </c>
      <c r="N1211" s="14">
        <f t="shared" si="147"/>
        <v>0.15705283593631003</v>
      </c>
      <c r="O1211" s="20">
        <f t="shared" si="148"/>
        <v>2.5078540352794421</v>
      </c>
      <c r="P1211" s="14">
        <f t="shared" si="149"/>
        <v>460.12464469515777</v>
      </c>
      <c r="Q1211" s="14">
        <f t="shared" si="150"/>
        <v>375.32292550700004</v>
      </c>
      <c r="R1211" s="14" t="str">
        <f t="shared" si="151"/>
        <v>Nov</v>
      </c>
    </row>
    <row r="1212" spans="1:18" x14ac:dyDescent="0.3">
      <c r="A1212" t="s">
        <v>2820</v>
      </c>
      <c r="B1212" s="1">
        <v>45513</v>
      </c>
      <c r="C1212" t="s">
        <v>449</v>
      </c>
      <c r="D1212" t="s">
        <v>1483</v>
      </c>
      <c r="E1212" t="s">
        <v>1571</v>
      </c>
      <c r="F1212">
        <v>2.4979814350804701</v>
      </c>
      <c r="G1212" s="14">
        <v>480.49334508969997</v>
      </c>
      <c r="H1212" s="17">
        <v>0.15439196115929901</v>
      </c>
      <c r="I1212" t="s">
        <v>1609</v>
      </c>
      <c r="J1212" s="14">
        <v>1017.98625603579</v>
      </c>
      <c r="K1212" s="14">
        <f t="shared" si="144"/>
        <v>260931.63437530797</v>
      </c>
      <c r="L1212" s="14">
        <f t="shared" si="145"/>
        <v>268</v>
      </c>
      <c r="M1212" s="14" t="str">
        <f t="shared" si="146"/>
        <v>09-08-2024</v>
      </c>
      <c r="N1212" s="14">
        <f t="shared" si="147"/>
        <v>0.15705621697160482</v>
      </c>
      <c r="O1212" s="20">
        <f t="shared" si="148"/>
        <v>2.5078665798794408</v>
      </c>
      <c r="P1212" s="14">
        <f t="shared" si="149"/>
        <v>460.0987632461177</v>
      </c>
      <c r="Q1212" s="14">
        <f t="shared" si="150"/>
        <v>375.28299363043243</v>
      </c>
      <c r="R1212" s="14" t="str">
        <f t="shared" si="151"/>
        <v>Aug</v>
      </c>
    </row>
    <row r="1213" spans="1:18" x14ac:dyDescent="0.3">
      <c r="A1213" t="s">
        <v>2821</v>
      </c>
      <c r="B1213" s="1">
        <v>45356</v>
      </c>
      <c r="C1213" t="s">
        <v>1306</v>
      </c>
      <c r="D1213" t="s">
        <v>1415</v>
      </c>
      <c r="E1213" t="s">
        <v>1592</v>
      </c>
      <c r="F1213">
        <v>2.4980065242804699</v>
      </c>
      <c r="G1213" s="14">
        <v>480.44158219162</v>
      </c>
      <c r="H1213" s="17">
        <v>0.15439872322988801</v>
      </c>
      <c r="I1213" t="s">
        <v>1611</v>
      </c>
      <c r="J1213" s="14">
        <v>1017.87825957634</v>
      </c>
      <c r="K1213" s="14">
        <f t="shared" si="144"/>
        <v>259913.64811927223</v>
      </c>
      <c r="L1213" s="14">
        <f t="shared" si="145"/>
        <v>267</v>
      </c>
      <c r="M1213" s="14" t="str">
        <f t="shared" si="146"/>
        <v>05-03-2024</v>
      </c>
      <c r="N1213" s="14">
        <f t="shared" si="147"/>
        <v>0.15705959800689961</v>
      </c>
      <c r="O1213" s="20">
        <f t="shared" si="148"/>
        <v>2.5078791244794396</v>
      </c>
      <c r="P1213" s="14">
        <f t="shared" si="149"/>
        <v>460.07288179707757</v>
      </c>
      <c r="Q1213" s="14">
        <f t="shared" si="150"/>
        <v>375.24306175386761</v>
      </c>
      <c r="R1213" s="14" t="str">
        <f t="shared" si="151"/>
        <v>Mar</v>
      </c>
    </row>
    <row r="1214" spans="1:18" x14ac:dyDescent="0.3">
      <c r="A1214" t="s">
        <v>2822</v>
      </c>
      <c r="B1214" s="1">
        <v>45925</v>
      </c>
      <c r="C1214" t="s">
        <v>1270</v>
      </c>
      <c r="D1214" t="s">
        <v>1529</v>
      </c>
      <c r="E1214" t="s">
        <v>1598</v>
      </c>
      <c r="F1214">
        <v>2.4980316134804701</v>
      </c>
      <c r="G1214" s="14">
        <v>480.38981929353997</v>
      </c>
      <c r="H1214" s="17">
        <v>0.15440548530047801</v>
      </c>
      <c r="I1214" t="s">
        <v>1611</v>
      </c>
      <c r="J1214" s="14">
        <v>1017.77026311689</v>
      </c>
      <c r="K1214" s="14">
        <f t="shared" si="144"/>
        <v>259913.64811927223</v>
      </c>
      <c r="L1214" s="14">
        <f t="shared" si="145"/>
        <v>267</v>
      </c>
      <c r="M1214" s="14" t="str">
        <f t="shared" si="146"/>
        <v>25-09-2025</v>
      </c>
      <c r="N1214" s="14">
        <f t="shared" si="147"/>
        <v>0.15706297904219443</v>
      </c>
      <c r="O1214" s="20">
        <f t="shared" si="148"/>
        <v>2.5078916690794379</v>
      </c>
      <c r="P1214" s="14">
        <f t="shared" si="149"/>
        <v>460.04700034803756</v>
      </c>
      <c r="Q1214" s="14">
        <f t="shared" si="150"/>
        <v>375.20312987730273</v>
      </c>
      <c r="R1214" s="14" t="str">
        <f t="shared" si="151"/>
        <v>Sep</v>
      </c>
    </row>
    <row r="1215" spans="1:18" x14ac:dyDescent="0.3">
      <c r="A1215" t="s">
        <v>2823</v>
      </c>
      <c r="B1215" s="1">
        <v>45876</v>
      </c>
      <c r="C1215" t="s">
        <v>770</v>
      </c>
      <c r="D1215" t="s">
        <v>1517</v>
      </c>
      <c r="E1215" t="s">
        <v>1595</v>
      </c>
      <c r="F1215">
        <v>2.4980567026804601</v>
      </c>
      <c r="G1215" s="14">
        <v>480.33805639546</v>
      </c>
      <c r="H1215" s="17">
        <v>0.15441224737106801</v>
      </c>
      <c r="I1215" t="s">
        <v>1609</v>
      </c>
      <c r="J1215" s="14">
        <v>1017.66226665744</v>
      </c>
      <c r="K1215" s="14">
        <f t="shared" si="144"/>
        <v>259913.64811927223</v>
      </c>
      <c r="L1215" s="14">
        <f t="shared" si="145"/>
        <v>267</v>
      </c>
      <c r="M1215" s="14" t="str">
        <f t="shared" si="146"/>
        <v>07-08-2025</v>
      </c>
      <c r="N1215" s="14">
        <f t="shared" si="147"/>
        <v>0.15706636007748923</v>
      </c>
      <c r="O1215" s="20">
        <f t="shared" si="148"/>
        <v>2.5079042136794372</v>
      </c>
      <c r="P1215" s="14">
        <f t="shared" si="149"/>
        <v>460.02111889899749</v>
      </c>
      <c r="Q1215" s="14">
        <f t="shared" si="150"/>
        <v>375.16319800073791</v>
      </c>
      <c r="R1215" s="14" t="str">
        <f t="shared" si="151"/>
        <v>Aug</v>
      </c>
    </row>
    <row r="1216" spans="1:18" x14ac:dyDescent="0.3">
      <c r="A1216" t="s">
        <v>2824</v>
      </c>
      <c r="B1216" s="1">
        <v>45338</v>
      </c>
      <c r="C1216" t="s">
        <v>298</v>
      </c>
      <c r="D1216" t="s">
        <v>1517</v>
      </c>
      <c r="E1216" t="s">
        <v>1561</v>
      </c>
      <c r="F1216">
        <v>2.4980817918804599</v>
      </c>
      <c r="G1216" s="14">
        <v>480.28629349737997</v>
      </c>
      <c r="H1216" s="17">
        <v>0.15441900944165701</v>
      </c>
      <c r="I1216" t="s">
        <v>1611</v>
      </c>
      <c r="J1216" s="14">
        <v>1017.55427019799</v>
      </c>
      <c r="K1216" s="14">
        <f t="shared" si="144"/>
        <v>258895.98585261471</v>
      </c>
      <c r="L1216" s="14">
        <f t="shared" si="145"/>
        <v>266</v>
      </c>
      <c r="M1216" s="14" t="str">
        <f t="shared" si="146"/>
        <v>16-02-2024</v>
      </c>
      <c r="N1216" s="14">
        <f t="shared" si="147"/>
        <v>0.15706974111278404</v>
      </c>
      <c r="O1216" s="20">
        <f t="shared" si="148"/>
        <v>2.5079167582794359</v>
      </c>
      <c r="P1216" s="14">
        <f t="shared" si="149"/>
        <v>459.99523744995736</v>
      </c>
      <c r="Q1216" s="14">
        <f t="shared" si="150"/>
        <v>375.12326612417303</v>
      </c>
      <c r="R1216" s="14" t="str">
        <f t="shared" si="151"/>
        <v>Feb</v>
      </c>
    </row>
    <row r="1217" spans="1:18" x14ac:dyDescent="0.3">
      <c r="A1217" t="s">
        <v>2825</v>
      </c>
      <c r="B1217" s="1">
        <v>45746</v>
      </c>
      <c r="C1217" t="s">
        <v>172</v>
      </c>
      <c r="D1217" t="s">
        <v>1331</v>
      </c>
      <c r="E1217" t="s">
        <v>1571</v>
      </c>
      <c r="F1217">
        <v>2.4981068810804601</v>
      </c>
      <c r="G1217" s="14">
        <v>480.2345305993</v>
      </c>
      <c r="H1217" s="17">
        <v>0.15442577151224701</v>
      </c>
      <c r="I1217" t="s">
        <v>1609</v>
      </c>
      <c r="J1217" s="14">
        <v>1017.44627373854</v>
      </c>
      <c r="K1217" s="14">
        <f t="shared" si="144"/>
        <v>258895.98585261471</v>
      </c>
      <c r="L1217" s="14">
        <f t="shared" si="145"/>
        <v>266</v>
      </c>
      <c r="M1217" s="14" t="str">
        <f t="shared" si="146"/>
        <v>30-03-2025</v>
      </c>
      <c r="N1217" s="14">
        <f t="shared" si="147"/>
        <v>0.15707312214807886</v>
      </c>
      <c r="O1217" s="20">
        <f t="shared" si="148"/>
        <v>2.5079293028794343</v>
      </c>
      <c r="P1217" s="14">
        <f t="shared" si="149"/>
        <v>459.96935600091729</v>
      </c>
      <c r="Q1217" s="14">
        <f t="shared" si="150"/>
        <v>375.08333424760815</v>
      </c>
      <c r="R1217" s="14" t="str">
        <f t="shared" si="151"/>
        <v>Mar</v>
      </c>
    </row>
    <row r="1218" spans="1:18" x14ac:dyDescent="0.3">
      <c r="A1218" t="s">
        <v>2826</v>
      </c>
      <c r="B1218" s="1">
        <v>45706</v>
      </c>
      <c r="C1218" t="s">
        <v>1292</v>
      </c>
      <c r="D1218" t="s">
        <v>1367</v>
      </c>
      <c r="E1218" t="s">
        <v>1574</v>
      </c>
      <c r="F1218">
        <v>2.4981319702804501</v>
      </c>
      <c r="G1218" s="14">
        <v>480.18276770121901</v>
      </c>
      <c r="H1218" s="17">
        <v>0.15443253358283601</v>
      </c>
      <c r="I1218" t="s">
        <v>1609</v>
      </c>
      <c r="J1218" s="14">
        <v>1017.33827727908</v>
      </c>
      <c r="K1218" s="14">
        <f t="shared" ref="K1218:K1281" si="152">SUMIF(I1218:I3217,"Credit Card",J1218:J3217)</f>
        <v>257878.53957887625</v>
      </c>
      <c r="L1218" s="14">
        <f t="shared" ref="L1218:L1281" si="153">COUNTIF(I1218:I3217,"Credit Card")</f>
        <v>265</v>
      </c>
      <c r="M1218" s="14" t="str">
        <f t="shared" ref="M1218:M1281" si="154">TEXT(B1218:B3217,"dd-mm-yyyy")</f>
        <v>18-02-2025</v>
      </c>
      <c r="N1218" s="14">
        <f t="shared" ref="N1218:N1281" si="155">AVERAGE(H1218:H3217)</f>
        <v>0.15707650318337366</v>
      </c>
      <c r="O1218" s="20">
        <f t="shared" ref="O1218:O1281" si="156">AVERAGE(F1218:F3217)</f>
        <v>2.5079418474794331</v>
      </c>
      <c r="P1218" s="14">
        <f t="shared" ref="P1218:P1281" si="157">AVERAGE(G1218:G3217)</f>
        <v>459.94347455187722</v>
      </c>
      <c r="Q1218" s="14">
        <f t="shared" ref="Q1218:Q1281" si="158">AVERAGE(F1218,G1218,H1218,J1218)</f>
        <v>375.04340237104054</v>
      </c>
      <c r="R1218" s="14" t="str">
        <f t="shared" ref="R1218:R1281" si="159">TEXT(M1218,"mmm")</f>
        <v>Feb</v>
      </c>
    </row>
    <row r="1219" spans="1:18" x14ac:dyDescent="0.3">
      <c r="A1219" t="s">
        <v>2827</v>
      </c>
      <c r="B1219" s="1">
        <v>45717</v>
      </c>
      <c r="C1219" t="s">
        <v>63</v>
      </c>
      <c r="D1219" t="s">
        <v>1381</v>
      </c>
      <c r="E1219" t="s">
        <v>1542</v>
      </c>
      <c r="F1219">
        <v>2.4981570594804499</v>
      </c>
      <c r="G1219" s="14">
        <v>480.13100480313898</v>
      </c>
      <c r="H1219" s="17">
        <v>0.15443929565342601</v>
      </c>
      <c r="I1219" t="s">
        <v>1614</v>
      </c>
      <c r="J1219" s="14">
        <v>1017.23028081963</v>
      </c>
      <c r="K1219" s="14">
        <f t="shared" si="152"/>
        <v>256861.20130159715</v>
      </c>
      <c r="L1219" s="14">
        <f t="shared" si="153"/>
        <v>264</v>
      </c>
      <c r="M1219" s="14" t="str">
        <f t="shared" si="154"/>
        <v>01-03-2025</v>
      </c>
      <c r="N1219" s="14">
        <f t="shared" si="155"/>
        <v>0.15707988421866845</v>
      </c>
      <c r="O1219" s="20">
        <f t="shared" si="156"/>
        <v>2.5079543920794318</v>
      </c>
      <c r="P1219" s="14">
        <f t="shared" si="157"/>
        <v>459.91759310283715</v>
      </c>
      <c r="Q1219" s="14">
        <f t="shared" si="158"/>
        <v>375.00347049447572</v>
      </c>
      <c r="R1219" s="14" t="str">
        <f t="shared" si="159"/>
        <v>Mar</v>
      </c>
    </row>
    <row r="1220" spans="1:18" x14ac:dyDescent="0.3">
      <c r="A1220" t="s">
        <v>2828</v>
      </c>
      <c r="B1220" s="1">
        <v>45300</v>
      </c>
      <c r="C1220" t="s">
        <v>464</v>
      </c>
      <c r="D1220" t="s">
        <v>1403</v>
      </c>
      <c r="E1220" t="s">
        <v>1592</v>
      </c>
      <c r="F1220">
        <v>2.4981821486804501</v>
      </c>
      <c r="G1220" s="14">
        <v>480.07924190505901</v>
      </c>
      <c r="H1220" s="17">
        <v>0.15444605772401601</v>
      </c>
      <c r="I1220" t="s">
        <v>1609</v>
      </c>
      <c r="J1220" s="14">
        <v>1017.1222843601799</v>
      </c>
      <c r="K1220" s="14">
        <f t="shared" si="152"/>
        <v>256861.20130159715</v>
      </c>
      <c r="L1220" s="14">
        <f t="shared" si="153"/>
        <v>264</v>
      </c>
      <c r="M1220" s="14" t="str">
        <f t="shared" si="154"/>
        <v>09-01-2024</v>
      </c>
      <c r="N1220" s="14">
        <f t="shared" si="155"/>
        <v>0.15708326525396327</v>
      </c>
      <c r="O1220" s="20">
        <f t="shared" si="156"/>
        <v>2.5079669366794306</v>
      </c>
      <c r="P1220" s="14">
        <f t="shared" si="157"/>
        <v>459.89171165379707</v>
      </c>
      <c r="Q1220" s="14">
        <f t="shared" si="158"/>
        <v>374.96353861791084</v>
      </c>
      <c r="R1220" s="14" t="str">
        <f t="shared" si="159"/>
        <v>Jan</v>
      </c>
    </row>
    <row r="1221" spans="1:18" x14ac:dyDescent="0.3">
      <c r="A1221" t="s">
        <v>2829</v>
      </c>
      <c r="B1221" s="1">
        <v>45773</v>
      </c>
      <c r="C1221" t="s">
        <v>794</v>
      </c>
      <c r="D1221" t="s">
        <v>1403</v>
      </c>
      <c r="E1221" t="s">
        <v>1546</v>
      </c>
      <c r="F1221">
        <v>2.4982072378804498</v>
      </c>
      <c r="G1221" s="14">
        <v>480.02747900697898</v>
      </c>
      <c r="H1221">
        <v>0.15445281979460501</v>
      </c>
      <c r="I1221" t="s">
        <v>1611</v>
      </c>
      <c r="J1221" s="14">
        <v>1017.01428790073</v>
      </c>
      <c r="K1221" s="14">
        <f t="shared" si="152"/>
        <v>255844.07901723697</v>
      </c>
      <c r="L1221" s="14">
        <f t="shared" si="153"/>
        <v>263</v>
      </c>
      <c r="M1221" s="14" t="str">
        <f t="shared" si="154"/>
        <v>26-04-2025</v>
      </c>
      <c r="N1221" s="14">
        <f t="shared" si="155"/>
        <v>0.15708664628925806</v>
      </c>
      <c r="O1221" s="20">
        <f t="shared" si="156"/>
        <v>2.5079794812794289</v>
      </c>
      <c r="P1221" s="14">
        <f t="shared" si="157"/>
        <v>459.865830204757</v>
      </c>
      <c r="Q1221" s="14">
        <f t="shared" si="158"/>
        <v>374.92360674134602</v>
      </c>
      <c r="R1221" s="14" t="str">
        <f t="shared" si="159"/>
        <v>Apr</v>
      </c>
    </row>
    <row r="1222" spans="1:18" x14ac:dyDescent="0.3">
      <c r="A1222" t="s">
        <v>2830</v>
      </c>
      <c r="B1222" s="1">
        <v>45497</v>
      </c>
      <c r="C1222" t="s">
        <v>366</v>
      </c>
      <c r="D1222" t="s">
        <v>1511</v>
      </c>
      <c r="E1222" t="s">
        <v>1598</v>
      </c>
      <c r="F1222">
        <v>2.4982323270804399</v>
      </c>
      <c r="G1222" s="14">
        <v>479.97571610889901</v>
      </c>
      <c r="H1222" s="17">
        <v>0.15445958186519501</v>
      </c>
      <c r="I1222" t="s">
        <v>1611</v>
      </c>
      <c r="J1222" s="14">
        <v>1016.90629144128</v>
      </c>
      <c r="K1222" s="14">
        <f t="shared" si="152"/>
        <v>255844.07901723697</v>
      </c>
      <c r="L1222" s="14">
        <f t="shared" si="153"/>
        <v>263</v>
      </c>
      <c r="M1222" s="14" t="str">
        <f t="shared" si="154"/>
        <v>24-07-2024</v>
      </c>
      <c r="N1222" s="14">
        <f t="shared" si="155"/>
        <v>0.15709002732455285</v>
      </c>
      <c r="O1222" s="20">
        <f t="shared" si="156"/>
        <v>2.5079920258794282</v>
      </c>
      <c r="P1222" s="14">
        <f t="shared" si="157"/>
        <v>459.83994875571693</v>
      </c>
      <c r="Q1222" s="14">
        <f t="shared" si="158"/>
        <v>374.88367486478114</v>
      </c>
      <c r="R1222" s="14" t="str">
        <f t="shared" si="159"/>
        <v>Jul</v>
      </c>
    </row>
    <row r="1223" spans="1:18" x14ac:dyDescent="0.3">
      <c r="A1223" t="s">
        <v>2831</v>
      </c>
      <c r="B1223" s="1">
        <v>45742</v>
      </c>
      <c r="C1223" t="s">
        <v>1047</v>
      </c>
      <c r="D1223" t="s">
        <v>1328</v>
      </c>
      <c r="E1223" t="s">
        <v>1567</v>
      </c>
      <c r="F1223">
        <v>2.4982574162804401</v>
      </c>
      <c r="G1223" s="14">
        <v>479.92395321081898</v>
      </c>
      <c r="H1223" s="17">
        <v>0.15446634393578401</v>
      </c>
      <c r="I1223" t="s">
        <v>1609</v>
      </c>
      <c r="J1223" s="14">
        <v>1016.7982949818301</v>
      </c>
      <c r="K1223" s="14">
        <f t="shared" si="152"/>
        <v>255844.07901723697</v>
      </c>
      <c r="L1223" s="14">
        <f t="shared" si="153"/>
        <v>263</v>
      </c>
      <c r="M1223" s="14" t="str">
        <f t="shared" si="154"/>
        <v>26-03-2025</v>
      </c>
      <c r="N1223" s="14">
        <f t="shared" si="155"/>
        <v>0.15709340835984767</v>
      </c>
      <c r="O1223" s="20">
        <f t="shared" si="156"/>
        <v>2.5080045704794269</v>
      </c>
      <c r="P1223" s="14">
        <f t="shared" si="157"/>
        <v>459.81406730667686</v>
      </c>
      <c r="Q1223" s="14">
        <f t="shared" si="158"/>
        <v>374.84374298821632</v>
      </c>
      <c r="R1223" s="14" t="str">
        <f t="shared" si="159"/>
        <v>Mar</v>
      </c>
    </row>
    <row r="1224" spans="1:18" x14ac:dyDescent="0.3">
      <c r="A1224" t="s">
        <v>2832</v>
      </c>
      <c r="B1224" s="1">
        <v>45713</v>
      </c>
      <c r="C1224" t="s">
        <v>681</v>
      </c>
      <c r="D1224" t="s">
        <v>1417</v>
      </c>
      <c r="E1224" t="s">
        <v>1564</v>
      </c>
      <c r="F1224">
        <v>2.4982825054804398</v>
      </c>
      <c r="G1224" s="14">
        <v>479.87219031273901</v>
      </c>
      <c r="H1224" s="17">
        <v>0.15447310600637401</v>
      </c>
      <c r="I1224" t="s">
        <v>1614</v>
      </c>
      <c r="J1224" s="14">
        <v>1016.69029852237</v>
      </c>
      <c r="K1224" s="14">
        <f t="shared" si="152"/>
        <v>254827.28072225515</v>
      </c>
      <c r="L1224" s="14">
        <f t="shared" si="153"/>
        <v>262</v>
      </c>
      <c r="M1224" s="14" t="str">
        <f t="shared" si="154"/>
        <v>25-02-2025</v>
      </c>
      <c r="N1224" s="14">
        <f t="shared" si="155"/>
        <v>0.15709678939514249</v>
      </c>
      <c r="O1224" s="20">
        <f t="shared" si="156"/>
        <v>2.5080171150794257</v>
      </c>
      <c r="P1224" s="14">
        <f t="shared" si="157"/>
        <v>459.78818585763673</v>
      </c>
      <c r="Q1224" s="14">
        <f t="shared" si="158"/>
        <v>374.80381111164894</v>
      </c>
      <c r="R1224" s="14" t="str">
        <f t="shared" si="159"/>
        <v>Feb</v>
      </c>
    </row>
    <row r="1225" spans="1:18" x14ac:dyDescent="0.3">
      <c r="A1225" t="s">
        <v>2833</v>
      </c>
      <c r="B1225" s="1">
        <v>45826</v>
      </c>
      <c r="C1225" t="s">
        <v>896</v>
      </c>
      <c r="D1225" t="s">
        <v>1515</v>
      </c>
      <c r="E1225" t="s">
        <v>1571</v>
      </c>
      <c r="F1225">
        <v>2.4983075946804401</v>
      </c>
      <c r="G1225" s="14">
        <v>479.82042741465801</v>
      </c>
      <c r="H1225" s="17">
        <v>0.15447986807696401</v>
      </c>
      <c r="I1225" t="s">
        <v>1614</v>
      </c>
      <c r="J1225" s="14">
        <v>1016.58230206292</v>
      </c>
      <c r="K1225" s="14">
        <f t="shared" si="152"/>
        <v>254827.28072225515</v>
      </c>
      <c r="L1225" s="14">
        <f t="shared" si="153"/>
        <v>262</v>
      </c>
      <c r="M1225" s="14" t="str">
        <f t="shared" si="154"/>
        <v>18-06-2025</v>
      </c>
      <c r="N1225" s="14">
        <f t="shared" si="155"/>
        <v>0.15710017043043728</v>
      </c>
      <c r="O1225" s="20">
        <f t="shared" si="156"/>
        <v>2.508029659679424</v>
      </c>
      <c r="P1225" s="14">
        <f t="shared" si="157"/>
        <v>459.76230440859666</v>
      </c>
      <c r="Q1225" s="14">
        <f t="shared" si="158"/>
        <v>374.76387923508389</v>
      </c>
      <c r="R1225" s="14" t="str">
        <f t="shared" si="159"/>
        <v>Jun</v>
      </c>
    </row>
    <row r="1226" spans="1:18" x14ac:dyDescent="0.3">
      <c r="A1226" t="s">
        <v>2834</v>
      </c>
      <c r="B1226" s="1">
        <v>45648</v>
      </c>
      <c r="C1226" t="s">
        <v>1299</v>
      </c>
      <c r="D1226" t="s">
        <v>1365</v>
      </c>
      <c r="E1226" t="s">
        <v>1577</v>
      </c>
      <c r="F1226">
        <v>2.4983326838804301</v>
      </c>
      <c r="G1226" s="14">
        <v>479.76866451657799</v>
      </c>
      <c r="H1226" s="17">
        <v>0.15448663014755301</v>
      </c>
      <c r="I1226" t="s">
        <v>1614</v>
      </c>
      <c r="J1226" s="14">
        <v>1016.47430560347</v>
      </c>
      <c r="K1226" s="14">
        <f t="shared" si="152"/>
        <v>254827.28072225515</v>
      </c>
      <c r="L1226" s="14">
        <f t="shared" si="153"/>
        <v>262</v>
      </c>
      <c r="M1226" s="14" t="str">
        <f t="shared" si="154"/>
        <v>22-12-2024</v>
      </c>
      <c r="N1226" s="14">
        <f t="shared" si="155"/>
        <v>0.1571035514657321</v>
      </c>
      <c r="O1226" s="20">
        <f t="shared" si="156"/>
        <v>2.5080422042794228</v>
      </c>
      <c r="P1226" s="14">
        <f t="shared" si="157"/>
        <v>459.73642295955659</v>
      </c>
      <c r="Q1226" s="14">
        <f t="shared" si="158"/>
        <v>374.72394735851901</v>
      </c>
      <c r="R1226" s="14" t="str">
        <f t="shared" si="159"/>
        <v>Dec</v>
      </c>
    </row>
    <row r="1227" spans="1:18" x14ac:dyDescent="0.3">
      <c r="A1227" t="s">
        <v>2835</v>
      </c>
      <c r="B1227" s="1">
        <v>45836</v>
      </c>
      <c r="C1227" t="s">
        <v>478</v>
      </c>
      <c r="D1227" t="s">
        <v>1375</v>
      </c>
      <c r="E1227" t="s">
        <v>1561</v>
      </c>
      <c r="F1227">
        <v>2.4983577730804298</v>
      </c>
      <c r="G1227" s="14">
        <v>479.71690161849801</v>
      </c>
      <c r="H1227" s="17">
        <v>0.15449339221814301</v>
      </c>
      <c r="I1227" t="s">
        <v>1609</v>
      </c>
      <c r="J1227" s="14">
        <v>1016.36630914402</v>
      </c>
      <c r="K1227" s="14">
        <f t="shared" si="152"/>
        <v>254827.28072225515</v>
      </c>
      <c r="L1227" s="14">
        <f t="shared" si="153"/>
        <v>262</v>
      </c>
      <c r="M1227" s="14" t="str">
        <f t="shared" si="154"/>
        <v>28-06-2025</v>
      </c>
      <c r="N1227" s="14">
        <f t="shared" si="155"/>
        <v>0.15710693250102689</v>
      </c>
      <c r="O1227" s="20">
        <f t="shared" si="156"/>
        <v>2.5080547488794211</v>
      </c>
      <c r="P1227" s="14">
        <f t="shared" si="157"/>
        <v>459.71054151051652</v>
      </c>
      <c r="Q1227" s="14">
        <f t="shared" si="158"/>
        <v>374.68401548195413</v>
      </c>
      <c r="R1227" s="14" t="str">
        <f t="shared" si="159"/>
        <v>Jun</v>
      </c>
    </row>
    <row r="1228" spans="1:18" x14ac:dyDescent="0.3">
      <c r="A1228" t="s">
        <v>2836</v>
      </c>
      <c r="B1228" s="1">
        <v>45437</v>
      </c>
      <c r="C1228" t="s">
        <v>1254</v>
      </c>
      <c r="D1228" t="s">
        <v>1461</v>
      </c>
      <c r="E1228" t="s">
        <v>1554</v>
      </c>
      <c r="F1228">
        <v>2.4983828622804301</v>
      </c>
      <c r="G1228" s="14">
        <v>479.66513872041799</v>
      </c>
      <c r="H1228" s="17">
        <v>0.15450015428873201</v>
      </c>
      <c r="I1228" t="s">
        <v>1609</v>
      </c>
      <c r="J1228" s="14">
        <v>1016.25831268457</v>
      </c>
      <c r="K1228" s="14">
        <f t="shared" si="152"/>
        <v>253810.91441311108</v>
      </c>
      <c r="L1228" s="14">
        <f t="shared" si="153"/>
        <v>261</v>
      </c>
      <c r="M1228" s="14" t="str">
        <f t="shared" si="154"/>
        <v>25-05-2024</v>
      </c>
      <c r="N1228" s="14">
        <f t="shared" si="155"/>
        <v>0.15711031353632168</v>
      </c>
      <c r="O1228" s="20">
        <f t="shared" si="156"/>
        <v>2.5080672934794204</v>
      </c>
      <c r="P1228" s="14">
        <f t="shared" si="157"/>
        <v>459.68466006147639</v>
      </c>
      <c r="Q1228" s="14">
        <f t="shared" si="158"/>
        <v>374.64408360538926</v>
      </c>
      <c r="R1228" s="14" t="str">
        <f t="shared" si="159"/>
        <v>May</v>
      </c>
    </row>
    <row r="1229" spans="1:18" x14ac:dyDescent="0.3">
      <c r="A1229" t="s">
        <v>2837</v>
      </c>
      <c r="B1229" s="1">
        <v>45807</v>
      </c>
      <c r="C1229" t="s">
        <v>411</v>
      </c>
      <c r="D1229" t="s">
        <v>1499</v>
      </c>
      <c r="E1229" t="s">
        <v>1564</v>
      </c>
      <c r="F1229">
        <v>2.4984079514804298</v>
      </c>
      <c r="G1229" s="14">
        <v>479.61337582233801</v>
      </c>
      <c r="H1229" s="17">
        <v>0.15450691635932201</v>
      </c>
      <c r="I1229" t="s">
        <v>1609</v>
      </c>
      <c r="J1229" s="14">
        <v>1016.15031622511</v>
      </c>
      <c r="K1229" s="14">
        <f t="shared" si="152"/>
        <v>252794.65610042654</v>
      </c>
      <c r="L1229" s="14">
        <f t="shared" si="153"/>
        <v>260</v>
      </c>
      <c r="M1229" s="14" t="str">
        <f t="shared" si="154"/>
        <v>30-05-2025</v>
      </c>
      <c r="N1229" s="14">
        <f t="shared" si="155"/>
        <v>0.15711369457161653</v>
      </c>
      <c r="O1229" s="20">
        <f t="shared" si="156"/>
        <v>2.5080798380794187</v>
      </c>
      <c r="P1229" s="14">
        <f t="shared" si="157"/>
        <v>459.65877861243632</v>
      </c>
      <c r="Q1229" s="14">
        <f t="shared" si="158"/>
        <v>374.60415172882193</v>
      </c>
      <c r="R1229" s="14" t="str">
        <f t="shared" si="159"/>
        <v>May</v>
      </c>
    </row>
    <row r="1230" spans="1:18" x14ac:dyDescent="0.3">
      <c r="A1230" t="s">
        <v>2838</v>
      </c>
      <c r="B1230" s="1">
        <v>45555</v>
      </c>
      <c r="C1230" t="s">
        <v>1227</v>
      </c>
      <c r="D1230" t="s">
        <v>1513</v>
      </c>
      <c r="E1230" t="s">
        <v>1595</v>
      </c>
      <c r="F1230">
        <v>2.4984330406804198</v>
      </c>
      <c r="G1230" s="14">
        <v>479.56161292425799</v>
      </c>
      <c r="H1230" s="17">
        <v>0.15451367842991201</v>
      </c>
      <c r="I1230" t="s">
        <v>1609</v>
      </c>
      <c r="J1230" s="14">
        <v>1016.04231976566</v>
      </c>
      <c r="K1230" s="14">
        <f t="shared" si="152"/>
        <v>251778.50578420146</v>
      </c>
      <c r="L1230" s="14">
        <f t="shared" si="153"/>
        <v>259</v>
      </c>
      <c r="M1230" s="14" t="str">
        <f t="shared" si="154"/>
        <v>20-09-2024</v>
      </c>
      <c r="N1230" s="14">
        <f t="shared" si="155"/>
        <v>0.15711707560691135</v>
      </c>
      <c r="O1230" s="20">
        <f t="shared" si="156"/>
        <v>2.5080923826794175</v>
      </c>
      <c r="P1230" s="14">
        <f t="shared" si="157"/>
        <v>459.63289716339619</v>
      </c>
      <c r="Q1230" s="14">
        <f t="shared" si="158"/>
        <v>374.56421985225705</v>
      </c>
      <c r="R1230" s="14" t="str">
        <f t="shared" si="159"/>
        <v>Sep</v>
      </c>
    </row>
    <row r="1231" spans="1:18" x14ac:dyDescent="0.3">
      <c r="A1231" t="s">
        <v>2839</v>
      </c>
      <c r="B1231" s="1">
        <v>45803</v>
      </c>
      <c r="C1231" t="s">
        <v>711</v>
      </c>
      <c r="D1231" t="s">
        <v>1407</v>
      </c>
      <c r="E1231" t="s">
        <v>1537</v>
      </c>
      <c r="F1231">
        <v>2.49845812988042</v>
      </c>
      <c r="G1231" s="14">
        <v>479.50985002617699</v>
      </c>
      <c r="H1231" s="17">
        <v>0.15452044050050101</v>
      </c>
      <c r="I1231" t="s">
        <v>1611</v>
      </c>
      <c r="J1231" s="14">
        <v>1015.93432330621</v>
      </c>
      <c r="K1231" s="14">
        <f t="shared" si="152"/>
        <v>250762.4634644358</v>
      </c>
      <c r="L1231" s="14">
        <f t="shared" si="153"/>
        <v>258</v>
      </c>
      <c r="M1231" s="14" t="str">
        <f t="shared" si="154"/>
        <v>26-05-2025</v>
      </c>
      <c r="N1231" s="14">
        <f t="shared" si="155"/>
        <v>0.15712045664220614</v>
      </c>
      <c r="O1231" s="20">
        <f t="shared" si="156"/>
        <v>2.5081049272794158</v>
      </c>
      <c r="P1231" s="14">
        <f t="shared" si="157"/>
        <v>459.60701571435618</v>
      </c>
      <c r="Q1231" s="14">
        <f t="shared" si="158"/>
        <v>374.524287975692</v>
      </c>
      <c r="R1231" s="14" t="str">
        <f t="shared" si="159"/>
        <v>May</v>
      </c>
    </row>
    <row r="1232" spans="1:18" x14ac:dyDescent="0.3">
      <c r="A1232" t="s">
        <v>2840</v>
      </c>
      <c r="B1232" s="1">
        <v>45735</v>
      </c>
      <c r="C1232" t="s">
        <v>360</v>
      </c>
      <c r="D1232" t="s">
        <v>1511</v>
      </c>
      <c r="E1232" t="s">
        <v>1579</v>
      </c>
      <c r="F1232">
        <v>2.4984832190804198</v>
      </c>
      <c r="G1232" s="14">
        <v>479.45808712809702</v>
      </c>
      <c r="H1232" s="17">
        <v>0.15452720257109101</v>
      </c>
      <c r="I1232" t="s">
        <v>1611</v>
      </c>
      <c r="J1232" s="14">
        <v>1015.82632684676</v>
      </c>
      <c r="K1232" s="14">
        <f t="shared" si="152"/>
        <v>250762.4634644358</v>
      </c>
      <c r="L1232" s="14">
        <f t="shared" si="153"/>
        <v>258</v>
      </c>
      <c r="M1232" s="14" t="str">
        <f t="shared" si="154"/>
        <v>19-03-2025</v>
      </c>
      <c r="N1232" s="14">
        <f t="shared" si="155"/>
        <v>0.15712383767750096</v>
      </c>
      <c r="O1232" s="20">
        <f t="shared" si="156"/>
        <v>2.5081174718794146</v>
      </c>
      <c r="P1232" s="14">
        <f t="shared" si="157"/>
        <v>459.58113426531611</v>
      </c>
      <c r="Q1232" s="14">
        <f t="shared" si="158"/>
        <v>374.48435609912713</v>
      </c>
      <c r="R1232" s="14" t="str">
        <f t="shared" si="159"/>
        <v>Mar</v>
      </c>
    </row>
    <row r="1233" spans="1:18" x14ac:dyDescent="0.3">
      <c r="A1233" t="s">
        <v>2841</v>
      </c>
      <c r="B1233" s="1">
        <v>45750</v>
      </c>
      <c r="C1233" t="s">
        <v>458</v>
      </c>
      <c r="D1233" t="s">
        <v>1473</v>
      </c>
      <c r="E1233" t="s">
        <v>1567</v>
      </c>
      <c r="F1233">
        <v>2.49850830828042</v>
      </c>
      <c r="G1233" s="14">
        <v>479.40632423001699</v>
      </c>
      <c r="H1233" s="17">
        <v>0.15453396464168101</v>
      </c>
      <c r="I1233" t="s">
        <v>1609</v>
      </c>
      <c r="J1233" s="14">
        <v>1015.7183303873099</v>
      </c>
      <c r="K1233" s="14">
        <f t="shared" si="152"/>
        <v>250762.4634644358</v>
      </c>
      <c r="L1233" s="14">
        <f t="shared" si="153"/>
        <v>258</v>
      </c>
      <c r="M1233" s="14" t="str">
        <f t="shared" si="154"/>
        <v>03-04-2025</v>
      </c>
      <c r="N1233" s="14">
        <f t="shared" si="155"/>
        <v>0.15712721871279575</v>
      </c>
      <c r="O1233" s="20">
        <f t="shared" si="156"/>
        <v>2.5081300164794134</v>
      </c>
      <c r="P1233" s="14">
        <f t="shared" si="157"/>
        <v>459.55525281627598</v>
      </c>
      <c r="Q1233" s="14">
        <f t="shared" si="158"/>
        <v>374.44442422256225</v>
      </c>
      <c r="R1233" s="14" t="str">
        <f t="shared" si="159"/>
        <v>Apr</v>
      </c>
    </row>
    <row r="1234" spans="1:18" x14ac:dyDescent="0.3">
      <c r="A1234" t="s">
        <v>2842</v>
      </c>
      <c r="B1234" s="1">
        <v>45693</v>
      </c>
      <c r="C1234" t="s">
        <v>134</v>
      </c>
      <c r="D1234" t="s">
        <v>1379</v>
      </c>
      <c r="E1234" t="s">
        <v>1551</v>
      </c>
      <c r="F1234">
        <v>2.49853339748041</v>
      </c>
      <c r="G1234" s="14">
        <v>479.35456133193702</v>
      </c>
      <c r="H1234" s="17">
        <v>0.15454072671227001</v>
      </c>
      <c r="I1234" t="s">
        <v>1614</v>
      </c>
      <c r="J1234" s="14">
        <v>1015.61033392786</v>
      </c>
      <c r="K1234" s="14">
        <f t="shared" si="152"/>
        <v>249746.74513404848</v>
      </c>
      <c r="L1234" s="14">
        <f t="shared" si="153"/>
        <v>257</v>
      </c>
      <c r="M1234" s="14" t="str">
        <f t="shared" si="154"/>
        <v>05-02-2025</v>
      </c>
      <c r="N1234" s="14">
        <f t="shared" si="155"/>
        <v>0.15713059974809057</v>
      </c>
      <c r="O1234" s="20">
        <f t="shared" si="156"/>
        <v>2.5081425610794121</v>
      </c>
      <c r="P1234" s="14">
        <f t="shared" si="157"/>
        <v>459.52937136723585</v>
      </c>
      <c r="Q1234" s="14">
        <f t="shared" si="158"/>
        <v>374.40449234599743</v>
      </c>
      <c r="R1234" s="14" t="str">
        <f t="shared" si="159"/>
        <v>Feb</v>
      </c>
    </row>
    <row r="1235" spans="1:18" x14ac:dyDescent="0.3">
      <c r="A1235" t="s">
        <v>2843</v>
      </c>
      <c r="B1235" s="1">
        <v>45667</v>
      </c>
      <c r="C1235" t="s">
        <v>984</v>
      </c>
      <c r="D1235" t="s">
        <v>1481</v>
      </c>
      <c r="E1235" t="s">
        <v>1567</v>
      </c>
      <c r="F1235">
        <v>2.4985584866804098</v>
      </c>
      <c r="G1235" s="14">
        <v>479.30279843385699</v>
      </c>
      <c r="H1235" s="17">
        <v>0.15454748878286001</v>
      </c>
      <c r="I1235" t="s">
        <v>1611</v>
      </c>
      <c r="J1235" s="14">
        <v>1015.5023374684</v>
      </c>
      <c r="K1235" s="14">
        <f t="shared" si="152"/>
        <v>249746.74513404848</v>
      </c>
      <c r="L1235" s="14">
        <f t="shared" si="153"/>
        <v>257</v>
      </c>
      <c r="M1235" s="14" t="str">
        <f t="shared" si="154"/>
        <v>10-01-2025</v>
      </c>
      <c r="N1235" s="14">
        <f t="shared" si="155"/>
        <v>0.15713398078338536</v>
      </c>
      <c r="O1235" s="20">
        <f t="shared" si="156"/>
        <v>2.5081551056794109</v>
      </c>
      <c r="P1235" s="14">
        <f t="shared" si="157"/>
        <v>459.50348991819578</v>
      </c>
      <c r="Q1235" s="14">
        <f t="shared" si="158"/>
        <v>374.36456046943005</v>
      </c>
      <c r="R1235" s="14" t="str">
        <f t="shared" si="159"/>
        <v>Jan</v>
      </c>
    </row>
    <row r="1236" spans="1:18" x14ac:dyDescent="0.3">
      <c r="A1236" t="s">
        <v>2844</v>
      </c>
      <c r="B1236" s="1">
        <v>45316</v>
      </c>
      <c r="C1236" t="s">
        <v>1254</v>
      </c>
      <c r="D1236" t="s">
        <v>1353</v>
      </c>
      <c r="E1236" t="s">
        <v>1542</v>
      </c>
      <c r="F1236">
        <v>2.49858357588041</v>
      </c>
      <c r="G1236" s="14">
        <v>479.25103553577702</v>
      </c>
      <c r="H1236" s="17">
        <v>0.15455425085344901</v>
      </c>
      <c r="I1236" t="s">
        <v>1614</v>
      </c>
      <c r="J1236" s="14">
        <v>1015.3943410089501</v>
      </c>
      <c r="K1236" s="14">
        <f t="shared" si="152"/>
        <v>249746.74513404848</v>
      </c>
      <c r="L1236" s="14">
        <f t="shared" si="153"/>
        <v>257</v>
      </c>
      <c r="M1236" s="14" t="str">
        <f t="shared" si="154"/>
        <v>25-01-2024</v>
      </c>
      <c r="N1236" s="14">
        <f t="shared" si="155"/>
        <v>0.15713736181868015</v>
      </c>
      <c r="O1236" s="20">
        <f t="shared" si="156"/>
        <v>2.5081676502794092</v>
      </c>
      <c r="P1236" s="14">
        <f t="shared" si="157"/>
        <v>459.47760846915571</v>
      </c>
      <c r="Q1236" s="14">
        <f t="shared" si="158"/>
        <v>374.32462859286522</v>
      </c>
      <c r="R1236" s="14" t="str">
        <f t="shared" si="159"/>
        <v>Jan</v>
      </c>
    </row>
    <row r="1237" spans="1:18" x14ac:dyDescent="0.3">
      <c r="A1237" t="s">
        <v>2845</v>
      </c>
      <c r="B1237" s="1">
        <v>45932</v>
      </c>
      <c r="C1237" t="s">
        <v>1163</v>
      </c>
      <c r="D1237" t="s">
        <v>1441</v>
      </c>
      <c r="E1237" t="s">
        <v>1584</v>
      </c>
      <c r="F1237">
        <v>2.4986086650804098</v>
      </c>
      <c r="G1237" s="14">
        <v>479.19927263769603</v>
      </c>
      <c r="H1237" s="17">
        <v>0.15456101292403901</v>
      </c>
      <c r="I1237" t="s">
        <v>1611</v>
      </c>
      <c r="J1237" s="14">
        <v>1015.2863445495</v>
      </c>
      <c r="K1237" s="14">
        <f t="shared" si="152"/>
        <v>249746.74513404848</v>
      </c>
      <c r="L1237" s="14">
        <f t="shared" si="153"/>
        <v>257</v>
      </c>
      <c r="M1237" s="14" t="str">
        <f t="shared" si="154"/>
        <v>02-10-2025</v>
      </c>
      <c r="N1237" s="14">
        <f t="shared" si="155"/>
        <v>0.15714074285397497</v>
      </c>
      <c r="O1237" s="20">
        <f t="shared" si="156"/>
        <v>2.5081801948794076</v>
      </c>
      <c r="P1237" s="14">
        <f t="shared" si="157"/>
        <v>459.45172702011553</v>
      </c>
      <c r="Q1237" s="14">
        <f t="shared" si="158"/>
        <v>374.28469671630012</v>
      </c>
      <c r="R1237" s="14" t="str">
        <f t="shared" si="159"/>
        <v>Oct</v>
      </c>
    </row>
    <row r="1238" spans="1:18" x14ac:dyDescent="0.3">
      <c r="A1238" t="s">
        <v>2846</v>
      </c>
      <c r="B1238" s="1">
        <v>45483</v>
      </c>
      <c r="C1238" t="s">
        <v>1095</v>
      </c>
      <c r="D1238" t="s">
        <v>1367</v>
      </c>
      <c r="E1238" t="s">
        <v>1558</v>
      </c>
      <c r="F1238">
        <v>2.4986337542803998</v>
      </c>
      <c r="G1238" s="14">
        <v>479.147509739616</v>
      </c>
      <c r="H1238" s="17">
        <v>0.15456777499462901</v>
      </c>
      <c r="I1238" t="s">
        <v>1609</v>
      </c>
      <c r="J1238" s="14">
        <v>1015.17834809005</v>
      </c>
      <c r="K1238" s="14">
        <f t="shared" si="152"/>
        <v>249746.74513404848</v>
      </c>
      <c r="L1238" s="14">
        <f t="shared" si="153"/>
        <v>257</v>
      </c>
      <c r="M1238" s="14" t="str">
        <f t="shared" si="154"/>
        <v>10-07-2024</v>
      </c>
      <c r="N1238" s="14">
        <f t="shared" si="155"/>
        <v>0.15714412388926979</v>
      </c>
      <c r="O1238" s="20">
        <f t="shared" si="156"/>
        <v>2.5081927394794068</v>
      </c>
      <c r="P1238" s="14">
        <f t="shared" si="157"/>
        <v>459.42584557107551</v>
      </c>
      <c r="Q1238" s="14">
        <f t="shared" si="158"/>
        <v>374.24476483973524</v>
      </c>
      <c r="R1238" s="14" t="str">
        <f t="shared" si="159"/>
        <v>Jul</v>
      </c>
    </row>
    <row r="1239" spans="1:18" x14ac:dyDescent="0.3">
      <c r="A1239" t="s">
        <v>2847</v>
      </c>
      <c r="B1239" s="1">
        <v>45661</v>
      </c>
      <c r="C1239" t="s">
        <v>1305</v>
      </c>
      <c r="D1239" t="s">
        <v>1487</v>
      </c>
      <c r="E1239" t="s">
        <v>1595</v>
      </c>
      <c r="F1239">
        <v>2.4986588434804</v>
      </c>
      <c r="G1239" s="14">
        <v>479.09574684153603</v>
      </c>
      <c r="H1239" s="17">
        <v>0.15457453706521801</v>
      </c>
      <c r="I1239" t="s">
        <v>1611</v>
      </c>
      <c r="J1239" s="14">
        <v>1015.0703516306</v>
      </c>
      <c r="K1239" s="14">
        <f t="shared" si="152"/>
        <v>248731.56678595839</v>
      </c>
      <c r="L1239" s="14">
        <f t="shared" si="153"/>
        <v>256</v>
      </c>
      <c r="M1239" s="14" t="str">
        <f t="shared" si="154"/>
        <v>04-01-2025</v>
      </c>
      <c r="N1239" s="14">
        <f t="shared" si="155"/>
        <v>0.15714750492456458</v>
      </c>
      <c r="O1239" s="20">
        <f t="shared" si="156"/>
        <v>2.5082052840794056</v>
      </c>
      <c r="P1239" s="14">
        <f t="shared" si="157"/>
        <v>459.39996412203539</v>
      </c>
      <c r="Q1239" s="14">
        <f t="shared" si="158"/>
        <v>374.20483296317042</v>
      </c>
      <c r="R1239" s="14" t="str">
        <f t="shared" si="159"/>
        <v>Jan</v>
      </c>
    </row>
    <row r="1240" spans="1:18" x14ac:dyDescent="0.3">
      <c r="A1240" t="s">
        <v>2848</v>
      </c>
      <c r="B1240" s="1">
        <v>45798</v>
      </c>
      <c r="C1240" t="s">
        <v>996</v>
      </c>
      <c r="D1240" t="s">
        <v>1383</v>
      </c>
      <c r="E1240" t="s">
        <v>1564</v>
      </c>
      <c r="F1240">
        <v>2.4986839326803998</v>
      </c>
      <c r="G1240" s="14">
        <v>479.043983943456</v>
      </c>
      <c r="H1240" s="17">
        <v>0.15458129913580801</v>
      </c>
      <c r="I1240" t="s">
        <v>1611</v>
      </c>
      <c r="J1240" s="14">
        <v>1014.96235517115</v>
      </c>
      <c r="K1240" s="14">
        <f t="shared" si="152"/>
        <v>248731.56678595839</v>
      </c>
      <c r="L1240" s="14">
        <f t="shared" si="153"/>
        <v>256</v>
      </c>
      <c r="M1240" s="14" t="str">
        <f t="shared" si="154"/>
        <v>21-05-2025</v>
      </c>
      <c r="N1240" s="14">
        <f t="shared" si="155"/>
        <v>0.15715088595985938</v>
      </c>
      <c r="O1240" s="20">
        <f t="shared" si="156"/>
        <v>2.5082178286794039</v>
      </c>
      <c r="P1240" s="14">
        <f t="shared" si="157"/>
        <v>459.37408267299531</v>
      </c>
      <c r="Q1240" s="14">
        <f t="shared" si="158"/>
        <v>374.16490108660554</v>
      </c>
      <c r="R1240" s="14" t="str">
        <f t="shared" si="159"/>
        <v>May</v>
      </c>
    </row>
    <row r="1241" spans="1:18" x14ac:dyDescent="0.3">
      <c r="A1241" t="s">
        <v>2849</v>
      </c>
      <c r="B1241" s="1">
        <v>45868</v>
      </c>
      <c r="C1241" t="s">
        <v>1026</v>
      </c>
      <c r="D1241" t="s">
        <v>1407</v>
      </c>
      <c r="E1241" t="s">
        <v>1577</v>
      </c>
      <c r="F1241">
        <v>2.4987090218803898</v>
      </c>
      <c r="G1241" s="14">
        <v>478.99222104537603</v>
      </c>
      <c r="H1241" s="17">
        <v>0.15458806120639701</v>
      </c>
      <c r="I1241" t="s">
        <v>1611</v>
      </c>
      <c r="J1241" s="14">
        <v>1014.85435871169</v>
      </c>
      <c r="K1241" s="14">
        <f t="shared" si="152"/>
        <v>248731.56678595839</v>
      </c>
      <c r="L1241" s="14">
        <f t="shared" si="153"/>
        <v>256</v>
      </c>
      <c r="M1241" s="14" t="str">
        <f t="shared" si="154"/>
        <v>30-07-2025</v>
      </c>
      <c r="N1241" s="14">
        <f t="shared" si="155"/>
        <v>0.15715426699515417</v>
      </c>
      <c r="O1241" s="20">
        <f t="shared" si="156"/>
        <v>2.5082303732794022</v>
      </c>
      <c r="P1241" s="14">
        <f t="shared" si="157"/>
        <v>459.34820122395519</v>
      </c>
      <c r="Q1241" s="14">
        <f t="shared" si="158"/>
        <v>374.12496921003822</v>
      </c>
      <c r="R1241" s="14" t="str">
        <f t="shared" si="159"/>
        <v>Jul</v>
      </c>
    </row>
    <row r="1242" spans="1:18" x14ac:dyDescent="0.3">
      <c r="A1242" t="s">
        <v>2850</v>
      </c>
      <c r="B1242" s="1">
        <v>45757</v>
      </c>
      <c r="C1242" t="s">
        <v>414</v>
      </c>
      <c r="D1242" t="s">
        <v>1457</v>
      </c>
      <c r="E1242" t="s">
        <v>1567</v>
      </c>
      <c r="F1242">
        <v>2.49873411108039</v>
      </c>
      <c r="G1242" s="14">
        <v>478.940458147296</v>
      </c>
      <c r="H1242" s="17">
        <v>0.15459482327698701</v>
      </c>
      <c r="I1242" t="s">
        <v>1609</v>
      </c>
      <c r="J1242" s="14">
        <v>1014.74636225224</v>
      </c>
      <c r="K1242" s="14">
        <f t="shared" si="152"/>
        <v>248731.56678595839</v>
      </c>
      <c r="L1242" s="14">
        <f t="shared" si="153"/>
        <v>256</v>
      </c>
      <c r="M1242" s="14" t="str">
        <f t="shared" si="154"/>
        <v>10-04-2025</v>
      </c>
      <c r="N1242" s="14">
        <f t="shared" si="155"/>
        <v>0.15715764803044896</v>
      </c>
      <c r="O1242" s="20">
        <f t="shared" si="156"/>
        <v>2.5082429178794015</v>
      </c>
      <c r="P1242" s="14">
        <f t="shared" si="157"/>
        <v>459.32231977491517</v>
      </c>
      <c r="Q1242" s="14">
        <f t="shared" si="158"/>
        <v>374.08503733347334</v>
      </c>
      <c r="R1242" s="14" t="str">
        <f t="shared" si="159"/>
        <v>Apr</v>
      </c>
    </row>
    <row r="1243" spans="1:18" x14ac:dyDescent="0.3">
      <c r="A1243" t="s">
        <v>2851</v>
      </c>
      <c r="B1243" s="1">
        <v>45475</v>
      </c>
      <c r="C1243" t="s">
        <v>1311</v>
      </c>
      <c r="D1243" t="s">
        <v>1427</v>
      </c>
      <c r="E1243" t="s">
        <v>1589</v>
      </c>
      <c r="F1243">
        <v>2.4987592002803898</v>
      </c>
      <c r="G1243" s="14">
        <v>478.888695249215</v>
      </c>
      <c r="H1243" s="17">
        <v>0.15460158534757701</v>
      </c>
      <c r="I1243" t="s">
        <v>1614</v>
      </c>
      <c r="J1243" s="14">
        <v>1014.63836579279</v>
      </c>
      <c r="K1243" s="14">
        <f t="shared" si="152"/>
        <v>247716.82042370617</v>
      </c>
      <c r="L1243" s="14">
        <f t="shared" si="153"/>
        <v>255</v>
      </c>
      <c r="M1243" s="14" t="str">
        <f t="shared" si="154"/>
        <v>02-07-2024</v>
      </c>
      <c r="N1243" s="14">
        <f t="shared" si="155"/>
        <v>0.15716102906574381</v>
      </c>
      <c r="O1243" s="20">
        <f t="shared" si="156"/>
        <v>2.5082554624794002</v>
      </c>
      <c r="P1243" s="14">
        <f t="shared" si="157"/>
        <v>459.29643832587504</v>
      </c>
      <c r="Q1243" s="14">
        <f t="shared" si="158"/>
        <v>374.04510545690823</v>
      </c>
      <c r="R1243" s="14" t="str">
        <f t="shared" si="159"/>
        <v>Jul</v>
      </c>
    </row>
    <row r="1244" spans="1:18" x14ac:dyDescent="0.3">
      <c r="A1244" t="s">
        <v>2852</v>
      </c>
      <c r="B1244" s="1">
        <v>45829</v>
      </c>
      <c r="C1244" t="s">
        <v>836</v>
      </c>
      <c r="D1244" t="s">
        <v>1355</v>
      </c>
      <c r="E1244" t="s">
        <v>1582</v>
      </c>
      <c r="F1244">
        <v>2.49878428948039</v>
      </c>
      <c r="G1244" s="14">
        <v>478.83693235113498</v>
      </c>
      <c r="H1244" s="17">
        <v>0.15460834741816601</v>
      </c>
      <c r="I1244" t="s">
        <v>1614</v>
      </c>
      <c r="J1244" s="14">
        <v>1014.53036933334</v>
      </c>
      <c r="K1244" s="14">
        <f t="shared" si="152"/>
        <v>247716.82042370617</v>
      </c>
      <c r="L1244" s="14">
        <f t="shared" si="153"/>
        <v>255</v>
      </c>
      <c r="M1244" s="14" t="str">
        <f t="shared" si="154"/>
        <v>21-06-2025</v>
      </c>
      <c r="N1244" s="14">
        <f t="shared" si="155"/>
        <v>0.15716441010103863</v>
      </c>
      <c r="O1244" s="20">
        <f t="shared" si="156"/>
        <v>2.5082680070793986</v>
      </c>
      <c r="P1244" s="14">
        <f t="shared" si="157"/>
        <v>459.27055687683497</v>
      </c>
      <c r="Q1244" s="14">
        <f t="shared" si="158"/>
        <v>374.00517358034335</v>
      </c>
      <c r="R1244" s="14" t="str">
        <f t="shared" si="159"/>
        <v>Jun</v>
      </c>
    </row>
    <row r="1245" spans="1:18" x14ac:dyDescent="0.3">
      <c r="A1245" t="s">
        <v>2853</v>
      </c>
      <c r="B1245" s="1">
        <v>45639</v>
      </c>
      <c r="C1245" t="s">
        <v>97</v>
      </c>
      <c r="D1245" t="s">
        <v>1350</v>
      </c>
      <c r="E1245" t="s">
        <v>1558</v>
      </c>
      <c r="F1245">
        <v>2.49880937868038</v>
      </c>
      <c r="G1245" s="14">
        <v>478.785169453055</v>
      </c>
      <c r="H1245" s="17">
        <v>0.15461510948875601</v>
      </c>
      <c r="I1245" t="s">
        <v>1609</v>
      </c>
      <c r="J1245" s="14">
        <v>1014.42237287389</v>
      </c>
      <c r="K1245" s="14">
        <f t="shared" si="152"/>
        <v>247716.82042370617</v>
      </c>
      <c r="L1245" s="14">
        <f t="shared" si="153"/>
        <v>255</v>
      </c>
      <c r="M1245" s="14" t="str">
        <f t="shared" si="154"/>
        <v>13-12-2024</v>
      </c>
      <c r="N1245" s="14">
        <f t="shared" si="155"/>
        <v>0.15716779113633339</v>
      </c>
      <c r="O1245" s="20">
        <f t="shared" si="156"/>
        <v>2.5082805516793978</v>
      </c>
      <c r="P1245" s="14">
        <f t="shared" si="157"/>
        <v>459.2446754277949</v>
      </c>
      <c r="Q1245" s="14">
        <f t="shared" si="158"/>
        <v>373.96524170377853</v>
      </c>
      <c r="R1245" s="14" t="str">
        <f t="shared" si="159"/>
        <v>Dec</v>
      </c>
    </row>
    <row r="1246" spans="1:18" x14ac:dyDescent="0.3">
      <c r="A1246" t="s">
        <v>2854</v>
      </c>
      <c r="B1246" s="1">
        <v>45518</v>
      </c>
      <c r="C1246" t="s">
        <v>830</v>
      </c>
      <c r="D1246" t="s">
        <v>1501</v>
      </c>
      <c r="E1246" t="s">
        <v>1582</v>
      </c>
      <c r="F1246">
        <v>2.4988344678803802</v>
      </c>
      <c r="G1246" s="14">
        <v>478.73340655497498</v>
      </c>
      <c r="H1246" s="17">
        <v>0.15462187155934501</v>
      </c>
      <c r="I1246" t="s">
        <v>1609</v>
      </c>
      <c r="J1246" s="14">
        <v>1014.3143764144399</v>
      </c>
      <c r="K1246" s="14">
        <f t="shared" si="152"/>
        <v>246702.39805083224</v>
      </c>
      <c r="L1246" s="14">
        <f t="shared" si="153"/>
        <v>254</v>
      </c>
      <c r="M1246" s="14" t="str">
        <f t="shared" si="154"/>
        <v>14-08-2024</v>
      </c>
      <c r="N1246" s="14">
        <f t="shared" si="155"/>
        <v>0.15717117217162824</v>
      </c>
      <c r="O1246" s="20">
        <f t="shared" si="156"/>
        <v>2.5082930962793966</v>
      </c>
      <c r="P1246" s="14">
        <f t="shared" si="157"/>
        <v>459.21879397875477</v>
      </c>
      <c r="Q1246" s="14">
        <f t="shared" si="158"/>
        <v>373.92530982721365</v>
      </c>
      <c r="R1246" s="14" t="str">
        <f t="shared" si="159"/>
        <v>Aug</v>
      </c>
    </row>
    <row r="1247" spans="1:18" x14ac:dyDescent="0.3">
      <c r="A1247" t="s">
        <v>2855</v>
      </c>
      <c r="B1247" s="1">
        <v>45721</v>
      </c>
      <c r="C1247" t="s">
        <v>727</v>
      </c>
      <c r="D1247" t="s">
        <v>1371</v>
      </c>
      <c r="E1247" t="s">
        <v>1564</v>
      </c>
      <c r="F1247">
        <v>2.49885955708038</v>
      </c>
      <c r="G1247" s="14">
        <v>478.68164365689501</v>
      </c>
      <c r="H1247" s="17">
        <v>0.15462863362993501</v>
      </c>
      <c r="I1247" t="s">
        <v>1614</v>
      </c>
      <c r="J1247" s="14">
        <v>1014.20637995498</v>
      </c>
      <c r="K1247" s="14">
        <f t="shared" si="152"/>
        <v>245688.08367441784</v>
      </c>
      <c r="L1247" s="14">
        <f t="shared" si="153"/>
        <v>253</v>
      </c>
      <c r="M1247" s="14" t="str">
        <f t="shared" si="154"/>
        <v>05-03-2025</v>
      </c>
      <c r="N1247" s="14">
        <f t="shared" si="155"/>
        <v>0.15717455320692303</v>
      </c>
      <c r="O1247" s="20">
        <f t="shared" si="156"/>
        <v>2.5083056408793949</v>
      </c>
      <c r="P1247" s="14">
        <f t="shared" si="157"/>
        <v>459.19291252971465</v>
      </c>
      <c r="Q1247" s="14">
        <f t="shared" si="158"/>
        <v>373.88537795064633</v>
      </c>
      <c r="R1247" s="14" t="str">
        <f t="shared" si="159"/>
        <v>Mar</v>
      </c>
    </row>
    <row r="1248" spans="1:18" x14ac:dyDescent="0.3">
      <c r="A1248" t="s">
        <v>2856</v>
      </c>
      <c r="B1248" s="1">
        <v>45308</v>
      </c>
      <c r="C1248" t="s">
        <v>1287</v>
      </c>
      <c r="D1248" t="s">
        <v>1429</v>
      </c>
      <c r="E1248" t="s">
        <v>1598</v>
      </c>
      <c r="F1248">
        <v>2.4988846462803802</v>
      </c>
      <c r="G1248" s="14">
        <v>478.62988075881498</v>
      </c>
      <c r="H1248" s="17">
        <v>0.15463539570052501</v>
      </c>
      <c r="I1248" t="s">
        <v>1611</v>
      </c>
      <c r="J1248" s="14">
        <v>1014.09838349553</v>
      </c>
      <c r="K1248" s="14">
        <f t="shared" si="152"/>
        <v>245688.08367441784</v>
      </c>
      <c r="L1248" s="14">
        <f t="shared" si="153"/>
        <v>253</v>
      </c>
      <c r="M1248" s="14" t="str">
        <f t="shared" si="154"/>
        <v>17-01-2024</v>
      </c>
      <c r="N1248" s="14">
        <f t="shared" si="155"/>
        <v>0.15717793424221779</v>
      </c>
      <c r="O1248" s="20">
        <f t="shared" si="156"/>
        <v>2.5083181854793937</v>
      </c>
      <c r="P1248" s="14">
        <f t="shared" si="157"/>
        <v>459.16703108067469</v>
      </c>
      <c r="Q1248" s="14">
        <f t="shared" si="158"/>
        <v>373.84544607408145</v>
      </c>
      <c r="R1248" s="14" t="str">
        <f t="shared" si="159"/>
        <v>Jan</v>
      </c>
    </row>
    <row r="1249" spans="1:18" x14ac:dyDescent="0.3">
      <c r="A1249" t="s">
        <v>2857</v>
      </c>
      <c r="B1249" s="1">
        <v>45889</v>
      </c>
      <c r="C1249" t="s">
        <v>1053</v>
      </c>
      <c r="D1249" t="s">
        <v>1409</v>
      </c>
      <c r="E1249" t="s">
        <v>1561</v>
      </c>
      <c r="F1249">
        <v>2.4989097354803702</v>
      </c>
      <c r="G1249" s="14">
        <v>478.57811786073501</v>
      </c>
      <c r="H1249" s="17">
        <v>0.15464215777111401</v>
      </c>
      <c r="I1249" t="s">
        <v>1611</v>
      </c>
      <c r="J1249" s="14">
        <v>1013.9903870360801</v>
      </c>
      <c r="K1249" s="14">
        <f t="shared" si="152"/>
        <v>245688.08367441784</v>
      </c>
      <c r="L1249" s="14">
        <f t="shared" si="153"/>
        <v>253</v>
      </c>
      <c r="M1249" s="14" t="str">
        <f t="shared" si="154"/>
        <v>20-08-2025</v>
      </c>
      <c r="N1249" s="14">
        <f t="shared" si="155"/>
        <v>0.15718131527751261</v>
      </c>
      <c r="O1249" s="20">
        <f t="shared" si="156"/>
        <v>2.5083307300793924</v>
      </c>
      <c r="P1249" s="14">
        <f t="shared" si="157"/>
        <v>459.14114963163445</v>
      </c>
      <c r="Q1249" s="14">
        <f t="shared" si="158"/>
        <v>373.80551419751663</v>
      </c>
      <c r="R1249" s="14" t="str">
        <f t="shared" si="159"/>
        <v>Aug</v>
      </c>
    </row>
    <row r="1250" spans="1:18" x14ac:dyDescent="0.3">
      <c r="A1250" t="s">
        <v>2858</v>
      </c>
      <c r="B1250" s="1">
        <v>45386</v>
      </c>
      <c r="C1250" t="s">
        <v>601</v>
      </c>
      <c r="D1250" t="s">
        <v>1447</v>
      </c>
      <c r="E1250" t="s">
        <v>1567</v>
      </c>
      <c r="F1250">
        <v>2.49893482468037</v>
      </c>
      <c r="G1250" s="14">
        <v>478.52635496265401</v>
      </c>
      <c r="H1250" s="17">
        <v>0.15464891984170401</v>
      </c>
      <c r="I1250" t="s">
        <v>1614</v>
      </c>
      <c r="J1250" s="14">
        <v>1013.88239057663</v>
      </c>
      <c r="K1250" s="14">
        <f t="shared" si="152"/>
        <v>245688.08367441784</v>
      </c>
      <c r="L1250" s="14">
        <f t="shared" si="153"/>
        <v>253</v>
      </c>
      <c r="M1250" s="14" t="str">
        <f t="shared" si="154"/>
        <v>04-04-2024</v>
      </c>
      <c r="N1250" s="14">
        <f t="shared" si="155"/>
        <v>0.1571846963128074</v>
      </c>
      <c r="O1250" s="20">
        <f t="shared" si="156"/>
        <v>2.5083432746793912</v>
      </c>
      <c r="P1250" s="14">
        <f t="shared" si="157"/>
        <v>459.11526818259449</v>
      </c>
      <c r="Q1250" s="14">
        <f t="shared" si="158"/>
        <v>373.76558232095152</v>
      </c>
      <c r="R1250" s="14" t="str">
        <f t="shared" si="159"/>
        <v>Apr</v>
      </c>
    </row>
    <row r="1251" spans="1:18" x14ac:dyDescent="0.3">
      <c r="A1251" t="s">
        <v>2859</v>
      </c>
      <c r="B1251" s="1">
        <v>45438</v>
      </c>
      <c r="C1251" t="s">
        <v>839</v>
      </c>
      <c r="D1251" t="s">
        <v>1463</v>
      </c>
      <c r="E1251" t="s">
        <v>1564</v>
      </c>
      <c r="F1251">
        <v>2.4989599138803702</v>
      </c>
      <c r="G1251" s="14">
        <v>478.47459206457398</v>
      </c>
      <c r="H1251" s="17">
        <v>0.15465568191229401</v>
      </c>
      <c r="I1251" t="s">
        <v>1614</v>
      </c>
      <c r="J1251" s="14">
        <v>1013.77439411718</v>
      </c>
      <c r="K1251" s="14">
        <f t="shared" si="152"/>
        <v>245688.08367441784</v>
      </c>
      <c r="L1251" s="14">
        <f t="shared" si="153"/>
        <v>253</v>
      </c>
      <c r="M1251" s="14" t="str">
        <f t="shared" si="154"/>
        <v>26-05-2024</v>
      </c>
      <c r="N1251" s="14">
        <f t="shared" si="155"/>
        <v>0.15718807734810222</v>
      </c>
      <c r="O1251" s="20">
        <f t="shared" si="156"/>
        <v>2.50835581927939</v>
      </c>
      <c r="P1251" s="14">
        <f t="shared" si="157"/>
        <v>459.08938673355436</v>
      </c>
      <c r="Q1251" s="14">
        <f t="shared" si="158"/>
        <v>373.72565044438664</v>
      </c>
      <c r="R1251" s="14" t="str">
        <f t="shared" si="159"/>
        <v>May</v>
      </c>
    </row>
    <row r="1252" spans="1:18" x14ac:dyDescent="0.3">
      <c r="A1252" t="s">
        <v>2860</v>
      </c>
      <c r="B1252" s="1">
        <v>45856</v>
      </c>
      <c r="C1252" t="s">
        <v>1238</v>
      </c>
      <c r="D1252" t="s">
        <v>1527</v>
      </c>
      <c r="E1252" t="s">
        <v>1586</v>
      </c>
      <c r="F1252">
        <v>2.49898500308037</v>
      </c>
      <c r="G1252" s="14">
        <v>478.42282916649401</v>
      </c>
      <c r="H1252" s="17">
        <v>0.15466244398288301</v>
      </c>
      <c r="I1252" t="s">
        <v>1614</v>
      </c>
      <c r="J1252" s="14">
        <v>1013.66639765773</v>
      </c>
      <c r="K1252" s="14">
        <f t="shared" si="152"/>
        <v>245688.08367441784</v>
      </c>
      <c r="L1252" s="14">
        <f t="shared" si="153"/>
        <v>253</v>
      </c>
      <c r="M1252" s="14" t="str">
        <f t="shared" si="154"/>
        <v>18-07-2025</v>
      </c>
      <c r="N1252" s="14">
        <f t="shared" si="155"/>
        <v>0.15719145838339704</v>
      </c>
      <c r="O1252" s="20">
        <f t="shared" si="156"/>
        <v>2.5083683638793883</v>
      </c>
      <c r="P1252" s="14">
        <f t="shared" si="157"/>
        <v>459.06350528451429</v>
      </c>
      <c r="Q1252" s="14">
        <f t="shared" si="158"/>
        <v>373.68571856782182</v>
      </c>
      <c r="R1252" s="14" t="str">
        <f t="shared" si="159"/>
        <v>Jul</v>
      </c>
    </row>
    <row r="1253" spans="1:18" x14ac:dyDescent="0.3">
      <c r="A1253" t="s">
        <v>2861</v>
      </c>
      <c r="B1253" s="1">
        <v>45485</v>
      </c>
      <c r="C1253" t="s">
        <v>78</v>
      </c>
      <c r="D1253" t="s">
        <v>1415</v>
      </c>
      <c r="E1253" t="s">
        <v>1592</v>
      </c>
      <c r="F1253">
        <v>2.49901009228036</v>
      </c>
      <c r="G1253" s="14">
        <v>478.37106626841398</v>
      </c>
      <c r="H1253" s="17">
        <v>0.15466920605347301</v>
      </c>
      <c r="I1253" t="s">
        <v>1609</v>
      </c>
      <c r="J1253" s="14">
        <v>1013.55840119827</v>
      </c>
      <c r="K1253" s="14">
        <f t="shared" si="152"/>
        <v>245688.08367441784</v>
      </c>
      <c r="L1253" s="14">
        <f t="shared" si="153"/>
        <v>253</v>
      </c>
      <c r="M1253" s="14" t="str">
        <f t="shared" si="154"/>
        <v>12-07-2024</v>
      </c>
      <c r="N1253" s="14">
        <f t="shared" si="155"/>
        <v>0.15719483941869183</v>
      </c>
      <c r="O1253" s="20">
        <f t="shared" si="156"/>
        <v>2.5083809084793871</v>
      </c>
      <c r="P1253" s="14">
        <f t="shared" si="157"/>
        <v>459.03762383547428</v>
      </c>
      <c r="Q1253" s="14">
        <f t="shared" si="158"/>
        <v>373.64578669125444</v>
      </c>
      <c r="R1253" s="14" t="str">
        <f t="shared" si="159"/>
        <v>Jul</v>
      </c>
    </row>
    <row r="1254" spans="1:18" x14ac:dyDescent="0.3">
      <c r="A1254" t="s">
        <v>2862</v>
      </c>
      <c r="B1254" s="1">
        <v>45545</v>
      </c>
      <c r="C1254" t="s">
        <v>414</v>
      </c>
      <c r="D1254" t="s">
        <v>1481</v>
      </c>
      <c r="E1254" t="s">
        <v>1554</v>
      </c>
      <c r="F1254">
        <v>2.4990351814803602</v>
      </c>
      <c r="G1254" s="14">
        <v>478.31930337033401</v>
      </c>
      <c r="H1254" s="17">
        <v>0.15467596812406201</v>
      </c>
      <c r="I1254" t="s">
        <v>1609</v>
      </c>
      <c r="J1254" s="14">
        <v>1013.45040473882</v>
      </c>
      <c r="K1254" s="14">
        <f t="shared" si="152"/>
        <v>244674.52527321954</v>
      </c>
      <c r="L1254" s="14">
        <f t="shared" si="153"/>
        <v>252</v>
      </c>
      <c r="M1254" s="14" t="str">
        <f t="shared" si="154"/>
        <v>10-09-2024</v>
      </c>
      <c r="N1254" s="14">
        <f t="shared" si="155"/>
        <v>0.15719822045398663</v>
      </c>
      <c r="O1254" s="20">
        <f t="shared" si="156"/>
        <v>2.5083934530793859</v>
      </c>
      <c r="P1254" s="14">
        <f t="shared" si="157"/>
        <v>459.01174238643421</v>
      </c>
      <c r="Q1254" s="14">
        <f t="shared" si="158"/>
        <v>373.60585481468962</v>
      </c>
      <c r="R1254" s="14" t="str">
        <f t="shared" si="159"/>
        <v>Sep</v>
      </c>
    </row>
    <row r="1255" spans="1:18" x14ac:dyDescent="0.3">
      <c r="A1255" t="s">
        <v>2863</v>
      </c>
      <c r="B1255" s="1">
        <v>45826</v>
      </c>
      <c r="C1255" t="s">
        <v>724</v>
      </c>
      <c r="D1255" t="s">
        <v>1411</v>
      </c>
      <c r="E1255" t="s">
        <v>1567</v>
      </c>
      <c r="F1255">
        <v>2.49906027068036</v>
      </c>
      <c r="G1255" s="14">
        <v>478.26754047225398</v>
      </c>
      <c r="H1255" s="17">
        <v>0.15468273019465201</v>
      </c>
      <c r="I1255" t="s">
        <v>1609</v>
      </c>
      <c r="J1255" s="14">
        <v>1013.34240827937</v>
      </c>
      <c r="K1255" s="14">
        <f t="shared" si="152"/>
        <v>243661.07486848076</v>
      </c>
      <c r="L1255" s="14">
        <f t="shared" si="153"/>
        <v>251</v>
      </c>
      <c r="M1255" s="14" t="str">
        <f t="shared" si="154"/>
        <v>18-06-2025</v>
      </c>
      <c r="N1255" s="14">
        <f t="shared" si="155"/>
        <v>0.15720160148928145</v>
      </c>
      <c r="O1255" s="20">
        <f t="shared" si="156"/>
        <v>2.5084059976793847</v>
      </c>
      <c r="P1255" s="14">
        <f t="shared" si="157"/>
        <v>458.98586093739408</v>
      </c>
      <c r="Q1255" s="14">
        <f t="shared" si="158"/>
        <v>373.56592293812474</v>
      </c>
      <c r="R1255" s="14" t="str">
        <f t="shared" si="159"/>
        <v>Jun</v>
      </c>
    </row>
    <row r="1256" spans="1:18" x14ac:dyDescent="0.3">
      <c r="A1256" t="s">
        <v>2864</v>
      </c>
      <c r="B1256" s="1">
        <v>45654</v>
      </c>
      <c r="C1256" t="s">
        <v>881</v>
      </c>
      <c r="D1256" t="s">
        <v>1371</v>
      </c>
      <c r="E1256" t="s">
        <v>1567</v>
      </c>
      <c r="F1256">
        <v>2.4990853598803602</v>
      </c>
      <c r="G1256" s="14">
        <v>478.21577757417299</v>
      </c>
      <c r="H1256" s="17">
        <v>0.15468949226524201</v>
      </c>
      <c r="I1256" t="s">
        <v>1609</v>
      </c>
      <c r="J1256" s="14">
        <v>1013.23441181992</v>
      </c>
      <c r="K1256" s="14">
        <f t="shared" si="152"/>
        <v>242647.7324602014</v>
      </c>
      <c r="L1256" s="14">
        <f t="shared" si="153"/>
        <v>250</v>
      </c>
      <c r="M1256" s="14" t="str">
        <f t="shared" si="154"/>
        <v>28-12-2024</v>
      </c>
      <c r="N1256" s="14">
        <f t="shared" si="155"/>
        <v>0.15720498252457624</v>
      </c>
      <c r="O1256" s="20">
        <f t="shared" si="156"/>
        <v>2.5084185422793834</v>
      </c>
      <c r="P1256" s="14">
        <f t="shared" si="157"/>
        <v>458.95997948835395</v>
      </c>
      <c r="Q1256" s="14">
        <f t="shared" si="158"/>
        <v>373.52599106155964</v>
      </c>
      <c r="R1256" s="14" t="str">
        <f t="shared" si="159"/>
        <v>Dec</v>
      </c>
    </row>
    <row r="1257" spans="1:18" x14ac:dyDescent="0.3">
      <c r="A1257" t="s">
        <v>2865</v>
      </c>
      <c r="B1257" s="1">
        <v>45556</v>
      </c>
      <c r="C1257" t="s">
        <v>687</v>
      </c>
      <c r="D1257" t="s">
        <v>1503</v>
      </c>
      <c r="E1257" t="s">
        <v>1592</v>
      </c>
      <c r="F1257">
        <v>2.4991104490803502</v>
      </c>
      <c r="G1257" s="14">
        <v>478.16401467609302</v>
      </c>
      <c r="H1257" s="17">
        <v>0.15469625433583101</v>
      </c>
      <c r="I1257" t="s">
        <v>1614</v>
      </c>
      <c r="J1257" s="14">
        <v>1013.12641536047</v>
      </c>
      <c r="K1257" s="14">
        <f t="shared" si="152"/>
        <v>241634.49804838144</v>
      </c>
      <c r="L1257" s="14">
        <f t="shared" si="153"/>
        <v>249</v>
      </c>
      <c r="M1257" s="14" t="str">
        <f t="shared" si="154"/>
        <v>21-09-2024</v>
      </c>
      <c r="N1257" s="14">
        <f t="shared" si="155"/>
        <v>0.15720836355987106</v>
      </c>
      <c r="O1257" s="20">
        <f t="shared" si="156"/>
        <v>2.5084310868793827</v>
      </c>
      <c r="P1257" s="14">
        <f t="shared" si="157"/>
        <v>458.93409803931388</v>
      </c>
      <c r="Q1257" s="14">
        <f t="shared" si="158"/>
        <v>373.48605918499482</v>
      </c>
      <c r="R1257" s="14" t="str">
        <f t="shared" si="159"/>
        <v>Sep</v>
      </c>
    </row>
    <row r="1258" spans="1:18" x14ac:dyDescent="0.3">
      <c r="A1258" t="s">
        <v>2866</v>
      </c>
      <c r="B1258" s="1">
        <v>45434</v>
      </c>
      <c r="C1258" t="s">
        <v>298</v>
      </c>
      <c r="D1258" t="s">
        <v>1415</v>
      </c>
      <c r="E1258" t="s">
        <v>1584</v>
      </c>
      <c r="F1258">
        <v>2.49913553828035</v>
      </c>
      <c r="G1258" s="14">
        <v>478.11225177801299</v>
      </c>
      <c r="H1258" s="17">
        <v>0.15470301640642101</v>
      </c>
      <c r="I1258" t="s">
        <v>1611</v>
      </c>
      <c r="J1258" s="14">
        <v>1013.01841890101</v>
      </c>
      <c r="K1258" s="14">
        <f t="shared" si="152"/>
        <v>241634.49804838144</v>
      </c>
      <c r="L1258" s="14">
        <f t="shared" si="153"/>
        <v>249</v>
      </c>
      <c r="M1258" s="14" t="str">
        <f t="shared" si="154"/>
        <v>22-05-2024</v>
      </c>
      <c r="N1258" s="14">
        <f t="shared" si="155"/>
        <v>0.15721174459516588</v>
      </c>
      <c r="O1258" s="20">
        <f t="shared" si="156"/>
        <v>2.508443631479381</v>
      </c>
      <c r="P1258" s="14">
        <f t="shared" si="157"/>
        <v>458.90821659027387</v>
      </c>
      <c r="Q1258" s="14">
        <f t="shared" si="158"/>
        <v>373.44612730842744</v>
      </c>
      <c r="R1258" s="14" t="str">
        <f t="shared" si="159"/>
        <v>May</v>
      </c>
    </row>
    <row r="1259" spans="1:18" x14ac:dyDescent="0.3">
      <c r="A1259" t="s">
        <v>2867</v>
      </c>
      <c r="B1259" s="1">
        <v>45871</v>
      </c>
      <c r="C1259" t="s">
        <v>628</v>
      </c>
      <c r="D1259" t="s">
        <v>1367</v>
      </c>
      <c r="E1259" t="s">
        <v>1542</v>
      </c>
      <c r="F1259">
        <v>2.4991606274803502</v>
      </c>
      <c r="G1259" s="14">
        <v>478.06048887993302</v>
      </c>
      <c r="H1259" s="17">
        <v>0.15470977847701001</v>
      </c>
      <c r="I1259" t="s">
        <v>1614</v>
      </c>
      <c r="J1259" s="14">
        <v>1012.9104224415599</v>
      </c>
      <c r="K1259" s="14">
        <f t="shared" si="152"/>
        <v>241634.49804838144</v>
      </c>
      <c r="L1259" s="14">
        <f t="shared" si="153"/>
        <v>249</v>
      </c>
      <c r="M1259" s="14" t="str">
        <f t="shared" si="154"/>
        <v>02-08-2025</v>
      </c>
      <c r="N1259" s="14">
        <f t="shared" si="155"/>
        <v>0.15721512563046067</v>
      </c>
      <c r="O1259" s="20">
        <f t="shared" si="156"/>
        <v>2.5084561760793798</v>
      </c>
      <c r="P1259" s="14">
        <f t="shared" si="157"/>
        <v>458.88233514123391</v>
      </c>
      <c r="Q1259" s="14">
        <f t="shared" si="158"/>
        <v>373.40619543186256</v>
      </c>
      <c r="R1259" s="14" t="str">
        <f t="shared" si="159"/>
        <v>Aug</v>
      </c>
    </row>
    <row r="1260" spans="1:18" x14ac:dyDescent="0.3">
      <c r="A1260" t="s">
        <v>2868</v>
      </c>
      <c r="B1260" s="1">
        <v>45583</v>
      </c>
      <c r="C1260" t="s">
        <v>241</v>
      </c>
      <c r="D1260" t="s">
        <v>1513</v>
      </c>
      <c r="E1260" t="s">
        <v>1542</v>
      </c>
      <c r="F1260">
        <v>2.4991857166803499</v>
      </c>
      <c r="G1260" s="14">
        <v>478.00872598185299</v>
      </c>
      <c r="H1260" s="17">
        <v>0.15471654054760001</v>
      </c>
      <c r="I1260" t="s">
        <v>1609</v>
      </c>
      <c r="J1260" s="14">
        <v>1012.80242598211</v>
      </c>
      <c r="K1260" s="14">
        <f t="shared" si="152"/>
        <v>241634.49804838144</v>
      </c>
      <c r="L1260" s="14">
        <f t="shared" si="153"/>
        <v>249</v>
      </c>
      <c r="M1260" s="14" t="str">
        <f t="shared" si="154"/>
        <v>18-10-2024</v>
      </c>
      <c r="N1260" s="14">
        <f t="shared" si="155"/>
        <v>0.15721850666575549</v>
      </c>
      <c r="O1260" s="20">
        <f t="shared" si="156"/>
        <v>2.508468720679379</v>
      </c>
      <c r="P1260" s="14">
        <f t="shared" si="157"/>
        <v>458.85645369219378</v>
      </c>
      <c r="Q1260" s="14">
        <f t="shared" si="158"/>
        <v>373.36626355529773</v>
      </c>
      <c r="R1260" s="14" t="str">
        <f t="shared" si="159"/>
        <v>Oct</v>
      </c>
    </row>
    <row r="1261" spans="1:18" x14ac:dyDescent="0.3">
      <c r="A1261" t="s">
        <v>2869</v>
      </c>
      <c r="B1261" s="1">
        <v>45348</v>
      </c>
      <c r="C1261" t="s">
        <v>702</v>
      </c>
      <c r="D1261" t="s">
        <v>1377</v>
      </c>
      <c r="E1261" t="s">
        <v>1598</v>
      </c>
      <c r="F1261">
        <v>2.4992108058803399</v>
      </c>
      <c r="G1261" s="14">
        <v>477.95696308377302</v>
      </c>
      <c r="H1261" s="17">
        <v>0.15472330261819001</v>
      </c>
      <c r="I1261" t="s">
        <v>1611</v>
      </c>
      <c r="J1261" s="14">
        <v>1012.69442952266</v>
      </c>
      <c r="K1261" s="14">
        <f t="shared" si="152"/>
        <v>240621.69562239936</v>
      </c>
      <c r="L1261" s="14">
        <f t="shared" si="153"/>
        <v>248</v>
      </c>
      <c r="M1261" s="14" t="str">
        <f t="shared" si="154"/>
        <v>26-02-2024</v>
      </c>
      <c r="N1261" s="14">
        <f t="shared" si="155"/>
        <v>0.15722188770105028</v>
      </c>
      <c r="O1261" s="20">
        <f t="shared" si="156"/>
        <v>2.5084812652793773</v>
      </c>
      <c r="P1261" s="14">
        <f t="shared" si="157"/>
        <v>458.83057224315371</v>
      </c>
      <c r="Q1261" s="14">
        <f t="shared" si="158"/>
        <v>373.32633167873291</v>
      </c>
      <c r="R1261" s="14" t="str">
        <f t="shared" si="159"/>
        <v>Feb</v>
      </c>
    </row>
    <row r="1262" spans="1:18" x14ac:dyDescent="0.3">
      <c r="A1262" t="s">
        <v>2870</v>
      </c>
      <c r="B1262" s="1">
        <v>45268</v>
      </c>
      <c r="C1262" t="s">
        <v>648</v>
      </c>
      <c r="D1262" t="s">
        <v>1357</v>
      </c>
      <c r="E1262" t="s">
        <v>1586</v>
      </c>
      <c r="F1262">
        <v>2.4992358950803402</v>
      </c>
      <c r="G1262" s="14">
        <v>477.90520018569202</v>
      </c>
      <c r="H1262" s="17">
        <v>0.15473006468877901</v>
      </c>
      <c r="I1262" t="s">
        <v>1609</v>
      </c>
      <c r="J1262" s="14">
        <v>1012.5864330632101</v>
      </c>
      <c r="K1262" s="14">
        <f t="shared" si="152"/>
        <v>240621.69562239936</v>
      </c>
      <c r="L1262" s="14">
        <f t="shared" si="153"/>
        <v>248</v>
      </c>
      <c r="M1262" s="14" t="str">
        <f t="shared" si="154"/>
        <v>08-12-2023</v>
      </c>
      <c r="N1262" s="14">
        <f t="shared" si="155"/>
        <v>0.1572252687363451</v>
      </c>
      <c r="O1262" s="20">
        <f t="shared" si="156"/>
        <v>2.5084938098793761</v>
      </c>
      <c r="P1262" s="14">
        <f t="shared" si="157"/>
        <v>458.80469079411364</v>
      </c>
      <c r="Q1262" s="14">
        <f t="shared" si="158"/>
        <v>373.28639980216781</v>
      </c>
      <c r="R1262" s="14" t="str">
        <f t="shared" si="159"/>
        <v>Dec</v>
      </c>
    </row>
    <row r="1263" spans="1:18" x14ac:dyDescent="0.3">
      <c r="A1263" t="s">
        <v>2871</v>
      </c>
      <c r="B1263" s="1">
        <v>45596</v>
      </c>
      <c r="C1263" t="s">
        <v>118</v>
      </c>
      <c r="D1263" t="s">
        <v>1481</v>
      </c>
      <c r="E1263" t="s">
        <v>1577</v>
      </c>
      <c r="F1263">
        <v>2.4992609842803399</v>
      </c>
      <c r="G1263" s="14">
        <v>477.853437287612</v>
      </c>
      <c r="H1263" s="17">
        <v>0.15473682675936901</v>
      </c>
      <c r="I1263" t="s">
        <v>1614</v>
      </c>
      <c r="J1263" s="14">
        <v>1012.47843660376</v>
      </c>
      <c r="K1263" s="14">
        <f t="shared" si="152"/>
        <v>239609.10918933616</v>
      </c>
      <c r="L1263" s="14">
        <f t="shared" si="153"/>
        <v>247</v>
      </c>
      <c r="M1263" s="14" t="str">
        <f t="shared" si="154"/>
        <v>31-10-2024</v>
      </c>
      <c r="N1263" s="14">
        <f t="shared" si="155"/>
        <v>0.15722864977163989</v>
      </c>
      <c r="O1263" s="20">
        <f t="shared" si="156"/>
        <v>2.5085063544793749</v>
      </c>
      <c r="P1263" s="14">
        <f t="shared" si="157"/>
        <v>458.77880934507357</v>
      </c>
      <c r="Q1263" s="14">
        <f t="shared" si="158"/>
        <v>373.24646792560293</v>
      </c>
      <c r="R1263" s="14" t="str">
        <f t="shared" si="159"/>
        <v>Oct</v>
      </c>
    </row>
    <row r="1264" spans="1:18" x14ac:dyDescent="0.3">
      <c r="A1264" t="s">
        <v>2872</v>
      </c>
      <c r="B1264" s="1">
        <v>45624</v>
      </c>
      <c r="C1264" t="s">
        <v>1289</v>
      </c>
      <c r="D1264" t="s">
        <v>1483</v>
      </c>
      <c r="E1264" t="s">
        <v>1558</v>
      </c>
      <c r="F1264">
        <v>2.4992860734803299</v>
      </c>
      <c r="G1264" s="14">
        <v>477.80167438953202</v>
      </c>
      <c r="H1264" s="17">
        <v>0.15474358882995801</v>
      </c>
      <c r="I1264" t="s">
        <v>1611</v>
      </c>
      <c r="J1264" s="14">
        <v>1012.3704401443</v>
      </c>
      <c r="K1264" s="14">
        <f t="shared" si="152"/>
        <v>239609.10918933616</v>
      </c>
      <c r="L1264" s="14">
        <f t="shared" si="153"/>
        <v>247</v>
      </c>
      <c r="M1264" s="14" t="str">
        <f t="shared" si="154"/>
        <v>28-11-2024</v>
      </c>
      <c r="N1264" s="14">
        <f t="shared" si="155"/>
        <v>0.15723203080693468</v>
      </c>
      <c r="O1264" s="20">
        <f t="shared" si="156"/>
        <v>2.5085188990793732</v>
      </c>
      <c r="P1264" s="14">
        <f t="shared" si="157"/>
        <v>458.7529278960335</v>
      </c>
      <c r="Q1264" s="14">
        <f t="shared" si="158"/>
        <v>373.20653604903555</v>
      </c>
      <c r="R1264" s="14" t="str">
        <f t="shared" si="159"/>
        <v>Nov</v>
      </c>
    </row>
    <row r="1265" spans="1:18" x14ac:dyDescent="0.3">
      <c r="A1265" t="s">
        <v>2873</v>
      </c>
      <c r="B1265" s="1">
        <v>45813</v>
      </c>
      <c r="C1265" t="s">
        <v>347</v>
      </c>
      <c r="D1265" t="s">
        <v>1395</v>
      </c>
      <c r="E1265" t="s">
        <v>1571</v>
      </c>
      <c r="F1265">
        <v>2.4993111626803302</v>
      </c>
      <c r="G1265" s="14">
        <v>477.749911491452</v>
      </c>
      <c r="H1265" s="17">
        <v>0.15475035090054801</v>
      </c>
      <c r="I1265" t="s">
        <v>1614</v>
      </c>
      <c r="J1265" s="14">
        <v>1012.26244368485</v>
      </c>
      <c r="K1265" s="14">
        <f t="shared" si="152"/>
        <v>239609.10918933616</v>
      </c>
      <c r="L1265" s="14">
        <f t="shared" si="153"/>
        <v>247</v>
      </c>
      <c r="M1265" s="14" t="str">
        <f t="shared" si="154"/>
        <v>05-06-2025</v>
      </c>
      <c r="N1265" s="14">
        <f t="shared" si="155"/>
        <v>0.15723541184222947</v>
      </c>
      <c r="O1265" s="20">
        <f t="shared" si="156"/>
        <v>2.5085314436793715</v>
      </c>
      <c r="P1265" s="14">
        <f t="shared" si="157"/>
        <v>458.72704644699337</v>
      </c>
      <c r="Q1265" s="14">
        <f t="shared" si="158"/>
        <v>373.16660417247073</v>
      </c>
      <c r="R1265" s="14" t="str">
        <f t="shared" si="159"/>
        <v>Jun</v>
      </c>
    </row>
    <row r="1266" spans="1:18" x14ac:dyDescent="0.3">
      <c r="A1266" t="s">
        <v>2874</v>
      </c>
      <c r="B1266" s="1">
        <v>45615</v>
      </c>
      <c r="C1266" t="s">
        <v>164</v>
      </c>
      <c r="D1266" t="s">
        <v>1435</v>
      </c>
      <c r="E1266" t="s">
        <v>1579</v>
      </c>
      <c r="F1266">
        <v>2.4993362518803299</v>
      </c>
      <c r="G1266" s="14">
        <v>477.69814859337203</v>
      </c>
      <c r="H1266" s="17">
        <v>0.15475711297113801</v>
      </c>
      <c r="I1266" t="s">
        <v>1609</v>
      </c>
      <c r="J1266" s="14">
        <v>1012.1544472254</v>
      </c>
      <c r="K1266" s="14">
        <f t="shared" si="152"/>
        <v>239609.10918933616</v>
      </c>
      <c r="L1266" s="14">
        <f t="shared" si="153"/>
        <v>247</v>
      </c>
      <c r="M1266" s="14" t="str">
        <f t="shared" si="154"/>
        <v>19-11-2024</v>
      </c>
      <c r="N1266" s="14">
        <f t="shared" si="155"/>
        <v>0.15723879287752429</v>
      </c>
      <c r="O1266" s="20">
        <f t="shared" si="156"/>
        <v>2.5085439882793703</v>
      </c>
      <c r="P1266" s="14">
        <f t="shared" si="157"/>
        <v>458.70116499795324</v>
      </c>
      <c r="Q1266" s="14">
        <f t="shared" si="158"/>
        <v>373.12667229590585</v>
      </c>
      <c r="R1266" s="14" t="str">
        <f t="shared" si="159"/>
        <v>Nov</v>
      </c>
    </row>
    <row r="1267" spans="1:18" x14ac:dyDescent="0.3">
      <c r="A1267" t="s">
        <v>2875</v>
      </c>
      <c r="B1267" s="1">
        <v>45431</v>
      </c>
      <c r="C1267" t="s">
        <v>687</v>
      </c>
      <c r="D1267" t="s">
        <v>1409</v>
      </c>
      <c r="E1267" t="s">
        <v>1579</v>
      </c>
      <c r="F1267">
        <v>2.4993613410803301</v>
      </c>
      <c r="G1267" s="14">
        <v>477.646385695292</v>
      </c>
      <c r="H1267" s="17">
        <v>0.15476387504172701</v>
      </c>
      <c r="I1267" t="s">
        <v>1614</v>
      </c>
      <c r="J1267" s="14">
        <v>1012.04645076595</v>
      </c>
      <c r="K1267" s="14">
        <f t="shared" si="152"/>
        <v>238596.95474211077</v>
      </c>
      <c r="L1267" s="14">
        <f t="shared" si="153"/>
        <v>246</v>
      </c>
      <c r="M1267" s="14" t="str">
        <f t="shared" si="154"/>
        <v>19-05-2024</v>
      </c>
      <c r="N1267" s="14">
        <f t="shared" si="155"/>
        <v>0.15724217391281908</v>
      </c>
      <c r="O1267" s="20">
        <f t="shared" si="156"/>
        <v>2.5085565328793691</v>
      </c>
      <c r="P1267" s="14">
        <f t="shared" si="157"/>
        <v>458.67528354891317</v>
      </c>
      <c r="Q1267" s="14">
        <f t="shared" si="158"/>
        <v>373.08674041934103</v>
      </c>
      <c r="R1267" s="14" t="str">
        <f t="shared" si="159"/>
        <v>May</v>
      </c>
    </row>
    <row r="1268" spans="1:18" x14ac:dyDescent="0.3">
      <c r="A1268" t="s">
        <v>2876</v>
      </c>
      <c r="B1268" s="1">
        <v>45679</v>
      </c>
      <c r="C1268" t="s">
        <v>1302</v>
      </c>
      <c r="D1268" t="s">
        <v>1457</v>
      </c>
      <c r="E1268" t="s">
        <v>1584</v>
      </c>
      <c r="F1268">
        <v>2.4993864302803201</v>
      </c>
      <c r="G1268" s="14">
        <v>477.59462279721203</v>
      </c>
      <c r="H1268" s="17">
        <v>0.15477063711231701</v>
      </c>
      <c r="I1268" t="s">
        <v>1614</v>
      </c>
      <c r="J1268" s="14">
        <v>1011.9384543065</v>
      </c>
      <c r="K1268" s="14">
        <f t="shared" si="152"/>
        <v>238596.95474211077</v>
      </c>
      <c r="L1268" s="14">
        <f t="shared" si="153"/>
        <v>246</v>
      </c>
      <c r="M1268" s="14" t="str">
        <f t="shared" si="154"/>
        <v>22-01-2025</v>
      </c>
      <c r="N1268" s="14">
        <f t="shared" si="155"/>
        <v>0.15724555494811393</v>
      </c>
      <c r="O1268" s="20">
        <f t="shared" si="156"/>
        <v>2.5085690774793679</v>
      </c>
      <c r="P1268" s="14">
        <f t="shared" si="157"/>
        <v>458.64940209987333</v>
      </c>
      <c r="Q1268" s="14">
        <f t="shared" si="158"/>
        <v>373.04680854277615</v>
      </c>
      <c r="R1268" s="14" t="str">
        <f t="shared" si="159"/>
        <v>Jan</v>
      </c>
    </row>
    <row r="1269" spans="1:18" x14ac:dyDescent="0.3">
      <c r="A1269" t="s">
        <v>2877</v>
      </c>
      <c r="B1269" s="1">
        <v>45842</v>
      </c>
      <c r="C1269" t="s">
        <v>1272</v>
      </c>
      <c r="D1269" t="s">
        <v>1513</v>
      </c>
      <c r="E1269" t="s">
        <v>1542</v>
      </c>
      <c r="F1269">
        <v>2.4994115194803199</v>
      </c>
      <c r="G1269" s="14">
        <v>477.54285989913097</v>
      </c>
      <c r="H1269" s="17">
        <v>0.15477739918290601</v>
      </c>
      <c r="I1269" t="s">
        <v>1609</v>
      </c>
      <c r="J1269" s="14">
        <v>1011.83045784705</v>
      </c>
      <c r="K1269" s="14">
        <f t="shared" si="152"/>
        <v>238596.95474211077</v>
      </c>
      <c r="L1269" s="14">
        <f t="shared" si="153"/>
        <v>246</v>
      </c>
      <c r="M1269" s="14" t="str">
        <f t="shared" si="154"/>
        <v>04-07-2025</v>
      </c>
      <c r="N1269" s="14">
        <f t="shared" si="155"/>
        <v>0.15724893598340872</v>
      </c>
      <c r="O1269" s="20">
        <f t="shared" si="156"/>
        <v>2.5085816220793662</v>
      </c>
      <c r="P1269" s="14">
        <f t="shared" si="157"/>
        <v>458.62352065083314</v>
      </c>
      <c r="Q1269" s="14">
        <f t="shared" si="158"/>
        <v>373.00687666621104</v>
      </c>
      <c r="R1269" s="14" t="str">
        <f t="shared" si="159"/>
        <v>Jul</v>
      </c>
    </row>
    <row r="1270" spans="1:18" x14ac:dyDescent="0.3">
      <c r="A1270" t="s">
        <v>2878</v>
      </c>
      <c r="B1270" s="1">
        <v>45796</v>
      </c>
      <c r="C1270" t="s">
        <v>1300</v>
      </c>
      <c r="D1270" t="s">
        <v>1481</v>
      </c>
      <c r="E1270" t="s">
        <v>1542</v>
      </c>
      <c r="F1270">
        <v>2.4994366086803201</v>
      </c>
      <c r="G1270" s="14">
        <v>477.491097001051</v>
      </c>
      <c r="H1270" s="17">
        <v>0.15478416125349601</v>
      </c>
      <c r="I1270" t="s">
        <v>1611</v>
      </c>
      <c r="J1270" s="14">
        <v>1011.72246138759</v>
      </c>
      <c r="K1270" s="14">
        <f t="shared" si="152"/>
        <v>237585.12428426367</v>
      </c>
      <c r="L1270" s="14">
        <f t="shared" si="153"/>
        <v>245</v>
      </c>
      <c r="M1270" s="14" t="str">
        <f t="shared" si="154"/>
        <v>19-05-2025</v>
      </c>
      <c r="N1270" s="14">
        <f t="shared" si="155"/>
        <v>0.15725231701870354</v>
      </c>
      <c r="O1270" s="20">
        <f t="shared" si="156"/>
        <v>2.508594166679365</v>
      </c>
      <c r="P1270" s="14">
        <f t="shared" si="157"/>
        <v>458.59763920179307</v>
      </c>
      <c r="Q1270" s="14">
        <f t="shared" si="158"/>
        <v>372.96694478964366</v>
      </c>
      <c r="R1270" s="14" t="str">
        <f t="shared" si="159"/>
        <v>May</v>
      </c>
    </row>
    <row r="1271" spans="1:18" x14ac:dyDescent="0.3">
      <c r="A1271" t="s">
        <v>2879</v>
      </c>
      <c r="B1271" s="1">
        <v>45264</v>
      </c>
      <c r="C1271" t="s">
        <v>713</v>
      </c>
      <c r="D1271" t="s">
        <v>1391</v>
      </c>
      <c r="E1271" t="s">
        <v>1584</v>
      </c>
      <c r="F1271">
        <v>2.4994616978803199</v>
      </c>
      <c r="G1271" s="14">
        <v>477.43933410297097</v>
      </c>
      <c r="H1271" s="17">
        <v>0.154790923324086</v>
      </c>
      <c r="I1271" t="s">
        <v>1611</v>
      </c>
      <c r="J1271" s="14">
        <v>1011.61446492814</v>
      </c>
      <c r="K1271" s="14">
        <f t="shared" si="152"/>
        <v>237585.12428426367</v>
      </c>
      <c r="L1271" s="14">
        <f t="shared" si="153"/>
        <v>245</v>
      </c>
      <c r="M1271" s="14" t="str">
        <f t="shared" si="154"/>
        <v>04-12-2023</v>
      </c>
      <c r="N1271" s="14">
        <f t="shared" si="155"/>
        <v>0.15725569805399833</v>
      </c>
      <c r="O1271" s="20">
        <f t="shared" si="156"/>
        <v>2.5086067112793637</v>
      </c>
      <c r="P1271" s="14">
        <f t="shared" si="157"/>
        <v>458.571757752753</v>
      </c>
      <c r="Q1271" s="14">
        <f t="shared" si="158"/>
        <v>372.92701291307884</v>
      </c>
      <c r="R1271" s="14" t="str">
        <f t="shared" si="159"/>
        <v>Dec</v>
      </c>
    </row>
    <row r="1272" spans="1:18" x14ac:dyDescent="0.3">
      <c r="A1272" t="s">
        <v>2880</v>
      </c>
      <c r="B1272" s="1">
        <v>45504</v>
      </c>
      <c r="C1272" t="s">
        <v>181</v>
      </c>
      <c r="D1272" t="s">
        <v>1461</v>
      </c>
      <c r="E1272" t="s">
        <v>1546</v>
      </c>
      <c r="F1272">
        <v>2.4994867870803099</v>
      </c>
      <c r="G1272" s="14">
        <v>477.387571204891</v>
      </c>
      <c r="H1272" s="17">
        <v>0.15479768539467501</v>
      </c>
      <c r="I1272" t="s">
        <v>1609</v>
      </c>
      <c r="J1272" s="14">
        <v>1011.5064684686899</v>
      </c>
      <c r="K1272" s="14">
        <f t="shared" si="152"/>
        <v>237585.12428426367</v>
      </c>
      <c r="L1272" s="14">
        <f t="shared" si="153"/>
        <v>245</v>
      </c>
      <c r="M1272" s="14" t="str">
        <f t="shared" si="154"/>
        <v>31-07-2024</v>
      </c>
      <c r="N1272" s="14">
        <f t="shared" si="155"/>
        <v>0.15725907908929312</v>
      </c>
      <c r="O1272" s="20">
        <f t="shared" si="156"/>
        <v>2.5086192558793625</v>
      </c>
      <c r="P1272" s="14">
        <f t="shared" si="157"/>
        <v>458.54587630371293</v>
      </c>
      <c r="Q1272" s="14">
        <f t="shared" si="158"/>
        <v>372.88708103651396</v>
      </c>
      <c r="R1272" s="14" t="str">
        <f t="shared" si="159"/>
        <v>Jul</v>
      </c>
    </row>
    <row r="1273" spans="1:18" x14ac:dyDescent="0.3">
      <c r="A1273" t="s">
        <v>2881</v>
      </c>
      <c r="B1273" s="1">
        <v>45679</v>
      </c>
      <c r="C1273" t="s">
        <v>435</v>
      </c>
      <c r="D1273" t="s">
        <v>1493</v>
      </c>
      <c r="E1273" t="s">
        <v>1546</v>
      </c>
      <c r="F1273">
        <v>2.4995118762803101</v>
      </c>
      <c r="G1273" s="14">
        <v>477.33580830681097</v>
      </c>
      <c r="H1273" s="17">
        <v>0.154804447465265</v>
      </c>
      <c r="I1273" t="s">
        <v>1614</v>
      </c>
      <c r="J1273" s="14">
        <v>1011.39847200924</v>
      </c>
      <c r="K1273" s="14">
        <f t="shared" si="152"/>
        <v>236573.61781579498</v>
      </c>
      <c r="L1273" s="14">
        <f t="shared" si="153"/>
        <v>244</v>
      </c>
      <c r="M1273" s="14" t="str">
        <f t="shared" si="154"/>
        <v>22-01-2025</v>
      </c>
      <c r="N1273" s="14">
        <f t="shared" si="155"/>
        <v>0.15726246012458794</v>
      </c>
      <c r="O1273" s="20">
        <f t="shared" si="156"/>
        <v>2.5086318004793609</v>
      </c>
      <c r="P1273" s="14">
        <f t="shared" si="157"/>
        <v>458.51999485467286</v>
      </c>
      <c r="Q1273" s="14">
        <f t="shared" si="158"/>
        <v>372.84714915994914</v>
      </c>
      <c r="R1273" s="14" t="str">
        <f t="shared" si="159"/>
        <v>Jan</v>
      </c>
    </row>
    <row r="1274" spans="1:18" x14ac:dyDescent="0.3">
      <c r="A1274" t="s">
        <v>2882</v>
      </c>
      <c r="B1274" s="1">
        <v>45611</v>
      </c>
      <c r="C1274" t="s">
        <v>100</v>
      </c>
      <c r="D1274" t="s">
        <v>1493</v>
      </c>
      <c r="E1274" t="s">
        <v>1592</v>
      </c>
      <c r="F1274">
        <v>2.4995369654803099</v>
      </c>
      <c r="G1274" s="14">
        <v>477.284045408731</v>
      </c>
      <c r="H1274" s="17">
        <v>0.154811209535855</v>
      </c>
      <c r="I1274" t="s">
        <v>1611</v>
      </c>
      <c r="J1274" s="14">
        <v>1011.29047554979</v>
      </c>
      <c r="K1274" s="14">
        <f t="shared" si="152"/>
        <v>236573.61781579498</v>
      </c>
      <c r="L1274" s="14">
        <f t="shared" si="153"/>
        <v>244</v>
      </c>
      <c r="M1274" s="14" t="str">
        <f t="shared" si="154"/>
        <v>15-11-2024</v>
      </c>
      <c r="N1274" s="14">
        <f t="shared" si="155"/>
        <v>0.15726584115988274</v>
      </c>
      <c r="O1274" s="20">
        <f t="shared" si="156"/>
        <v>2.5086443450793596</v>
      </c>
      <c r="P1274" s="14">
        <f t="shared" si="157"/>
        <v>458.49411340563279</v>
      </c>
      <c r="Q1274" s="14">
        <f t="shared" si="158"/>
        <v>372.80721728338432</v>
      </c>
      <c r="R1274" s="14" t="str">
        <f t="shared" si="159"/>
        <v>Nov</v>
      </c>
    </row>
    <row r="1275" spans="1:18" x14ac:dyDescent="0.3">
      <c r="A1275" t="s">
        <v>2883</v>
      </c>
      <c r="B1275" s="1">
        <v>45389</v>
      </c>
      <c r="C1275" t="s">
        <v>960</v>
      </c>
      <c r="D1275" t="s">
        <v>1433</v>
      </c>
      <c r="E1275" t="s">
        <v>1546</v>
      </c>
      <c r="F1275">
        <v>2.4995620546803101</v>
      </c>
      <c r="G1275" s="14">
        <v>477.23228251065001</v>
      </c>
      <c r="H1275" s="17">
        <v>0.154817971606444</v>
      </c>
      <c r="I1275" t="s">
        <v>1611</v>
      </c>
      <c r="J1275" s="14">
        <v>1011.1824790903401</v>
      </c>
      <c r="K1275" s="14">
        <f t="shared" si="152"/>
        <v>236573.61781579498</v>
      </c>
      <c r="L1275" s="14">
        <f t="shared" si="153"/>
        <v>244</v>
      </c>
      <c r="M1275" s="14" t="str">
        <f t="shared" si="154"/>
        <v>07-04-2024</v>
      </c>
      <c r="N1275" s="14">
        <f t="shared" si="155"/>
        <v>0.15726922219517755</v>
      </c>
      <c r="O1275" s="20">
        <f t="shared" si="156"/>
        <v>2.5086568896793584</v>
      </c>
      <c r="P1275" s="14">
        <f t="shared" si="157"/>
        <v>458.46823195659266</v>
      </c>
      <c r="Q1275" s="14">
        <f t="shared" si="158"/>
        <v>372.76728540681921</v>
      </c>
      <c r="R1275" s="14" t="str">
        <f t="shared" si="159"/>
        <v>Apr</v>
      </c>
    </row>
    <row r="1276" spans="1:18" x14ac:dyDescent="0.3">
      <c r="A1276" t="s">
        <v>2884</v>
      </c>
      <c r="B1276" s="1">
        <v>45339</v>
      </c>
      <c r="C1276" t="s">
        <v>411</v>
      </c>
      <c r="D1276" t="s">
        <v>1455</v>
      </c>
      <c r="E1276" t="s">
        <v>1589</v>
      </c>
      <c r="F1276">
        <v>2.4995871438803001</v>
      </c>
      <c r="G1276" s="14">
        <v>477.18051961256998</v>
      </c>
      <c r="H1276" s="17">
        <v>0.154824733677034</v>
      </c>
      <c r="I1276" t="s">
        <v>1614</v>
      </c>
      <c r="J1276" s="14">
        <v>1011.07448263088</v>
      </c>
      <c r="K1276" s="14">
        <f t="shared" si="152"/>
        <v>236573.61781579498</v>
      </c>
      <c r="L1276" s="14">
        <f t="shared" si="153"/>
        <v>244</v>
      </c>
      <c r="M1276" s="14" t="str">
        <f t="shared" si="154"/>
        <v>17-02-2024</v>
      </c>
      <c r="N1276" s="14">
        <f t="shared" si="155"/>
        <v>0.15727260323047235</v>
      </c>
      <c r="O1276" s="20">
        <f t="shared" si="156"/>
        <v>2.5086694342793572</v>
      </c>
      <c r="P1276" s="14">
        <f t="shared" si="157"/>
        <v>458.44235050755265</v>
      </c>
      <c r="Q1276" s="14">
        <f t="shared" si="158"/>
        <v>372.72735353025183</v>
      </c>
      <c r="R1276" s="14" t="str">
        <f t="shared" si="159"/>
        <v>Feb</v>
      </c>
    </row>
    <row r="1277" spans="1:18" x14ac:dyDescent="0.3">
      <c r="A1277" t="s">
        <v>2885</v>
      </c>
      <c r="B1277" s="1">
        <v>45433</v>
      </c>
      <c r="C1277" t="s">
        <v>405</v>
      </c>
      <c r="D1277" t="s">
        <v>1487</v>
      </c>
      <c r="E1277" t="s">
        <v>1551</v>
      </c>
      <c r="F1277">
        <v>2.4996122330802999</v>
      </c>
      <c r="G1277" s="14">
        <v>477.12875671449001</v>
      </c>
      <c r="H1277" s="17">
        <v>0.154831495747623</v>
      </c>
      <c r="I1277" t="s">
        <v>1609</v>
      </c>
      <c r="J1277" s="14">
        <v>1010.96648617143</v>
      </c>
      <c r="K1277" s="14">
        <f t="shared" si="152"/>
        <v>236573.61781579498</v>
      </c>
      <c r="L1277" s="14">
        <f t="shared" si="153"/>
        <v>244</v>
      </c>
      <c r="M1277" s="14" t="str">
        <f t="shared" si="154"/>
        <v>21-05-2024</v>
      </c>
      <c r="N1277" s="14">
        <f t="shared" si="155"/>
        <v>0.15727598426576717</v>
      </c>
      <c r="O1277" s="20">
        <f t="shared" si="156"/>
        <v>2.508681978879356</v>
      </c>
      <c r="P1277" s="14">
        <f t="shared" si="157"/>
        <v>458.41646905851246</v>
      </c>
      <c r="Q1277" s="14">
        <f t="shared" si="158"/>
        <v>372.68742165368701</v>
      </c>
      <c r="R1277" s="14" t="str">
        <f t="shared" si="159"/>
        <v>May</v>
      </c>
    </row>
    <row r="1278" spans="1:18" x14ac:dyDescent="0.3">
      <c r="A1278" t="s">
        <v>2886</v>
      </c>
      <c r="B1278" s="1">
        <v>45435</v>
      </c>
      <c r="C1278" t="s">
        <v>836</v>
      </c>
      <c r="D1278" t="s">
        <v>1441</v>
      </c>
      <c r="E1278" t="s">
        <v>1574</v>
      </c>
      <c r="F1278">
        <v>2.4996373222803001</v>
      </c>
      <c r="G1278" s="14">
        <v>477.07699381640998</v>
      </c>
      <c r="H1278" s="17">
        <v>0.154838257818213</v>
      </c>
      <c r="I1278" t="s">
        <v>1611</v>
      </c>
      <c r="J1278" s="14">
        <v>1010.85848971198</v>
      </c>
      <c r="K1278" s="14">
        <f t="shared" si="152"/>
        <v>235562.65132962351</v>
      </c>
      <c r="L1278" s="14">
        <f t="shared" si="153"/>
        <v>243</v>
      </c>
      <c r="M1278" s="14" t="str">
        <f t="shared" si="154"/>
        <v>23-05-2024</v>
      </c>
      <c r="N1278" s="14">
        <f t="shared" si="155"/>
        <v>0.15727936530106196</v>
      </c>
      <c r="O1278" s="20">
        <f t="shared" si="156"/>
        <v>2.5086945234793547</v>
      </c>
      <c r="P1278" s="14">
        <f t="shared" si="157"/>
        <v>458.3905876094725</v>
      </c>
      <c r="Q1278" s="14">
        <f t="shared" si="158"/>
        <v>372.64748977712213</v>
      </c>
      <c r="R1278" s="14" t="str">
        <f t="shared" si="159"/>
        <v>May</v>
      </c>
    </row>
    <row r="1279" spans="1:18" x14ac:dyDescent="0.3">
      <c r="A1279" t="s">
        <v>2887</v>
      </c>
      <c r="B1279" s="1">
        <v>45823</v>
      </c>
      <c r="C1279" t="s">
        <v>1086</v>
      </c>
      <c r="D1279" t="s">
        <v>1421</v>
      </c>
      <c r="E1279" t="s">
        <v>1595</v>
      </c>
      <c r="F1279">
        <v>2.4996624114802999</v>
      </c>
      <c r="G1279" s="14">
        <v>477.02523091833001</v>
      </c>
      <c r="H1279" s="17">
        <v>0.154845019888803</v>
      </c>
      <c r="I1279" t="s">
        <v>1614</v>
      </c>
      <c r="J1279" s="14">
        <v>1010.75049325253</v>
      </c>
      <c r="K1279" s="14">
        <f t="shared" si="152"/>
        <v>235562.65132962351</v>
      </c>
      <c r="L1279" s="14">
        <f t="shared" si="153"/>
        <v>243</v>
      </c>
      <c r="M1279" s="14" t="str">
        <f t="shared" si="154"/>
        <v>15-06-2025</v>
      </c>
      <c r="N1279" s="14">
        <f t="shared" si="155"/>
        <v>0.15728274633635678</v>
      </c>
      <c r="O1279" s="20">
        <f t="shared" si="156"/>
        <v>2.5087070680793535</v>
      </c>
      <c r="P1279" s="14">
        <f t="shared" si="157"/>
        <v>458.36470616043243</v>
      </c>
      <c r="Q1279" s="14">
        <f t="shared" si="158"/>
        <v>372.60755790055725</v>
      </c>
      <c r="R1279" s="14" t="str">
        <f t="shared" si="159"/>
        <v>Jun</v>
      </c>
    </row>
    <row r="1280" spans="1:18" x14ac:dyDescent="0.3">
      <c r="A1280" t="s">
        <v>2888</v>
      </c>
      <c r="B1280" s="1">
        <v>45663</v>
      </c>
      <c r="C1280" t="s">
        <v>318</v>
      </c>
      <c r="D1280" t="s">
        <v>1334</v>
      </c>
      <c r="E1280" t="s">
        <v>1554</v>
      </c>
      <c r="F1280">
        <v>2.4996875006802899</v>
      </c>
      <c r="G1280" s="14">
        <v>476.97346802024998</v>
      </c>
      <c r="H1280" s="17">
        <v>0.154851781959392</v>
      </c>
      <c r="I1280" t="s">
        <v>1609</v>
      </c>
      <c r="J1280" s="14">
        <v>1010.64249679308</v>
      </c>
      <c r="K1280" s="14">
        <f t="shared" si="152"/>
        <v>235562.65132962351</v>
      </c>
      <c r="L1280" s="14">
        <f t="shared" si="153"/>
        <v>243</v>
      </c>
      <c r="M1280" s="14" t="str">
        <f t="shared" si="154"/>
        <v>06-01-2025</v>
      </c>
      <c r="N1280" s="14">
        <f t="shared" si="155"/>
        <v>0.1572861273716516</v>
      </c>
      <c r="O1280" s="20">
        <f t="shared" si="156"/>
        <v>2.5087196126793523</v>
      </c>
      <c r="P1280" s="14">
        <f t="shared" si="157"/>
        <v>458.33882471139236</v>
      </c>
      <c r="Q1280" s="14">
        <f t="shared" si="158"/>
        <v>372.56762602399243</v>
      </c>
      <c r="R1280" s="14" t="str">
        <f t="shared" si="159"/>
        <v>Jan</v>
      </c>
    </row>
    <row r="1281" spans="1:18" x14ac:dyDescent="0.3">
      <c r="A1281" t="s">
        <v>2889</v>
      </c>
      <c r="B1281" s="1">
        <v>45879</v>
      </c>
      <c r="C1281" t="s">
        <v>1121</v>
      </c>
      <c r="D1281" t="s">
        <v>1443</v>
      </c>
      <c r="E1281" t="s">
        <v>1598</v>
      </c>
      <c r="F1281">
        <v>2.4997125898802901</v>
      </c>
      <c r="G1281" s="14">
        <v>476.92170512216899</v>
      </c>
      <c r="H1281" s="17">
        <v>0.154858544029982</v>
      </c>
      <c r="I1281" t="s">
        <v>1611</v>
      </c>
      <c r="J1281" s="14">
        <v>1010.53450033362</v>
      </c>
      <c r="K1281" s="14">
        <f t="shared" si="152"/>
        <v>234552.00883283044</v>
      </c>
      <c r="L1281" s="14">
        <f t="shared" si="153"/>
        <v>242</v>
      </c>
      <c r="M1281" s="14" t="str">
        <f t="shared" si="154"/>
        <v>10-08-2025</v>
      </c>
      <c r="N1281" s="14">
        <f t="shared" si="155"/>
        <v>0.15728950840694639</v>
      </c>
      <c r="O1281" s="20">
        <f t="shared" si="156"/>
        <v>2.5087321572793506</v>
      </c>
      <c r="P1281" s="14">
        <f t="shared" si="157"/>
        <v>458.31294326235229</v>
      </c>
      <c r="Q1281" s="14">
        <f t="shared" si="158"/>
        <v>372.52769414742482</v>
      </c>
      <c r="R1281" s="14" t="str">
        <f t="shared" si="159"/>
        <v>Aug</v>
      </c>
    </row>
    <row r="1282" spans="1:18" x14ac:dyDescent="0.3">
      <c r="A1282" t="s">
        <v>2890</v>
      </c>
      <c r="B1282" s="1">
        <v>45840</v>
      </c>
      <c r="C1282" t="s">
        <v>1044</v>
      </c>
      <c r="D1282" t="s">
        <v>1397</v>
      </c>
      <c r="E1282" t="s">
        <v>1554</v>
      </c>
      <c r="F1282">
        <v>2.4997376790802899</v>
      </c>
      <c r="G1282" s="14">
        <v>476.86994222408902</v>
      </c>
      <c r="H1282" s="17">
        <v>0.154865306100571</v>
      </c>
      <c r="I1282" t="s">
        <v>1609</v>
      </c>
      <c r="J1282" s="14">
        <v>1010.42650387417</v>
      </c>
      <c r="K1282" s="14">
        <f t="shared" ref="K1282:K1345" si="160">SUMIF(I1282:I3281,"Credit Card",J1282:J3281)</f>
        <v>234552.00883283044</v>
      </c>
      <c r="L1282" s="14">
        <f t="shared" ref="L1282:L1345" si="161">COUNTIF(I1282:I3281,"Credit Card")</f>
        <v>242</v>
      </c>
      <c r="M1282" s="14" t="str">
        <f t="shared" ref="M1282:M1345" si="162">TEXT(B1282:B3281,"dd-mm-yyyy")</f>
        <v>02-07-2025</v>
      </c>
      <c r="N1282" s="14">
        <f t="shared" ref="N1282:N1345" si="163">AVERAGE(H1282:H3281)</f>
        <v>0.15729288944224118</v>
      </c>
      <c r="O1282" s="20">
        <f t="shared" ref="O1282:O1345" si="164">AVERAGE(F1282:F3281)</f>
        <v>2.5087447018793494</v>
      </c>
      <c r="P1282" s="14">
        <f t="shared" ref="P1282:P1345" si="165">AVERAGE(G1282:G3281)</f>
        <v>458.28706181331222</v>
      </c>
      <c r="Q1282" s="14">
        <f t="shared" ref="Q1282:Q1345" si="166">AVERAGE(F1282,G1282,H1282,J1282)</f>
        <v>372.48776227085995</v>
      </c>
      <c r="R1282" s="14" t="str">
        <f t="shared" ref="R1282:R1345" si="167">TEXT(M1282,"mmm")</f>
        <v>Jul</v>
      </c>
    </row>
    <row r="1283" spans="1:18" x14ac:dyDescent="0.3">
      <c r="A1283" t="s">
        <v>2891</v>
      </c>
      <c r="B1283" s="1">
        <v>45380</v>
      </c>
      <c r="C1283" t="s">
        <v>939</v>
      </c>
      <c r="D1283" t="s">
        <v>1471</v>
      </c>
      <c r="E1283" t="s">
        <v>1546</v>
      </c>
      <c r="F1283">
        <v>2.4997627682802901</v>
      </c>
      <c r="G1283" s="14">
        <v>476.81817932600899</v>
      </c>
      <c r="H1283" s="17">
        <v>0.154872068171161</v>
      </c>
      <c r="I1283" t="s">
        <v>1609</v>
      </c>
      <c r="J1283" s="14">
        <v>1010.31850741472</v>
      </c>
      <c r="K1283" s="14">
        <f t="shared" si="160"/>
        <v>233541.58232895625</v>
      </c>
      <c r="L1283" s="14">
        <f t="shared" si="161"/>
        <v>241</v>
      </c>
      <c r="M1283" s="14" t="str">
        <f t="shared" si="162"/>
        <v>29-03-2024</v>
      </c>
      <c r="N1283" s="14">
        <f t="shared" si="163"/>
        <v>0.157296270477536</v>
      </c>
      <c r="O1283" s="20">
        <f t="shared" si="164"/>
        <v>2.5087572464793482</v>
      </c>
      <c r="P1283" s="14">
        <f t="shared" si="165"/>
        <v>458.26118036427209</v>
      </c>
      <c r="Q1283" s="14">
        <f t="shared" si="166"/>
        <v>372.44783039429512</v>
      </c>
      <c r="R1283" s="14" t="str">
        <f t="shared" si="167"/>
        <v>Mar</v>
      </c>
    </row>
    <row r="1284" spans="1:18" x14ac:dyDescent="0.3">
      <c r="A1284" t="s">
        <v>2892</v>
      </c>
      <c r="B1284" s="1">
        <v>45672</v>
      </c>
      <c r="C1284" t="s">
        <v>341</v>
      </c>
      <c r="D1284" t="s">
        <v>1493</v>
      </c>
      <c r="E1284" t="s">
        <v>1558</v>
      </c>
      <c r="F1284">
        <v>2.4997878574802801</v>
      </c>
      <c r="G1284" s="14">
        <v>476.76641642792902</v>
      </c>
      <c r="H1284" s="17">
        <v>0.154878830241751</v>
      </c>
      <c r="I1284" t="s">
        <v>1609</v>
      </c>
      <c r="J1284" s="14">
        <v>1010.21051095527</v>
      </c>
      <c r="K1284" s="14">
        <f t="shared" si="160"/>
        <v>232531.26382154154</v>
      </c>
      <c r="L1284" s="14">
        <f t="shared" si="161"/>
        <v>240</v>
      </c>
      <c r="M1284" s="14" t="str">
        <f t="shared" si="162"/>
        <v>15-01-2025</v>
      </c>
      <c r="N1284" s="14">
        <f t="shared" si="163"/>
        <v>0.15729965151283082</v>
      </c>
      <c r="O1284" s="20">
        <f t="shared" si="164"/>
        <v>2.5087697910793469</v>
      </c>
      <c r="P1284" s="14">
        <f t="shared" si="165"/>
        <v>458.23529891523202</v>
      </c>
      <c r="Q1284" s="14">
        <f t="shared" si="166"/>
        <v>372.40789851773025</v>
      </c>
      <c r="R1284" s="14" t="str">
        <f t="shared" si="167"/>
        <v>Jan</v>
      </c>
    </row>
    <row r="1285" spans="1:18" x14ac:dyDescent="0.3">
      <c r="A1285" t="s">
        <v>2893</v>
      </c>
      <c r="B1285" s="1">
        <v>45497</v>
      </c>
      <c r="C1285" t="s">
        <v>1259</v>
      </c>
      <c r="D1285" t="s">
        <v>1459</v>
      </c>
      <c r="E1285" t="s">
        <v>1579</v>
      </c>
      <c r="F1285">
        <v>2.4998129466802799</v>
      </c>
      <c r="G1285" s="14">
        <v>476.71465352984899</v>
      </c>
      <c r="H1285" s="17">
        <v>0.15488559231234</v>
      </c>
      <c r="I1285" t="s">
        <v>1611</v>
      </c>
      <c r="J1285" s="14">
        <v>1010.1025144958199</v>
      </c>
      <c r="K1285" s="14">
        <f t="shared" si="160"/>
        <v>231521.05331058629</v>
      </c>
      <c r="L1285" s="14">
        <f t="shared" si="161"/>
        <v>239</v>
      </c>
      <c r="M1285" s="14" t="str">
        <f t="shared" si="162"/>
        <v>24-07-2024</v>
      </c>
      <c r="N1285" s="14">
        <f t="shared" si="163"/>
        <v>0.15730303254812561</v>
      </c>
      <c r="O1285" s="20">
        <f t="shared" si="164"/>
        <v>2.5087823356793457</v>
      </c>
      <c r="P1285" s="14">
        <f t="shared" si="165"/>
        <v>458.20941746619195</v>
      </c>
      <c r="Q1285" s="14">
        <f t="shared" si="166"/>
        <v>372.36796664116537</v>
      </c>
      <c r="R1285" s="14" t="str">
        <f t="shared" si="167"/>
        <v>Jul</v>
      </c>
    </row>
    <row r="1286" spans="1:18" x14ac:dyDescent="0.3">
      <c r="A1286" t="s">
        <v>2894</v>
      </c>
      <c r="B1286" s="1">
        <v>45407</v>
      </c>
      <c r="C1286" t="s">
        <v>752</v>
      </c>
      <c r="D1286" t="s">
        <v>1529</v>
      </c>
      <c r="E1286" t="s">
        <v>1564</v>
      </c>
      <c r="F1286">
        <v>2.4998380358802801</v>
      </c>
      <c r="G1286" s="14">
        <v>476.66289063176902</v>
      </c>
      <c r="H1286" s="17">
        <v>0.15489235438293</v>
      </c>
      <c r="I1286" t="s">
        <v>1611</v>
      </c>
      <c r="J1286" s="14">
        <v>1009.99451803637</v>
      </c>
      <c r="K1286" s="14">
        <f t="shared" si="160"/>
        <v>231521.05331058629</v>
      </c>
      <c r="L1286" s="14">
        <f t="shared" si="161"/>
        <v>239</v>
      </c>
      <c r="M1286" s="14" t="str">
        <f t="shared" si="162"/>
        <v>25-04-2024</v>
      </c>
      <c r="N1286" s="14">
        <f t="shared" si="163"/>
        <v>0.1573064135834204</v>
      </c>
      <c r="O1286" s="20">
        <f t="shared" si="164"/>
        <v>2.5087948802793441</v>
      </c>
      <c r="P1286" s="14">
        <f t="shared" si="165"/>
        <v>458.18353601715182</v>
      </c>
      <c r="Q1286" s="14">
        <f t="shared" si="166"/>
        <v>372.32803476460055</v>
      </c>
      <c r="R1286" s="14" t="str">
        <f t="shared" si="167"/>
        <v>Apr</v>
      </c>
    </row>
    <row r="1287" spans="1:18" x14ac:dyDescent="0.3">
      <c r="A1287" t="s">
        <v>2895</v>
      </c>
      <c r="B1287" s="1">
        <v>45764</v>
      </c>
      <c r="C1287" t="s">
        <v>63</v>
      </c>
      <c r="D1287" t="s">
        <v>1407</v>
      </c>
      <c r="E1287" t="s">
        <v>1551</v>
      </c>
      <c r="F1287">
        <v>2.4998631250802701</v>
      </c>
      <c r="G1287" s="14">
        <v>476.61112773368802</v>
      </c>
      <c r="H1287" s="17">
        <v>0.154899116453519</v>
      </c>
      <c r="I1287" t="s">
        <v>1609</v>
      </c>
      <c r="J1287" s="14">
        <v>1009.88652157691</v>
      </c>
      <c r="K1287" s="14">
        <f t="shared" si="160"/>
        <v>231521.05331058629</v>
      </c>
      <c r="L1287" s="14">
        <f t="shared" si="161"/>
        <v>239</v>
      </c>
      <c r="M1287" s="14" t="str">
        <f t="shared" si="162"/>
        <v>17-04-2025</v>
      </c>
      <c r="N1287" s="14">
        <f t="shared" si="163"/>
        <v>0.15730979461871525</v>
      </c>
      <c r="O1287" s="20">
        <f t="shared" si="164"/>
        <v>2.5088074248793428</v>
      </c>
      <c r="P1287" s="14">
        <f t="shared" si="165"/>
        <v>458.15765456811175</v>
      </c>
      <c r="Q1287" s="14">
        <f t="shared" si="166"/>
        <v>372.28810288803294</v>
      </c>
      <c r="R1287" s="14" t="str">
        <f t="shared" si="167"/>
        <v>Apr</v>
      </c>
    </row>
    <row r="1288" spans="1:18" x14ac:dyDescent="0.3">
      <c r="A1288" t="s">
        <v>2896</v>
      </c>
      <c r="B1288" s="1">
        <v>45924</v>
      </c>
      <c r="C1288" t="s">
        <v>616</v>
      </c>
      <c r="D1288" t="s">
        <v>1359</v>
      </c>
      <c r="E1288" t="s">
        <v>1542</v>
      </c>
      <c r="F1288">
        <v>2.4998882142802699</v>
      </c>
      <c r="G1288" s="14">
        <v>476.55936483560799</v>
      </c>
      <c r="H1288" s="17">
        <v>0.154905878524109</v>
      </c>
      <c r="I1288" t="s">
        <v>1611</v>
      </c>
      <c r="J1288" s="14">
        <v>1009.77852511746</v>
      </c>
      <c r="K1288" s="14">
        <f t="shared" si="160"/>
        <v>230511.16678900938</v>
      </c>
      <c r="L1288" s="14">
        <f t="shared" si="161"/>
        <v>238</v>
      </c>
      <c r="M1288" s="14" t="str">
        <f t="shared" si="162"/>
        <v>24-09-2025</v>
      </c>
      <c r="N1288" s="14">
        <f t="shared" si="163"/>
        <v>0.15731317565401004</v>
      </c>
      <c r="O1288" s="20">
        <f t="shared" si="164"/>
        <v>2.508819969479342</v>
      </c>
      <c r="P1288" s="14">
        <f t="shared" si="165"/>
        <v>458.13177311907174</v>
      </c>
      <c r="Q1288" s="14">
        <f t="shared" si="166"/>
        <v>372.24817101146812</v>
      </c>
      <c r="R1288" s="14" t="str">
        <f t="shared" si="167"/>
        <v>Sep</v>
      </c>
    </row>
    <row r="1289" spans="1:18" x14ac:dyDescent="0.3">
      <c r="A1289" t="s">
        <v>2897</v>
      </c>
      <c r="B1289" s="1">
        <v>45240</v>
      </c>
      <c r="C1289" t="s">
        <v>1050</v>
      </c>
      <c r="D1289" t="s">
        <v>1435</v>
      </c>
      <c r="E1289" t="s">
        <v>1589</v>
      </c>
      <c r="F1289">
        <v>2.4999133034802701</v>
      </c>
      <c r="G1289" s="14">
        <v>476.50760193752802</v>
      </c>
      <c r="H1289" s="17">
        <v>0.154912640594699</v>
      </c>
      <c r="I1289" t="s">
        <v>1609</v>
      </c>
      <c r="J1289" s="14">
        <v>1009.67052865801</v>
      </c>
      <c r="K1289" s="14">
        <f t="shared" si="160"/>
        <v>230511.16678900938</v>
      </c>
      <c r="L1289" s="14">
        <f t="shared" si="161"/>
        <v>238</v>
      </c>
      <c r="M1289" s="14" t="str">
        <f t="shared" si="162"/>
        <v>10-11-2023</v>
      </c>
      <c r="N1289" s="14">
        <f t="shared" si="163"/>
        <v>0.15731655668930483</v>
      </c>
      <c r="O1289" s="20">
        <f t="shared" si="164"/>
        <v>2.5088325140793404</v>
      </c>
      <c r="P1289" s="14">
        <f t="shared" si="165"/>
        <v>458.10589167003161</v>
      </c>
      <c r="Q1289" s="14">
        <f t="shared" si="166"/>
        <v>372.20823913490324</v>
      </c>
      <c r="R1289" s="14" t="str">
        <f t="shared" si="167"/>
        <v>Nov</v>
      </c>
    </row>
    <row r="1290" spans="1:18" x14ac:dyDescent="0.3">
      <c r="A1290" t="s">
        <v>2898</v>
      </c>
      <c r="B1290" s="1">
        <v>45349</v>
      </c>
      <c r="C1290" t="s">
        <v>1259</v>
      </c>
      <c r="D1290" t="s">
        <v>1487</v>
      </c>
      <c r="E1290" t="s">
        <v>1561</v>
      </c>
      <c r="F1290">
        <v>2.4999383926802698</v>
      </c>
      <c r="G1290" s="14">
        <v>476.45583903944799</v>
      </c>
      <c r="H1290" s="17">
        <v>0.154919402665288</v>
      </c>
      <c r="I1290" t="s">
        <v>1614</v>
      </c>
      <c r="J1290" s="14">
        <v>1009.56253219856</v>
      </c>
      <c r="K1290" s="14">
        <f t="shared" si="160"/>
        <v>229501.49626035136</v>
      </c>
      <c r="L1290" s="14">
        <f t="shared" si="161"/>
        <v>237</v>
      </c>
      <c r="M1290" s="14" t="str">
        <f t="shared" si="162"/>
        <v>27-02-2024</v>
      </c>
      <c r="N1290" s="14">
        <f t="shared" si="163"/>
        <v>0.15731993772459965</v>
      </c>
      <c r="O1290" s="20">
        <f t="shared" si="164"/>
        <v>2.5088450586793392</v>
      </c>
      <c r="P1290" s="14">
        <f t="shared" si="165"/>
        <v>458.08001022099148</v>
      </c>
      <c r="Q1290" s="14">
        <f t="shared" si="166"/>
        <v>372.16830725833842</v>
      </c>
      <c r="R1290" s="14" t="str">
        <f t="shared" si="167"/>
        <v>Feb</v>
      </c>
    </row>
    <row r="1291" spans="1:18" x14ac:dyDescent="0.3">
      <c r="A1291" t="s">
        <v>2899</v>
      </c>
      <c r="B1291" s="1">
        <v>45756</v>
      </c>
      <c r="C1291" t="s">
        <v>1014</v>
      </c>
      <c r="D1291" t="s">
        <v>1342</v>
      </c>
      <c r="E1291" t="s">
        <v>1537</v>
      </c>
      <c r="F1291">
        <v>2.4999634818802599</v>
      </c>
      <c r="G1291" s="14">
        <v>476.40407614136802</v>
      </c>
      <c r="H1291" s="17">
        <v>0.154926164735878</v>
      </c>
      <c r="I1291" t="s">
        <v>1609</v>
      </c>
      <c r="J1291" s="14">
        <v>1009.45453573911</v>
      </c>
      <c r="K1291" s="14">
        <f t="shared" si="160"/>
        <v>229501.49626035136</v>
      </c>
      <c r="L1291" s="14">
        <f t="shared" si="161"/>
        <v>237</v>
      </c>
      <c r="M1291" s="14" t="str">
        <f t="shared" si="162"/>
        <v>09-04-2025</v>
      </c>
      <c r="N1291" s="14">
        <f t="shared" si="163"/>
        <v>0.15732331875989447</v>
      </c>
      <c r="O1291" s="20">
        <f t="shared" si="164"/>
        <v>2.5088576032793379</v>
      </c>
      <c r="P1291" s="14">
        <f t="shared" si="165"/>
        <v>458.05412877195147</v>
      </c>
      <c r="Q1291" s="14">
        <f t="shared" si="166"/>
        <v>372.12837538177354</v>
      </c>
      <c r="R1291" s="14" t="str">
        <f t="shared" si="167"/>
        <v>Apr</v>
      </c>
    </row>
    <row r="1292" spans="1:18" x14ac:dyDescent="0.3">
      <c r="A1292" t="s">
        <v>2900</v>
      </c>
      <c r="B1292" s="1">
        <v>45478</v>
      </c>
      <c r="C1292" t="s">
        <v>803</v>
      </c>
      <c r="D1292" t="s">
        <v>1350</v>
      </c>
      <c r="E1292" t="s">
        <v>1571</v>
      </c>
      <c r="F1292">
        <v>2.4999885710802601</v>
      </c>
      <c r="G1292" s="14">
        <v>476.35231324328799</v>
      </c>
      <c r="H1292" s="17">
        <v>0.154932926806468</v>
      </c>
      <c r="I1292" t="s">
        <v>1614</v>
      </c>
      <c r="J1292" s="14">
        <v>1009.34653927966</v>
      </c>
      <c r="K1292" s="14">
        <f t="shared" si="160"/>
        <v>228492.04172461227</v>
      </c>
      <c r="L1292" s="14">
        <f t="shared" si="161"/>
        <v>236</v>
      </c>
      <c r="M1292" s="14" t="str">
        <f t="shared" si="162"/>
        <v>05-07-2024</v>
      </c>
      <c r="N1292" s="14">
        <f t="shared" si="163"/>
        <v>0.15732669979518923</v>
      </c>
      <c r="O1292" s="20">
        <f t="shared" si="164"/>
        <v>2.5088701478793367</v>
      </c>
      <c r="P1292" s="14">
        <f t="shared" si="165"/>
        <v>458.0282473229114</v>
      </c>
      <c r="Q1292" s="14">
        <f t="shared" si="166"/>
        <v>372.08844350520866</v>
      </c>
      <c r="R1292" s="14" t="str">
        <f t="shared" si="167"/>
        <v>Jul</v>
      </c>
    </row>
    <row r="1293" spans="1:18" x14ac:dyDescent="0.3">
      <c r="A1293" t="s">
        <v>2901</v>
      </c>
      <c r="B1293" s="1">
        <v>45890</v>
      </c>
      <c r="C1293" t="s">
        <v>821</v>
      </c>
      <c r="D1293" t="s">
        <v>1469</v>
      </c>
      <c r="E1293" t="s">
        <v>1571</v>
      </c>
      <c r="F1293">
        <v>2.5000136602802598</v>
      </c>
      <c r="G1293" s="14">
        <v>476.30055034520802</v>
      </c>
      <c r="H1293" s="17">
        <v>0.154939688877057</v>
      </c>
      <c r="I1293" t="s">
        <v>1614</v>
      </c>
      <c r="J1293" s="14">
        <v>1009.2385428202</v>
      </c>
      <c r="K1293" s="14">
        <f t="shared" si="160"/>
        <v>228492.04172461227</v>
      </c>
      <c r="L1293" s="14">
        <f t="shared" si="161"/>
        <v>236</v>
      </c>
      <c r="M1293" s="14" t="str">
        <f t="shared" si="162"/>
        <v>21-08-2025</v>
      </c>
      <c r="N1293" s="14">
        <f t="shared" si="163"/>
        <v>0.15733008083048405</v>
      </c>
      <c r="O1293" s="20">
        <f t="shared" si="164"/>
        <v>2.508882692479335</v>
      </c>
      <c r="P1293" s="14">
        <f t="shared" si="165"/>
        <v>458.00236587387127</v>
      </c>
      <c r="Q1293" s="14">
        <f t="shared" si="166"/>
        <v>372.04851162864134</v>
      </c>
      <c r="R1293" s="14" t="str">
        <f t="shared" si="167"/>
        <v>Aug</v>
      </c>
    </row>
    <row r="1294" spans="1:18" x14ac:dyDescent="0.3">
      <c r="A1294" t="s">
        <v>2902</v>
      </c>
      <c r="B1294" s="1">
        <v>45815</v>
      </c>
      <c r="C1294" t="s">
        <v>455</v>
      </c>
      <c r="D1294" t="s">
        <v>1405</v>
      </c>
      <c r="E1294" t="s">
        <v>1554</v>
      </c>
      <c r="F1294">
        <v>2.5000387494802601</v>
      </c>
      <c r="G1294" s="14">
        <v>476.24878744712697</v>
      </c>
      <c r="H1294" s="17">
        <v>0.154946450947647</v>
      </c>
      <c r="I1294" t="s">
        <v>1609</v>
      </c>
      <c r="J1294" s="14">
        <v>1009.13054636075</v>
      </c>
      <c r="K1294" s="14">
        <f t="shared" si="160"/>
        <v>228492.04172461227</v>
      </c>
      <c r="L1294" s="14">
        <f t="shared" si="161"/>
        <v>236</v>
      </c>
      <c r="M1294" s="14" t="str">
        <f t="shared" si="162"/>
        <v>07-06-2025</v>
      </c>
      <c r="N1294" s="14">
        <f t="shared" si="163"/>
        <v>0.15733346186577887</v>
      </c>
      <c r="O1294" s="20">
        <f t="shared" si="164"/>
        <v>2.5088952370793338</v>
      </c>
      <c r="P1294" s="14">
        <f t="shared" si="165"/>
        <v>457.9764844248312</v>
      </c>
      <c r="Q1294" s="14">
        <f t="shared" si="166"/>
        <v>372.00857975207623</v>
      </c>
      <c r="R1294" s="14" t="str">
        <f t="shared" si="167"/>
        <v>Jun</v>
      </c>
    </row>
    <row r="1295" spans="1:18" x14ac:dyDescent="0.3">
      <c r="A1295" t="s">
        <v>2903</v>
      </c>
      <c r="B1295" s="1">
        <v>45891</v>
      </c>
      <c r="C1295" t="s">
        <v>307</v>
      </c>
      <c r="D1295" t="s">
        <v>1395</v>
      </c>
      <c r="E1295" t="s">
        <v>1598</v>
      </c>
      <c r="F1295">
        <v>2.5000638386802501</v>
      </c>
      <c r="G1295" s="14">
        <v>476.197024549047</v>
      </c>
      <c r="H1295" s="17">
        <v>0.154953213018236</v>
      </c>
      <c r="I1295" t="s">
        <v>1611</v>
      </c>
      <c r="J1295" s="14">
        <v>1009.0225499013</v>
      </c>
      <c r="K1295" s="14">
        <f t="shared" si="160"/>
        <v>227482.91117825152</v>
      </c>
      <c r="L1295" s="14">
        <f t="shared" si="161"/>
        <v>235</v>
      </c>
      <c r="M1295" s="14" t="str">
        <f t="shared" si="162"/>
        <v>22-08-2025</v>
      </c>
      <c r="N1295" s="14">
        <f t="shared" si="163"/>
        <v>0.15733684290107366</v>
      </c>
      <c r="O1295" s="20">
        <f t="shared" si="164"/>
        <v>2.5089077816793326</v>
      </c>
      <c r="P1295" s="14">
        <f t="shared" si="165"/>
        <v>457.95060297579113</v>
      </c>
      <c r="Q1295" s="14">
        <f t="shared" si="166"/>
        <v>371.96864787551135</v>
      </c>
      <c r="R1295" s="14" t="str">
        <f t="shared" si="167"/>
        <v>Aug</v>
      </c>
    </row>
    <row r="1296" spans="1:18" x14ac:dyDescent="0.3">
      <c r="A1296" t="s">
        <v>2904</v>
      </c>
      <c r="B1296" s="1">
        <v>45609</v>
      </c>
      <c r="C1296" t="s">
        <v>1095</v>
      </c>
      <c r="D1296" t="s">
        <v>1433</v>
      </c>
      <c r="E1296" t="s">
        <v>1558</v>
      </c>
      <c r="F1296">
        <v>2.5000889278802498</v>
      </c>
      <c r="G1296" s="14">
        <v>476.14526165096697</v>
      </c>
      <c r="H1296" s="17">
        <v>0.154959975088826</v>
      </c>
      <c r="I1296" t="s">
        <v>1611</v>
      </c>
      <c r="J1296" s="14">
        <v>1008.91455344185</v>
      </c>
      <c r="K1296" s="14">
        <f t="shared" si="160"/>
        <v>227482.91117825152</v>
      </c>
      <c r="L1296" s="14">
        <f t="shared" si="161"/>
        <v>235</v>
      </c>
      <c r="M1296" s="14" t="str">
        <f t="shared" si="162"/>
        <v>13-11-2024</v>
      </c>
      <c r="N1296" s="14">
        <f t="shared" si="163"/>
        <v>0.15734022393636846</v>
      </c>
      <c r="O1296" s="20">
        <f t="shared" si="164"/>
        <v>2.5089203262793309</v>
      </c>
      <c r="P1296" s="14">
        <f t="shared" si="165"/>
        <v>457.92472152675111</v>
      </c>
      <c r="Q1296" s="14">
        <f t="shared" si="166"/>
        <v>371.92871599894653</v>
      </c>
      <c r="R1296" s="14" t="str">
        <f t="shared" si="167"/>
        <v>Nov</v>
      </c>
    </row>
    <row r="1297" spans="1:18" x14ac:dyDescent="0.3">
      <c r="A1297" t="s">
        <v>2905</v>
      </c>
      <c r="B1297" s="1">
        <v>45309</v>
      </c>
      <c r="C1297" t="s">
        <v>1279</v>
      </c>
      <c r="D1297" t="s">
        <v>1334</v>
      </c>
      <c r="E1297" t="s">
        <v>1584</v>
      </c>
      <c r="F1297">
        <v>2.5001140170802501</v>
      </c>
      <c r="G1297" s="14">
        <v>476.093498752887</v>
      </c>
      <c r="H1297" s="17">
        <v>0.154966737159416</v>
      </c>
      <c r="I1297" t="s">
        <v>1611</v>
      </c>
      <c r="J1297" s="14">
        <v>1008.8065569824</v>
      </c>
      <c r="K1297" s="14">
        <f t="shared" si="160"/>
        <v>227482.91117825152</v>
      </c>
      <c r="L1297" s="14">
        <f t="shared" si="161"/>
        <v>235</v>
      </c>
      <c r="M1297" s="14" t="str">
        <f t="shared" si="162"/>
        <v>18-01-2024</v>
      </c>
      <c r="N1297" s="14">
        <f t="shared" si="163"/>
        <v>0.15734360497166328</v>
      </c>
      <c r="O1297" s="20">
        <f t="shared" si="164"/>
        <v>2.5089328708793297</v>
      </c>
      <c r="P1297" s="14">
        <f t="shared" si="165"/>
        <v>457.89884007771093</v>
      </c>
      <c r="Q1297" s="14">
        <f t="shared" si="166"/>
        <v>371.88878412238171</v>
      </c>
      <c r="R1297" s="14" t="str">
        <f t="shared" si="167"/>
        <v>Jan</v>
      </c>
    </row>
    <row r="1298" spans="1:18" x14ac:dyDescent="0.3">
      <c r="A1298" t="s">
        <v>2906</v>
      </c>
      <c r="B1298" s="1">
        <v>45519</v>
      </c>
      <c r="C1298" t="s">
        <v>137</v>
      </c>
      <c r="D1298" t="s">
        <v>1389</v>
      </c>
      <c r="E1298" t="s">
        <v>1564</v>
      </c>
      <c r="F1298">
        <v>2.5001391062802498</v>
      </c>
      <c r="G1298" s="14">
        <v>476.04173585480697</v>
      </c>
      <c r="H1298" s="17">
        <v>0.154973499230005</v>
      </c>
      <c r="I1298" t="s">
        <v>1611</v>
      </c>
      <c r="J1298" s="14">
        <v>1008.6985605229499</v>
      </c>
      <c r="K1298" s="14">
        <f t="shared" si="160"/>
        <v>227482.91117825152</v>
      </c>
      <c r="L1298" s="14">
        <f t="shared" si="161"/>
        <v>235</v>
      </c>
      <c r="M1298" s="14" t="str">
        <f t="shared" si="162"/>
        <v>15-08-2024</v>
      </c>
      <c r="N1298" s="14">
        <f t="shared" si="163"/>
        <v>0.1573469860069581</v>
      </c>
      <c r="O1298" s="20">
        <f t="shared" si="164"/>
        <v>2.5089454154793285</v>
      </c>
      <c r="P1298" s="14">
        <f t="shared" si="165"/>
        <v>457.87295862867092</v>
      </c>
      <c r="Q1298" s="14">
        <f t="shared" si="166"/>
        <v>371.84885224581677</v>
      </c>
      <c r="R1298" s="14" t="str">
        <f t="shared" si="167"/>
        <v>Aug</v>
      </c>
    </row>
    <row r="1299" spans="1:18" x14ac:dyDescent="0.3">
      <c r="A1299" t="s">
        <v>2907</v>
      </c>
      <c r="B1299" s="1">
        <v>45921</v>
      </c>
      <c r="C1299" t="s">
        <v>314</v>
      </c>
      <c r="D1299" t="s">
        <v>1347</v>
      </c>
      <c r="E1299" t="s">
        <v>1571</v>
      </c>
      <c r="F1299">
        <v>2.5001641954802398</v>
      </c>
      <c r="G1299" s="14">
        <v>475.989972956727</v>
      </c>
      <c r="H1299" s="17">
        <v>0.154980261300595</v>
      </c>
      <c r="I1299" t="s">
        <v>1609</v>
      </c>
      <c r="J1299" s="14">
        <v>1008.59056406349</v>
      </c>
      <c r="K1299" s="14">
        <f t="shared" si="160"/>
        <v>227482.91117825152</v>
      </c>
      <c r="L1299" s="14">
        <f t="shared" si="161"/>
        <v>235</v>
      </c>
      <c r="M1299" s="14" t="str">
        <f t="shared" si="162"/>
        <v>21-09-2025</v>
      </c>
      <c r="N1299" s="14">
        <f t="shared" si="163"/>
        <v>0.15735036704225289</v>
      </c>
      <c r="O1299" s="20">
        <f t="shared" si="164"/>
        <v>2.5089579600793273</v>
      </c>
      <c r="P1299" s="14">
        <f t="shared" si="165"/>
        <v>457.84707717963084</v>
      </c>
      <c r="Q1299" s="14">
        <f t="shared" si="166"/>
        <v>371.80892036924945</v>
      </c>
      <c r="R1299" s="14" t="str">
        <f t="shared" si="167"/>
        <v>Sep</v>
      </c>
    </row>
    <row r="1300" spans="1:18" x14ac:dyDescent="0.3">
      <c r="A1300" t="s">
        <v>2908</v>
      </c>
      <c r="B1300" s="1">
        <v>45465</v>
      </c>
      <c r="C1300" t="s">
        <v>441</v>
      </c>
      <c r="D1300" t="s">
        <v>1353</v>
      </c>
      <c r="E1300" t="s">
        <v>1586</v>
      </c>
      <c r="F1300">
        <v>2.50018928468024</v>
      </c>
      <c r="G1300" s="14">
        <v>475.93821005864601</v>
      </c>
      <c r="H1300" s="17">
        <v>0.154987023371184</v>
      </c>
      <c r="I1300" t="s">
        <v>1611</v>
      </c>
      <c r="J1300" s="14">
        <v>1008.48256760404</v>
      </c>
      <c r="K1300" s="14">
        <f t="shared" si="160"/>
        <v>226474.32061418801</v>
      </c>
      <c r="L1300" s="14">
        <f t="shared" si="161"/>
        <v>234</v>
      </c>
      <c r="M1300" s="14" t="str">
        <f t="shared" si="162"/>
        <v>22-06-2024</v>
      </c>
      <c r="N1300" s="14">
        <f t="shared" si="163"/>
        <v>0.15735374807754768</v>
      </c>
      <c r="O1300" s="20">
        <f t="shared" si="164"/>
        <v>2.5089705046793256</v>
      </c>
      <c r="P1300" s="14">
        <f t="shared" si="165"/>
        <v>457.82119573059077</v>
      </c>
      <c r="Q1300" s="14">
        <f t="shared" si="166"/>
        <v>371.76898849268434</v>
      </c>
      <c r="R1300" s="14" t="str">
        <f t="shared" si="167"/>
        <v>Jun</v>
      </c>
    </row>
    <row r="1301" spans="1:18" x14ac:dyDescent="0.3">
      <c r="A1301" t="s">
        <v>2909</v>
      </c>
      <c r="B1301" s="1">
        <v>45303</v>
      </c>
      <c r="C1301" t="s">
        <v>719</v>
      </c>
      <c r="D1301" t="s">
        <v>1425</v>
      </c>
      <c r="E1301" t="s">
        <v>1561</v>
      </c>
      <c r="F1301">
        <v>2.5002143738802398</v>
      </c>
      <c r="G1301" s="14">
        <v>475.88644716056598</v>
      </c>
      <c r="H1301" s="17">
        <v>0.154993785441774</v>
      </c>
      <c r="I1301" t="s">
        <v>1611</v>
      </c>
      <c r="J1301" s="14">
        <v>1008.37457114459</v>
      </c>
      <c r="K1301" s="14">
        <f t="shared" si="160"/>
        <v>226474.32061418801</v>
      </c>
      <c r="L1301" s="14">
        <f t="shared" si="161"/>
        <v>234</v>
      </c>
      <c r="M1301" s="14" t="str">
        <f t="shared" si="162"/>
        <v>12-01-2024</v>
      </c>
      <c r="N1301" s="14">
        <f t="shared" si="163"/>
        <v>0.1573571291128425</v>
      </c>
      <c r="O1301" s="20">
        <f t="shared" si="164"/>
        <v>2.5089830492793244</v>
      </c>
      <c r="P1301" s="14">
        <f t="shared" si="165"/>
        <v>457.79531428155065</v>
      </c>
      <c r="Q1301" s="14">
        <f t="shared" si="166"/>
        <v>371.72905661611952</v>
      </c>
      <c r="R1301" s="14" t="str">
        <f t="shared" si="167"/>
        <v>Jan</v>
      </c>
    </row>
    <row r="1302" spans="1:18" x14ac:dyDescent="0.3">
      <c r="A1302" t="s">
        <v>2910</v>
      </c>
      <c r="B1302" s="1">
        <v>45218</v>
      </c>
      <c r="C1302" t="s">
        <v>181</v>
      </c>
      <c r="D1302" t="s">
        <v>1367</v>
      </c>
      <c r="E1302" t="s">
        <v>1598</v>
      </c>
      <c r="F1302">
        <v>2.50023946308024</v>
      </c>
      <c r="G1302" s="14">
        <v>475.83468426248601</v>
      </c>
      <c r="H1302" s="17">
        <v>0.155000547512364</v>
      </c>
      <c r="I1302" t="s">
        <v>1614</v>
      </c>
      <c r="J1302" s="14">
        <v>1008.26657468514</v>
      </c>
      <c r="K1302" s="14">
        <f t="shared" si="160"/>
        <v>226474.32061418801</v>
      </c>
      <c r="L1302" s="14">
        <f t="shared" si="161"/>
        <v>234</v>
      </c>
      <c r="M1302" s="14" t="str">
        <f t="shared" si="162"/>
        <v>19-10-2023</v>
      </c>
      <c r="N1302" s="14">
        <f t="shared" si="163"/>
        <v>0.15736051014813729</v>
      </c>
      <c r="O1302" s="20">
        <f t="shared" si="164"/>
        <v>2.5089955938793231</v>
      </c>
      <c r="P1302" s="14">
        <f t="shared" si="165"/>
        <v>457.76943283251069</v>
      </c>
      <c r="Q1302" s="14">
        <f t="shared" si="166"/>
        <v>371.68912473955464</v>
      </c>
      <c r="R1302" s="14" t="str">
        <f t="shared" si="167"/>
        <v>Oct</v>
      </c>
    </row>
    <row r="1303" spans="1:18" x14ac:dyDescent="0.3">
      <c r="A1303" t="s">
        <v>2911</v>
      </c>
      <c r="B1303" s="1">
        <v>45727</v>
      </c>
      <c r="C1303" t="s">
        <v>505</v>
      </c>
      <c r="D1303" t="s">
        <v>1355</v>
      </c>
      <c r="E1303" t="s">
        <v>1586</v>
      </c>
      <c r="F1303">
        <v>2.50026455228023</v>
      </c>
      <c r="G1303" s="14">
        <v>475.78292136440598</v>
      </c>
      <c r="H1303" s="17">
        <v>0.155007309582953</v>
      </c>
      <c r="I1303" t="s">
        <v>1611</v>
      </c>
      <c r="J1303" s="14">
        <v>1008.15857822569</v>
      </c>
      <c r="K1303" s="14">
        <f t="shared" si="160"/>
        <v>226474.32061418801</v>
      </c>
      <c r="L1303" s="14">
        <f t="shared" si="161"/>
        <v>234</v>
      </c>
      <c r="M1303" s="14" t="str">
        <f t="shared" si="162"/>
        <v>11-03-2025</v>
      </c>
      <c r="N1303" s="14">
        <f t="shared" si="163"/>
        <v>0.15736389118343208</v>
      </c>
      <c r="O1303" s="20">
        <f t="shared" si="164"/>
        <v>2.5090081384793219</v>
      </c>
      <c r="P1303" s="14">
        <f t="shared" si="165"/>
        <v>457.74355138347056</v>
      </c>
      <c r="Q1303" s="14">
        <f t="shared" si="166"/>
        <v>371.64919286298982</v>
      </c>
      <c r="R1303" s="14" t="str">
        <f t="shared" si="167"/>
        <v>Mar</v>
      </c>
    </row>
    <row r="1304" spans="1:18" x14ac:dyDescent="0.3">
      <c r="A1304" t="s">
        <v>2912</v>
      </c>
      <c r="B1304" s="1">
        <v>45557</v>
      </c>
      <c r="C1304" t="s">
        <v>716</v>
      </c>
      <c r="D1304" t="s">
        <v>1469</v>
      </c>
      <c r="E1304" t="s">
        <v>1574</v>
      </c>
      <c r="F1304">
        <v>2.5002896414802298</v>
      </c>
      <c r="G1304" s="14">
        <v>475.73115846632601</v>
      </c>
      <c r="H1304" s="17">
        <v>0.155014071653543</v>
      </c>
      <c r="I1304" t="s">
        <v>1611</v>
      </c>
      <c r="J1304" s="14">
        <v>1008.05058176623</v>
      </c>
      <c r="K1304" s="14">
        <f t="shared" si="160"/>
        <v>226474.32061418801</v>
      </c>
      <c r="L1304" s="14">
        <f t="shared" si="161"/>
        <v>234</v>
      </c>
      <c r="M1304" s="14" t="str">
        <f t="shared" si="162"/>
        <v>22-09-2024</v>
      </c>
      <c r="N1304" s="14">
        <f t="shared" si="163"/>
        <v>0.1573672722187269</v>
      </c>
      <c r="O1304" s="20">
        <f t="shared" si="164"/>
        <v>2.5090206830793202</v>
      </c>
      <c r="P1304" s="14">
        <f t="shared" si="165"/>
        <v>457.71766993443043</v>
      </c>
      <c r="Q1304" s="14">
        <f t="shared" si="166"/>
        <v>371.60926098642244</v>
      </c>
      <c r="R1304" s="14" t="str">
        <f t="shared" si="167"/>
        <v>Sep</v>
      </c>
    </row>
    <row r="1305" spans="1:18" x14ac:dyDescent="0.3">
      <c r="A1305" t="s">
        <v>2913</v>
      </c>
      <c r="B1305" s="1">
        <v>45623</v>
      </c>
      <c r="C1305" t="s">
        <v>114</v>
      </c>
      <c r="D1305" t="s">
        <v>1381</v>
      </c>
      <c r="E1305" t="s">
        <v>1598</v>
      </c>
      <c r="F1305">
        <v>2.50031473068023</v>
      </c>
      <c r="G1305" s="14">
        <v>475.67939556824598</v>
      </c>
      <c r="H1305" s="17">
        <v>0.155020833724132</v>
      </c>
      <c r="I1305" t="s">
        <v>1611</v>
      </c>
      <c r="J1305" s="14">
        <v>1007.94258530678</v>
      </c>
      <c r="K1305" s="14">
        <f t="shared" si="160"/>
        <v>226474.32061418801</v>
      </c>
      <c r="L1305" s="14">
        <f t="shared" si="161"/>
        <v>234</v>
      </c>
      <c r="M1305" s="14" t="str">
        <f t="shared" si="162"/>
        <v>27-11-2024</v>
      </c>
      <c r="N1305" s="14">
        <f t="shared" si="163"/>
        <v>0.15737065325402172</v>
      </c>
      <c r="O1305" s="20">
        <f t="shared" si="164"/>
        <v>2.5090332276793186</v>
      </c>
      <c r="P1305" s="14">
        <f t="shared" si="165"/>
        <v>457.69178848539036</v>
      </c>
      <c r="Q1305" s="14">
        <f t="shared" si="166"/>
        <v>371.56932910985756</v>
      </c>
      <c r="R1305" s="14" t="str">
        <f t="shared" si="167"/>
        <v>Nov</v>
      </c>
    </row>
    <row r="1306" spans="1:18" x14ac:dyDescent="0.3">
      <c r="A1306" t="s">
        <v>2914</v>
      </c>
      <c r="B1306" s="1">
        <v>45224</v>
      </c>
      <c r="C1306" t="s">
        <v>67</v>
      </c>
      <c r="D1306" t="s">
        <v>1385</v>
      </c>
      <c r="E1306" t="s">
        <v>1571</v>
      </c>
      <c r="F1306">
        <v>2.50033981988022</v>
      </c>
      <c r="G1306" s="14">
        <v>475.62763267016499</v>
      </c>
      <c r="H1306" s="17">
        <v>0.155027595794722</v>
      </c>
      <c r="I1306" t="s">
        <v>1611</v>
      </c>
      <c r="J1306" s="14">
        <v>1007.83458884733</v>
      </c>
      <c r="K1306" s="14">
        <f t="shared" si="160"/>
        <v>226474.32061418801</v>
      </c>
      <c r="L1306" s="14">
        <f t="shared" si="161"/>
        <v>234</v>
      </c>
      <c r="M1306" s="14" t="str">
        <f t="shared" si="162"/>
        <v>25-10-2023</v>
      </c>
      <c r="N1306" s="14">
        <f t="shared" si="163"/>
        <v>0.15737403428931651</v>
      </c>
      <c r="O1306" s="20">
        <f t="shared" si="164"/>
        <v>2.5090457722793178</v>
      </c>
      <c r="P1306" s="14">
        <f t="shared" si="165"/>
        <v>457.66590703635029</v>
      </c>
      <c r="Q1306" s="14">
        <f t="shared" si="166"/>
        <v>371.52939723329246</v>
      </c>
      <c r="R1306" s="14" t="str">
        <f t="shared" si="167"/>
        <v>Oct</v>
      </c>
    </row>
    <row r="1307" spans="1:18" x14ac:dyDescent="0.3">
      <c r="A1307" t="s">
        <v>2915</v>
      </c>
      <c r="B1307" s="1">
        <v>45940</v>
      </c>
      <c r="C1307" t="s">
        <v>911</v>
      </c>
      <c r="D1307" t="s">
        <v>1433</v>
      </c>
      <c r="E1307" t="s">
        <v>1537</v>
      </c>
      <c r="F1307">
        <v>2.5003649090802198</v>
      </c>
      <c r="G1307" s="14">
        <v>475.57586977208501</v>
      </c>
      <c r="H1307" s="17">
        <v>0.155034357865312</v>
      </c>
      <c r="I1307" t="s">
        <v>1609</v>
      </c>
      <c r="J1307" s="14">
        <v>1007.72659238788</v>
      </c>
      <c r="K1307" s="14">
        <f t="shared" si="160"/>
        <v>226474.32061418801</v>
      </c>
      <c r="L1307" s="14">
        <f t="shared" si="161"/>
        <v>234</v>
      </c>
      <c r="M1307" s="14" t="str">
        <f t="shared" si="162"/>
        <v>10-10-2025</v>
      </c>
      <c r="N1307" s="14">
        <f t="shared" si="163"/>
        <v>0.1573774153246113</v>
      </c>
      <c r="O1307" s="20">
        <f t="shared" si="164"/>
        <v>2.5090583168793166</v>
      </c>
      <c r="P1307" s="14">
        <f t="shared" si="165"/>
        <v>457.64002558731022</v>
      </c>
      <c r="Q1307" s="14">
        <f t="shared" si="166"/>
        <v>371.48946535672764</v>
      </c>
      <c r="R1307" s="14" t="str">
        <f t="shared" si="167"/>
        <v>Oct</v>
      </c>
    </row>
    <row r="1308" spans="1:18" x14ac:dyDescent="0.3">
      <c r="A1308" t="s">
        <v>2916</v>
      </c>
      <c r="B1308" s="1">
        <v>45915</v>
      </c>
      <c r="C1308" t="s">
        <v>227</v>
      </c>
      <c r="D1308" t="s">
        <v>1435</v>
      </c>
      <c r="E1308" t="s">
        <v>1567</v>
      </c>
      <c r="F1308">
        <v>2.50038999828022</v>
      </c>
      <c r="G1308" s="14">
        <v>475.52410687400499</v>
      </c>
      <c r="H1308" s="17">
        <v>0.155041119935901</v>
      </c>
      <c r="I1308" t="s">
        <v>1614</v>
      </c>
      <c r="J1308" s="14">
        <v>1007.61859592843</v>
      </c>
      <c r="K1308" s="14">
        <f t="shared" si="160"/>
        <v>225466.59402180012</v>
      </c>
      <c r="L1308" s="14">
        <f t="shared" si="161"/>
        <v>233</v>
      </c>
      <c r="M1308" s="14" t="str">
        <f t="shared" si="162"/>
        <v>15-09-2025</v>
      </c>
      <c r="N1308" s="14">
        <f t="shared" si="163"/>
        <v>0.15738079635990612</v>
      </c>
      <c r="O1308" s="20">
        <f t="shared" si="164"/>
        <v>2.5090708614793149</v>
      </c>
      <c r="P1308" s="14">
        <f t="shared" si="165"/>
        <v>457.61414413827009</v>
      </c>
      <c r="Q1308" s="14">
        <f t="shared" si="166"/>
        <v>371.44953348016276</v>
      </c>
      <c r="R1308" s="14" t="str">
        <f t="shared" si="167"/>
        <v>Sep</v>
      </c>
    </row>
    <row r="1309" spans="1:18" x14ac:dyDescent="0.3">
      <c r="A1309" t="s">
        <v>2917</v>
      </c>
      <c r="B1309" s="1">
        <v>45541</v>
      </c>
      <c r="C1309" t="s">
        <v>205</v>
      </c>
      <c r="D1309" t="s">
        <v>1363</v>
      </c>
      <c r="E1309" t="s">
        <v>1586</v>
      </c>
      <c r="F1309">
        <v>2.5004150874802198</v>
      </c>
      <c r="G1309" s="14">
        <v>475.47234397592501</v>
      </c>
      <c r="H1309" s="17">
        <v>0.155047882006491</v>
      </c>
      <c r="I1309" t="s">
        <v>1614</v>
      </c>
      <c r="J1309" s="14">
        <v>1007.51059946898</v>
      </c>
      <c r="K1309" s="14">
        <f t="shared" si="160"/>
        <v>225466.59402180012</v>
      </c>
      <c r="L1309" s="14">
        <f t="shared" si="161"/>
        <v>233</v>
      </c>
      <c r="M1309" s="14" t="str">
        <f t="shared" si="162"/>
        <v>06-09-2024</v>
      </c>
      <c r="N1309" s="14">
        <f t="shared" si="163"/>
        <v>0.15738417739520091</v>
      </c>
      <c r="O1309" s="20">
        <f t="shared" si="164"/>
        <v>2.5090834060793132</v>
      </c>
      <c r="P1309" s="14">
        <f t="shared" si="165"/>
        <v>457.58826268923008</v>
      </c>
      <c r="Q1309" s="14">
        <f t="shared" si="166"/>
        <v>371.40960160359793</v>
      </c>
      <c r="R1309" s="14" t="str">
        <f t="shared" si="167"/>
        <v>Sep</v>
      </c>
    </row>
    <row r="1310" spans="1:18" x14ac:dyDescent="0.3">
      <c r="A1310" t="s">
        <v>2918</v>
      </c>
      <c r="B1310" s="1">
        <v>45489</v>
      </c>
      <c r="C1310" t="s">
        <v>1163</v>
      </c>
      <c r="D1310" t="s">
        <v>1433</v>
      </c>
      <c r="E1310" t="s">
        <v>1551</v>
      </c>
      <c r="F1310">
        <v>2.5004401766802098</v>
      </c>
      <c r="G1310" s="14">
        <v>475.42058107784499</v>
      </c>
      <c r="H1310" s="17">
        <v>0.15505464407708</v>
      </c>
      <c r="I1310" t="s">
        <v>1609</v>
      </c>
      <c r="J1310" s="14">
        <v>1007.40260300952</v>
      </c>
      <c r="K1310" s="14">
        <f t="shared" si="160"/>
        <v>225466.59402180012</v>
      </c>
      <c r="L1310" s="14">
        <f t="shared" si="161"/>
        <v>233</v>
      </c>
      <c r="M1310" s="14" t="str">
        <f t="shared" si="162"/>
        <v>16-07-2024</v>
      </c>
      <c r="N1310" s="14">
        <f t="shared" si="163"/>
        <v>0.15738755843049571</v>
      </c>
      <c r="O1310" s="20">
        <f t="shared" si="164"/>
        <v>2.5090959506793125</v>
      </c>
      <c r="P1310" s="14">
        <f t="shared" si="165"/>
        <v>457.56238124019001</v>
      </c>
      <c r="Q1310" s="14">
        <f t="shared" si="166"/>
        <v>371.36966972703055</v>
      </c>
      <c r="R1310" s="14" t="str">
        <f t="shared" si="167"/>
        <v>Jul</v>
      </c>
    </row>
    <row r="1311" spans="1:18" x14ac:dyDescent="0.3">
      <c r="A1311" t="s">
        <v>2919</v>
      </c>
      <c r="B1311" s="1">
        <v>45748</v>
      </c>
      <c r="C1311" t="s">
        <v>984</v>
      </c>
      <c r="D1311" t="s">
        <v>1387</v>
      </c>
      <c r="E1311" t="s">
        <v>1582</v>
      </c>
      <c r="F1311">
        <v>2.50046526588021</v>
      </c>
      <c r="G1311" s="14">
        <v>475.36881817976501</v>
      </c>
      <c r="H1311" s="17">
        <v>0.15506140614767</v>
      </c>
      <c r="I1311" t="s">
        <v>1609</v>
      </c>
      <c r="J1311" s="14">
        <v>1007.2946065500699</v>
      </c>
      <c r="K1311" s="14">
        <f t="shared" si="160"/>
        <v>224459.19141879064</v>
      </c>
      <c r="L1311" s="14">
        <f t="shared" si="161"/>
        <v>232</v>
      </c>
      <c r="M1311" s="14" t="str">
        <f t="shared" si="162"/>
        <v>01-04-2025</v>
      </c>
      <c r="N1311" s="14">
        <f t="shared" si="163"/>
        <v>0.15739093946579052</v>
      </c>
      <c r="O1311" s="20">
        <f t="shared" si="164"/>
        <v>2.5091084952793112</v>
      </c>
      <c r="P1311" s="14">
        <f t="shared" si="165"/>
        <v>457.53649979114988</v>
      </c>
      <c r="Q1311" s="14">
        <f t="shared" si="166"/>
        <v>371.32973785046573</v>
      </c>
      <c r="R1311" s="14" t="str">
        <f t="shared" si="167"/>
        <v>Apr</v>
      </c>
    </row>
    <row r="1312" spans="1:18" x14ac:dyDescent="0.3">
      <c r="A1312" t="s">
        <v>2920</v>
      </c>
      <c r="B1312" s="1">
        <v>45309</v>
      </c>
      <c r="C1312" t="s">
        <v>134</v>
      </c>
      <c r="D1312" t="s">
        <v>1493</v>
      </c>
      <c r="E1312" t="s">
        <v>1595</v>
      </c>
      <c r="F1312">
        <v>2.5004903550802098</v>
      </c>
      <c r="G1312" s="14">
        <v>475.31705528168499</v>
      </c>
      <c r="H1312" s="17">
        <v>0.15506816821826</v>
      </c>
      <c r="I1312" t="s">
        <v>1611</v>
      </c>
      <c r="J1312" s="14">
        <v>1007.18661009062</v>
      </c>
      <c r="K1312" s="14">
        <f t="shared" si="160"/>
        <v>223451.89681224056</v>
      </c>
      <c r="L1312" s="14">
        <f t="shared" si="161"/>
        <v>231</v>
      </c>
      <c r="M1312" s="14" t="str">
        <f t="shared" si="162"/>
        <v>18-01-2024</v>
      </c>
      <c r="N1312" s="14">
        <f t="shared" si="163"/>
        <v>0.15739432050108534</v>
      </c>
      <c r="O1312" s="20">
        <f t="shared" si="164"/>
        <v>2.50912103987931</v>
      </c>
      <c r="P1312" s="14">
        <f t="shared" si="165"/>
        <v>457.51061834210975</v>
      </c>
      <c r="Q1312" s="14">
        <f t="shared" si="166"/>
        <v>371.28980597390085</v>
      </c>
      <c r="R1312" s="14" t="str">
        <f t="shared" si="167"/>
        <v>Jan</v>
      </c>
    </row>
    <row r="1313" spans="1:18" x14ac:dyDescent="0.3">
      <c r="A1313" t="s">
        <v>2921</v>
      </c>
      <c r="B1313" s="1">
        <v>45621</v>
      </c>
      <c r="C1313" t="s">
        <v>696</v>
      </c>
      <c r="D1313" t="s">
        <v>1357</v>
      </c>
      <c r="E1313" t="s">
        <v>1595</v>
      </c>
      <c r="F1313">
        <v>2.50051544428021</v>
      </c>
      <c r="G1313" s="14">
        <v>475.26529238360399</v>
      </c>
      <c r="H1313" s="17">
        <v>0.155074930288849</v>
      </c>
      <c r="I1313" t="s">
        <v>1611</v>
      </c>
      <c r="J1313" s="14">
        <v>1007.07861363117</v>
      </c>
      <c r="K1313" s="14">
        <f t="shared" si="160"/>
        <v>223451.89681224056</v>
      </c>
      <c r="L1313" s="14">
        <f t="shared" si="161"/>
        <v>231</v>
      </c>
      <c r="M1313" s="14" t="str">
        <f t="shared" si="162"/>
        <v>25-11-2024</v>
      </c>
      <c r="N1313" s="14">
        <f t="shared" si="163"/>
        <v>0.15739770153638014</v>
      </c>
      <c r="O1313" s="20">
        <f t="shared" si="164"/>
        <v>2.5091335844793088</v>
      </c>
      <c r="P1313" s="14">
        <f t="shared" si="165"/>
        <v>457.48473689306968</v>
      </c>
      <c r="Q1313" s="14">
        <f t="shared" si="166"/>
        <v>371.24987409733575</v>
      </c>
      <c r="R1313" s="14" t="str">
        <f t="shared" si="167"/>
        <v>Nov</v>
      </c>
    </row>
    <row r="1314" spans="1:18" x14ac:dyDescent="0.3">
      <c r="A1314" t="s">
        <v>2922</v>
      </c>
      <c r="B1314" s="1">
        <v>45603</v>
      </c>
      <c r="C1314" t="s">
        <v>821</v>
      </c>
      <c r="D1314" t="s">
        <v>1447</v>
      </c>
      <c r="E1314" t="s">
        <v>1571</v>
      </c>
      <c r="F1314">
        <v>2.5005405334802</v>
      </c>
      <c r="G1314" s="14">
        <v>475.21352948552402</v>
      </c>
      <c r="H1314" s="17">
        <v>0.155081692359439</v>
      </c>
      <c r="I1314" t="s">
        <v>1614</v>
      </c>
      <c r="J1314" s="14">
        <v>1006.9706171717201</v>
      </c>
      <c r="K1314" s="14">
        <f t="shared" si="160"/>
        <v>223451.89681224056</v>
      </c>
      <c r="L1314" s="14">
        <f t="shared" si="161"/>
        <v>231</v>
      </c>
      <c r="M1314" s="14" t="str">
        <f t="shared" si="162"/>
        <v>07-11-2024</v>
      </c>
      <c r="N1314" s="14">
        <f t="shared" si="163"/>
        <v>0.15740108257167493</v>
      </c>
      <c r="O1314" s="20">
        <f t="shared" si="164"/>
        <v>2.5091461290793071</v>
      </c>
      <c r="P1314" s="14">
        <f t="shared" si="165"/>
        <v>457.45885544402967</v>
      </c>
      <c r="Q1314" s="14">
        <f t="shared" si="166"/>
        <v>371.20994222077093</v>
      </c>
      <c r="R1314" s="14" t="str">
        <f t="shared" si="167"/>
        <v>Nov</v>
      </c>
    </row>
    <row r="1315" spans="1:18" x14ac:dyDescent="0.3">
      <c r="A1315" t="s">
        <v>2923</v>
      </c>
      <c r="B1315" s="1">
        <v>45501</v>
      </c>
      <c r="C1315" t="s">
        <v>369</v>
      </c>
      <c r="D1315" t="s">
        <v>1383</v>
      </c>
      <c r="E1315" t="s">
        <v>1579</v>
      </c>
      <c r="F1315">
        <v>2.5005656226802002</v>
      </c>
      <c r="G1315" s="14">
        <v>475.16176658744399</v>
      </c>
      <c r="H1315" s="17">
        <v>0.155088454430029</v>
      </c>
      <c r="I1315" t="s">
        <v>1611</v>
      </c>
      <c r="J1315" s="14">
        <v>1006.86262071227</v>
      </c>
      <c r="K1315" s="14">
        <f t="shared" si="160"/>
        <v>223451.89681224056</v>
      </c>
      <c r="L1315" s="14">
        <f t="shared" si="161"/>
        <v>231</v>
      </c>
      <c r="M1315" s="14" t="str">
        <f t="shared" si="162"/>
        <v>28-07-2024</v>
      </c>
      <c r="N1315" s="14">
        <f t="shared" si="163"/>
        <v>0.15740446360696975</v>
      </c>
      <c r="O1315" s="20">
        <f t="shared" si="164"/>
        <v>2.5091586736793059</v>
      </c>
      <c r="P1315" s="14">
        <f t="shared" si="165"/>
        <v>457.43297399498954</v>
      </c>
      <c r="Q1315" s="14">
        <f t="shared" si="166"/>
        <v>371.17001034420605</v>
      </c>
      <c r="R1315" s="14" t="str">
        <f t="shared" si="167"/>
        <v>Jul</v>
      </c>
    </row>
    <row r="1316" spans="1:18" x14ac:dyDescent="0.3">
      <c r="A1316" t="s">
        <v>2924</v>
      </c>
      <c r="B1316" s="1">
        <v>45398</v>
      </c>
      <c r="C1316" t="s">
        <v>794</v>
      </c>
      <c r="D1316" t="s">
        <v>1507</v>
      </c>
      <c r="E1316" t="s">
        <v>1567</v>
      </c>
      <c r="F1316">
        <v>2.5005907118802</v>
      </c>
      <c r="G1316" s="14">
        <v>475.11000368936402</v>
      </c>
      <c r="H1316" s="17">
        <v>0.155095216500618</v>
      </c>
      <c r="I1316" t="s">
        <v>1614</v>
      </c>
      <c r="J1316" s="14">
        <v>1006.75462425281</v>
      </c>
      <c r="K1316" s="14">
        <f t="shared" si="160"/>
        <v>223451.89681224056</v>
      </c>
      <c r="L1316" s="14">
        <f t="shared" si="161"/>
        <v>231</v>
      </c>
      <c r="M1316" s="14" t="str">
        <f t="shared" si="162"/>
        <v>16-04-2024</v>
      </c>
      <c r="N1316" s="14">
        <f t="shared" si="163"/>
        <v>0.15740784464226454</v>
      </c>
      <c r="O1316" s="20">
        <f t="shared" si="164"/>
        <v>2.5091712182793047</v>
      </c>
      <c r="P1316" s="14">
        <f t="shared" si="165"/>
        <v>457.40709254594952</v>
      </c>
      <c r="Q1316" s="14">
        <f t="shared" si="166"/>
        <v>371.13007846763873</v>
      </c>
      <c r="R1316" s="14" t="str">
        <f t="shared" si="167"/>
        <v>Apr</v>
      </c>
    </row>
    <row r="1317" spans="1:18" x14ac:dyDescent="0.3">
      <c r="A1317" t="s">
        <v>2925</v>
      </c>
      <c r="B1317" s="1">
        <v>45304</v>
      </c>
      <c r="C1317" t="s">
        <v>773</v>
      </c>
      <c r="D1317" t="s">
        <v>1363</v>
      </c>
      <c r="E1317" t="s">
        <v>1586</v>
      </c>
      <c r="F1317">
        <v>2.5006158010802002</v>
      </c>
      <c r="G1317" s="14">
        <v>475.05824079128399</v>
      </c>
      <c r="H1317" s="17">
        <v>0.155101978571208</v>
      </c>
      <c r="I1317" t="s">
        <v>1609</v>
      </c>
      <c r="J1317" s="14">
        <v>1006.64662779336</v>
      </c>
      <c r="K1317" s="14">
        <f t="shared" si="160"/>
        <v>223451.89681224056</v>
      </c>
      <c r="L1317" s="14">
        <f t="shared" si="161"/>
        <v>231</v>
      </c>
      <c r="M1317" s="14" t="str">
        <f t="shared" si="162"/>
        <v>13-01-2024</v>
      </c>
      <c r="N1317" s="14">
        <f t="shared" si="163"/>
        <v>0.15741122567755933</v>
      </c>
      <c r="O1317" s="20">
        <f t="shared" si="164"/>
        <v>2.5091837628793034</v>
      </c>
      <c r="P1317" s="14">
        <f t="shared" si="165"/>
        <v>457.38121109690934</v>
      </c>
      <c r="Q1317" s="14">
        <f t="shared" si="166"/>
        <v>371.09014659107385</v>
      </c>
      <c r="R1317" s="14" t="str">
        <f t="shared" si="167"/>
        <v>Jan</v>
      </c>
    </row>
    <row r="1318" spans="1:18" x14ac:dyDescent="0.3">
      <c r="A1318" t="s">
        <v>2926</v>
      </c>
      <c r="B1318" s="1">
        <v>45299</v>
      </c>
      <c r="C1318" t="s">
        <v>241</v>
      </c>
      <c r="D1318" t="s">
        <v>1369</v>
      </c>
      <c r="E1318" t="s">
        <v>1542</v>
      </c>
      <c r="F1318">
        <v>2.5006408902801902</v>
      </c>
      <c r="G1318" s="14">
        <v>475.00647789320402</v>
      </c>
      <c r="H1318" s="17">
        <v>0.155108740641797</v>
      </c>
      <c r="I1318" t="s">
        <v>1614</v>
      </c>
      <c r="J1318" s="14">
        <v>1006.53863133391</v>
      </c>
      <c r="K1318" s="14">
        <f t="shared" si="160"/>
        <v>222445.25018444724</v>
      </c>
      <c r="L1318" s="14">
        <f t="shared" si="161"/>
        <v>230</v>
      </c>
      <c r="M1318" s="14" t="str">
        <f t="shared" si="162"/>
        <v>08-01-2024</v>
      </c>
      <c r="N1318" s="14">
        <f t="shared" si="163"/>
        <v>0.15741460671285415</v>
      </c>
      <c r="O1318" s="20">
        <f t="shared" si="164"/>
        <v>2.5091963074793018</v>
      </c>
      <c r="P1318" s="14">
        <f t="shared" si="165"/>
        <v>457.35532964786933</v>
      </c>
      <c r="Q1318" s="14">
        <f t="shared" si="166"/>
        <v>371.05021471450902</v>
      </c>
      <c r="R1318" s="14" t="str">
        <f t="shared" si="167"/>
        <v>Jan</v>
      </c>
    </row>
    <row r="1319" spans="1:18" x14ac:dyDescent="0.3">
      <c r="A1319" t="s">
        <v>2927</v>
      </c>
      <c r="B1319" s="1">
        <v>45564</v>
      </c>
      <c r="C1319" t="s">
        <v>550</v>
      </c>
      <c r="D1319" t="s">
        <v>1387</v>
      </c>
      <c r="E1319" t="s">
        <v>1537</v>
      </c>
      <c r="F1319">
        <v>2.50066597948019</v>
      </c>
      <c r="G1319" s="14">
        <v>474.95471499512303</v>
      </c>
      <c r="H1319" s="17">
        <v>0.155115502712387</v>
      </c>
      <c r="I1319" t="s">
        <v>1609</v>
      </c>
      <c r="J1319" s="14">
        <v>1006.43063487446</v>
      </c>
      <c r="K1319" s="14">
        <f t="shared" si="160"/>
        <v>222445.25018444724</v>
      </c>
      <c r="L1319" s="14">
        <f t="shared" si="161"/>
        <v>230</v>
      </c>
      <c r="M1319" s="14" t="str">
        <f t="shared" si="162"/>
        <v>29-09-2024</v>
      </c>
      <c r="N1319" s="14">
        <f t="shared" si="163"/>
        <v>0.15741798774814897</v>
      </c>
      <c r="O1319" s="20">
        <f t="shared" si="164"/>
        <v>2.509208852079301</v>
      </c>
      <c r="P1319" s="14">
        <f t="shared" si="165"/>
        <v>457.3294481988292</v>
      </c>
      <c r="Q1319" s="14">
        <f t="shared" si="166"/>
        <v>371.01028283794392</v>
      </c>
      <c r="R1319" s="14" t="str">
        <f t="shared" si="167"/>
        <v>Sep</v>
      </c>
    </row>
    <row r="1320" spans="1:18" x14ac:dyDescent="0.3">
      <c r="A1320" t="s">
        <v>2928</v>
      </c>
      <c r="B1320" s="1">
        <v>45413</v>
      </c>
      <c r="C1320" t="s">
        <v>684</v>
      </c>
      <c r="D1320" t="s">
        <v>1453</v>
      </c>
      <c r="E1320" t="s">
        <v>1589</v>
      </c>
      <c r="F1320">
        <v>2.5006910686801902</v>
      </c>
      <c r="G1320" s="14">
        <v>474.902952097043</v>
      </c>
      <c r="H1320" s="17">
        <v>0.155122264782977</v>
      </c>
      <c r="I1320" t="s">
        <v>1614</v>
      </c>
      <c r="J1320" s="14">
        <v>1006.32263841501</v>
      </c>
      <c r="K1320" s="14">
        <f t="shared" si="160"/>
        <v>221438.8195495728</v>
      </c>
      <c r="L1320" s="14">
        <f t="shared" si="161"/>
        <v>229</v>
      </c>
      <c r="M1320" s="14" t="str">
        <f t="shared" si="162"/>
        <v>01-05-2024</v>
      </c>
      <c r="N1320" s="14">
        <f t="shared" si="163"/>
        <v>0.15742136878344376</v>
      </c>
      <c r="O1320" s="20">
        <f t="shared" si="164"/>
        <v>2.5092213966792993</v>
      </c>
      <c r="P1320" s="14">
        <f t="shared" si="165"/>
        <v>457.30356674978913</v>
      </c>
      <c r="Q1320" s="14">
        <f t="shared" si="166"/>
        <v>370.97035096137904</v>
      </c>
      <c r="R1320" s="14" t="str">
        <f t="shared" si="167"/>
        <v>May</v>
      </c>
    </row>
    <row r="1321" spans="1:18" x14ac:dyDescent="0.3">
      <c r="A1321" t="s">
        <v>2929</v>
      </c>
      <c r="B1321" s="1">
        <v>45480</v>
      </c>
      <c r="C1321" t="s">
        <v>1238</v>
      </c>
      <c r="D1321" t="s">
        <v>1415</v>
      </c>
      <c r="E1321" t="s">
        <v>1571</v>
      </c>
      <c r="F1321">
        <v>2.50071615788019</v>
      </c>
      <c r="G1321" s="14">
        <v>474.85118919896303</v>
      </c>
      <c r="H1321" s="17">
        <v>0.155129026853566</v>
      </c>
      <c r="I1321" t="s">
        <v>1614</v>
      </c>
      <c r="J1321" s="14">
        <v>1006.21464195556</v>
      </c>
      <c r="K1321" s="14">
        <f t="shared" si="160"/>
        <v>221438.8195495728</v>
      </c>
      <c r="L1321" s="14">
        <f t="shared" si="161"/>
        <v>229</v>
      </c>
      <c r="M1321" s="14" t="str">
        <f t="shared" si="162"/>
        <v>07-07-2024</v>
      </c>
      <c r="N1321" s="14">
        <f t="shared" si="163"/>
        <v>0.15742474981873861</v>
      </c>
      <c r="O1321" s="20">
        <f t="shared" si="164"/>
        <v>2.5092339412792986</v>
      </c>
      <c r="P1321" s="14">
        <f t="shared" si="165"/>
        <v>457.27768530074906</v>
      </c>
      <c r="Q1321" s="14">
        <f t="shared" si="166"/>
        <v>370.93041908481416</v>
      </c>
      <c r="R1321" s="14" t="str">
        <f t="shared" si="167"/>
        <v>Jul</v>
      </c>
    </row>
    <row r="1322" spans="1:18" x14ac:dyDescent="0.3">
      <c r="A1322" t="s">
        <v>2930</v>
      </c>
      <c r="B1322" s="1">
        <v>45610</v>
      </c>
      <c r="C1322" t="s">
        <v>381</v>
      </c>
      <c r="D1322" t="s">
        <v>1509</v>
      </c>
      <c r="E1322" t="s">
        <v>1542</v>
      </c>
      <c r="F1322">
        <v>2.50074124708018</v>
      </c>
      <c r="G1322" s="14">
        <v>474.799426300883</v>
      </c>
      <c r="H1322" s="17">
        <v>0.155135788924156</v>
      </c>
      <c r="I1322" t="s">
        <v>1611</v>
      </c>
      <c r="J1322" s="14">
        <v>1006.1066454961</v>
      </c>
      <c r="K1322" s="14">
        <f t="shared" si="160"/>
        <v>221438.8195495728</v>
      </c>
      <c r="L1322" s="14">
        <f t="shared" si="161"/>
        <v>229</v>
      </c>
      <c r="M1322" s="14" t="str">
        <f t="shared" si="162"/>
        <v>14-11-2024</v>
      </c>
      <c r="N1322" s="14">
        <f t="shared" si="163"/>
        <v>0.15742813085403337</v>
      </c>
      <c r="O1322" s="20">
        <f t="shared" si="164"/>
        <v>2.5092464858792973</v>
      </c>
      <c r="P1322" s="14">
        <f t="shared" si="165"/>
        <v>457.25180385170898</v>
      </c>
      <c r="Q1322" s="14">
        <f t="shared" si="166"/>
        <v>370.89048720824684</v>
      </c>
      <c r="R1322" s="14" t="str">
        <f t="shared" si="167"/>
        <v>Nov</v>
      </c>
    </row>
    <row r="1323" spans="1:18" x14ac:dyDescent="0.3">
      <c r="A1323" t="s">
        <v>2931</v>
      </c>
      <c r="B1323" s="1">
        <v>45763</v>
      </c>
      <c r="C1323" t="s">
        <v>363</v>
      </c>
      <c r="D1323" t="s">
        <v>1529</v>
      </c>
      <c r="E1323" t="s">
        <v>1577</v>
      </c>
      <c r="F1323">
        <v>2.5007663362801802</v>
      </c>
      <c r="G1323" s="14">
        <v>474.74766340280303</v>
      </c>
      <c r="H1323" s="17">
        <v>0.155142550994745</v>
      </c>
      <c r="I1323" t="s">
        <v>1614</v>
      </c>
      <c r="J1323" s="14">
        <v>1005.99864903665</v>
      </c>
      <c r="K1323" s="14">
        <f t="shared" si="160"/>
        <v>221438.8195495728</v>
      </c>
      <c r="L1323" s="14">
        <f t="shared" si="161"/>
        <v>229</v>
      </c>
      <c r="M1323" s="14" t="str">
        <f t="shared" si="162"/>
        <v>16-04-2025</v>
      </c>
      <c r="N1323" s="14">
        <f t="shared" si="163"/>
        <v>0.15743151188932819</v>
      </c>
      <c r="O1323" s="20">
        <f t="shared" si="164"/>
        <v>2.5092590304792957</v>
      </c>
      <c r="P1323" s="14">
        <f t="shared" si="165"/>
        <v>457.22592240266891</v>
      </c>
      <c r="Q1323" s="14">
        <f t="shared" si="166"/>
        <v>370.85055533168202</v>
      </c>
      <c r="R1323" s="14" t="str">
        <f t="shared" si="167"/>
        <v>Apr</v>
      </c>
    </row>
    <row r="1324" spans="1:18" x14ac:dyDescent="0.3">
      <c r="A1324" t="s">
        <v>2932</v>
      </c>
      <c r="B1324" s="1">
        <v>45856</v>
      </c>
      <c r="C1324" t="s">
        <v>1127</v>
      </c>
      <c r="D1324" t="s">
        <v>1479</v>
      </c>
      <c r="E1324" t="s">
        <v>1546</v>
      </c>
      <c r="F1324">
        <v>2.50079142548018</v>
      </c>
      <c r="G1324" s="14">
        <v>474.695900504723</v>
      </c>
      <c r="H1324" s="17">
        <v>0.155149313065335</v>
      </c>
      <c r="I1324" t="s">
        <v>1614</v>
      </c>
      <c r="J1324" s="14">
        <v>1005.8906525771999</v>
      </c>
      <c r="K1324" s="14">
        <f t="shared" si="160"/>
        <v>221438.8195495728</v>
      </c>
      <c r="L1324" s="14">
        <f t="shared" si="161"/>
        <v>229</v>
      </c>
      <c r="M1324" s="14" t="str">
        <f t="shared" si="162"/>
        <v>18-07-2025</v>
      </c>
      <c r="N1324" s="14">
        <f t="shared" si="163"/>
        <v>0.15743489292462301</v>
      </c>
      <c r="O1324" s="20">
        <f t="shared" si="164"/>
        <v>2.5092715750792944</v>
      </c>
      <c r="P1324" s="14">
        <f t="shared" si="165"/>
        <v>457.20004095362884</v>
      </c>
      <c r="Q1324" s="14">
        <f t="shared" si="166"/>
        <v>370.81062345511714</v>
      </c>
      <c r="R1324" s="14" t="str">
        <f t="shared" si="167"/>
        <v>Jul</v>
      </c>
    </row>
    <row r="1325" spans="1:18" x14ac:dyDescent="0.3">
      <c r="A1325" t="s">
        <v>2933</v>
      </c>
      <c r="B1325" s="1">
        <v>45712</v>
      </c>
      <c r="C1325" t="s">
        <v>1050</v>
      </c>
      <c r="D1325" t="s">
        <v>1425</v>
      </c>
      <c r="E1325" t="s">
        <v>1546</v>
      </c>
      <c r="F1325">
        <v>2.5008165146801802</v>
      </c>
      <c r="G1325" s="14">
        <v>474.644137606642</v>
      </c>
      <c r="H1325" s="17">
        <v>0.155156075135925</v>
      </c>
      <c r="I1325" t="s">
        <v>1609</v>
      </c>
      <c r="J1325" s="14">
        <v>1005.78265611775</v>
      </c>
      <c r="K1325" s="14">
        <f t="shared" si="160"/>
        <v>221438.8195495728</v>
      </c>
      <c r="L1325" s="14">
        <f t="shared" si="161"/>
        <v>229</v>
      </c>
      <c r="M1325" s="14" t="str">
        <f t="shared" si="162"/>
        <v>24-02-2025</v>
      </c>
      <c r="N1325" s="14">
        <f t="shared" si="163"/>
        <v>0.1574382739599178</v>
      </c>
      <c r="O1325" s="20">
        <f t="shared" si="164"/>
        <v>2.5092841196792932</v>
      </c>
      <c r="P1325" s="14">
        <f t="shared" si="165"/>
        <v>457.17415950458877</v>
      </c>
      <c r="Q1325" s="14">
        <f t="shared" si="166"/>
        <v>370.77069157855203</v>
      </c>
      <c r="R1325" s="14" t="str">
        <f t="shared" si="167"/>
        <v>Feb</v>
      </c>
    </row>
    <row r="1326" spans="1:18" x14ac:dyDescent="0.3">
      <c r="A1326" t="s">
        <v>2934</v>
      </c>
      <c r="B1326" s="1">
        <v>45723</v>
      </c>
      <c r="C1326" t="s">
        <v>702</v>
      </c>
      <c r="D1326" t="s">
        <v>1403</v>
      </c>
      <c r="E1326" t="s">
        <v>1595</v>
      </c>
      <c r="F1326">
        <v>2.5008416038801702</v>
      </c>
      <c r="G1326" s="14">
        <v>474.59237470856198</v>
      </c>
      <c r="H1326" s="17">
        <v>0.155162837206514</v>
      </c>
      <c r="I1326" t="s">
        <v>1614</v>
      </c>
      <c r="J1326" s="14">
        <v>1005.6746596583</v>
      </c>
      <c r="K1326" s="14">
        <f t="shared" si="160"/>
        <v>220433.03689345505</v>
      </c>
      <c r="L1326" s="14">
        <f t="shared" si="161"/>
        <v>228</v>
      </c>
      <c r="M1326" s="14" t="str">
        <f t="shared" si="162"/>
        <v>07-03-2025</v>
      </c>
      <c r="N1326" s="14">
        <f t="shared" si="163"/>
        <v>0.15744165499521259</v>
      </c>
      <c r="O1326" s="20">
        <f t="shared" si="164"/>
        <v>2.509296664279292</v>
      </c>
      <c r="P1326" s="14">
        <f t="shared" si="165"/>
        <v>457.14827805554859</v>
      </c>
      <c r="Q1326" s="14">
        <f t="shared" si="166"/>
        <v>370.73075970198715</v>
      </c>
      <c r="R1326" s="14" t="str">
        <f t="shared" si="167"/>
        <v>Mar</v>
      </c>
    </row>
    <row r="1327" spans="1:18" x14ac:dyDescent="0.3">
      <c r="A1327" t="s">
        <v>2935</v>
      </c>
      <c r="B1327" s="1">
        <v>45706</v>
      </c>
      <c r="C1327" t="s">
        <v>281</v>
      </c>
      <c r="D1327" t="s">
        <v>1375</v>
      </c>
      <c r="E1327" t="s">
        <v>1598</v>
      </c>
      <c r="F1327">
        <v>2.50086669308017</v>
      </c>
      <c r="G1327" s="14">
        <v>474.54061181048201</v>
      </c>
      <c r="H1327" s="17">
        <v>0.155169599277104</v>
      </c>
      <c r="I1327" t="s">
        <v>1611</v>
      </c>
      <c r="J1327" s="14">
        <v>1005.56666319884</v>
      </c>
      <c r="K1327" s="14">
        <f t="shared" si="160"/>
        <v>220433.03689345505</v>
      </c>
      <c r="L1327" s="14">
        <f t="shared" si="161"/>
        <v>228</v>
      </c>
      <c r="M1327" s="14" t="str">
        <f t="shared" si="162"/>
        <v>18-02-2025</v>
      </c>
      <c r="N1327" s="14">
        <f t="shared" si="163"/>
        <v>0.15744503603050744</v>
      </c>
      <c r="O1327" s="20">
        <f t="shared" si="164"/>
        <v>2.5093092088792908</v>
      </c>
      <c r="P1327" s="14">
        <f t="shared" si="165"/>
        <v>457.12239660650857</v>
      </c>
      <c r="Q1327" s="14">
        <f t="shared" si="166"/>
        <v>370.69082782541983</v>
      </c>
      <c r="R1327" s="14" t="str">
        <f t="shared" si="167"/>
        <v>Feb</v>
      </c>
    </row>
    <row r="1328" spans="1:18" x14ac:dyDescent="0.3">
      <c r="A1328" t="s">
        <v>2936</v>
      </c>
      <c r="B1328" s="1">
        <v>45469</v>
      </c>
      <c r="C1328" t="s">
        <v>1157</v>
      </c>
      <c r="D1328" t="s">
        <v>1407</v>
      </c>
      <c r="E1328" t="s">
        <v>1589</v>
      </c>
      <c r="F1328">
        <v>2.5008917822801702</v>
      </c>
      <c r="G1328" s="14">
        <v>474.48884891240198</v>
      </c>
      <c r="H1328" s="17">
        <v>0.155176361347693</v>
      </c>
      <c r="I1328" t="s">
        <v>1614</v>
      </c>
      <c r="J1328" s="14">
        <v>1005.45866673939</v>
      </c>
      <c r="K1328" s="14">
        <f t="shared" si="160"/>
        <v>220433.03689345505</v>
      </c>
      <c r="L1328" s="14">
        <f t="shared" si="161"/>
        <v>228</v>
      </c>
      <c r="M1328" s="14" t="str">
        <f t="shared" si="162"/>
        <v>26-06-2024</v>
      </c>
      <c r="N1328" s="14">
        <f t="shared" si="163"/>
        <v>0.15744841706580223</v>
      </c>
      <c r="O1328" s="20">
        <f t="shared" si="164"/>
        <v>2.5093217534792891</v>
      </c>
      <c r="P1328" s="14">
        <f t="shared" si="165"/>
        <v>457.0965151574685</v>
      </c>
      <c r="Q1328" s="14">
        <f t="shared" si="166"/>
        <v>370.65089594885495</v>
      </c>
      <c r="R1328" s="14" t="str">
        <f t="shared" si="167"/>
        <v>Jun</v>
      </c>
    </row>
    <row r="1329" spans="1:18" x14ac:dyDescent="0.3">
      <c r="A1329" t="s">
        <v>2937</v>
      </c>
      <c r="B1329" s="1">
        <v>45711</v>
      </c>
      <c r="C1329" t="s">
        <v>307</v>
      </c>
      <c r="D1329" t="s">
        <v>1501</v>
      </c>
      <c r="E1329" t="s">
        <v>1554</v>
      </c>
      <c r="F1329">
        <v>2.5009168714801699</v>
      </c>
      <c r="G1329" s="14">
        <v>474.43708601432201</v>
      </c>
      <c r="H1329" s="17">
        <v>0.155183123418283</v>
      </c>
      <c r="I1329" t="s">
        <v>1609</v>
      </c>
      <c r="J1329" s="14">
        <v>1005.35067027994</v>
      </c>
      <c r="K1329" s="14">
        <f t="shared" si="160"/>
        <v>220433.03689345505</v>
      </c>
      <c r="L1329" s="14">
        <f t="shared" si="161"/>
        <v>228</v>
      </c>
      <c r="M1329" s="14" t="str">
        <f t="shared" si="162"/>
        <v>23-02-2025</v>
      </c>
      <c r="N1329" s="14">
        <f t="shared" si="163"/>
        <v>0.15745179810109705</v>
      </c>
      <c r="O1329" s="20">
        <f t="shared" si="164"/>
        <v>2.5093342980792879</v>
      </c>
      <c r="P1329" s="14">
        <f t="shared" si="165"/>
        <v>457.07063370842843</v>
      </c>
      <c r="Q1329" s="14">
        <f t="shared" si="166"/>
        <v>370.61096407229013</v>
      </c>
      <c r="R1329" s="14" t="str">
        <f t="shared" si="167"/>
        <v>Feb</v>
      </c>
    </row>
    <row r="1330" spans="1:18" x14ac:dyDescent="0.3">
      <c r="A1330" t="s">
        <v>2938</v>
      </c>
      <c r="B1330" s="1">
        <v>45823</v>
      </c>
      <c r="C1330" t="s">
        <v>1292</v>
      </c>
      <c r="D1330" t="s">
        <v>1519</v>
      </c>
      <c r="E1330" t="s">
        <v>1579</v>
      </c>
      <c r="F1330">
        <v>2.5009419606801599</v>
      </c>
      <c r="G1330" s="14">
        <v>474.38532311624198</v>
      </c>
      <c r="H1330" s="17">
        <v>0.155189885488873</v>
      </c>
      <c r="I1330" t="s">
        <v>1614</v>
      </c>
      <c r="J1330" s="14">
        <v>1005.24267382049</v>
      </c>
      <c r="K1330" s="14">
        <f t="shared" si="160"/>
        <v>219427.68622317511</v>
      </c>
      <c r="L1330" s="14">
        <f t="shared" si="161"/>
        <v>227</v>
      </c>
      <c r="M1330" s="14" t="str">
        <f t="shared" si="162"/>
        <v>15-06-2025</v>
      </c>
      <c r="N1330" s="14">
        <f t="shared" si="163"/>
        <v>0.15745517913639184</v>
      </c>
      <c r="O1330" s="20">
        <f t="shared" si="164"/>
        <v>2.5093468426792866</v>
      </c>
      <c r="P1330" s="14">
        <f t="shared" si="165"/>
        <v>457.0447522593883</v>
      </c>
      <c r="Q1330" s="14">
        <f t="shared" si="166"/>
        <v>370.57103219572525</v>
      </c>
      <c r="R1330" s="14" t="str">
        <f t="shared" si="167"/>
        <v>Jun</v>
      </c>
    </row>
    <row r="1331" spans="1:18" x14ac:dyDescent="0.3">
      <c r="A1331" t="s">
        <v>2939</v>
      </c>
      <c r="B1331" s="1">
        <v>45217</v>
      </c>
      <c r="C1331" t="s">
        <v>1269</v>
      </c>
      <c r="D1331" t="s">
        <v>1463</v>
      </c>
      <c r="E1331" t="s">
        <v>1551</v>
      </c>
      <c r="F1331">
        <v>2.5009670498801602</v>
      </c>
      <c r="G1331" s="14">
        <v>474.33356021816098</v>
      </c>
      <c r="H1331" s="17">
        <v>0.155196647559462</v>
      </c>
      <c r="I1331" t="s">
        <v>1611</v>
      </c>
      <c r="J1331" s="14">
        <v>1005.13467736104</v>
      </c>
      <c r="K1331" s="14">
        <f t="shared" si="160"/>
        <v>219427.68622317511</v>
      </c>
      <c r="L1331" s="14">
        <f t="shared" si="161"/>
        <v>227</v>
      </c>
      <c r="M1331" s="14" t="str">
        <f t="shared" si="162"/>
        <v>18-10-2023</v>
      </c>
      <c r="N1331" s="14">
        <f t="shared" si="163"/>
        <v>0.15745856017168663</v>
      </c>
      <c r="O1331" s="20">
        <f t="shared" si="164"/>
        <v>2.5093593872792854</v>
      </c>
      <c r="P1331" s="14">
        <f t="shared" si="165"/>
        <v>457.01887081034818</v>
      </c>
      <c r="Q1331" s="14">
        <f t="shared" si="166"/>
        <v>370.53110031916015</v>
      </c>
      <c r="R1331" s="14" t="str">
        <f t="shared" si="167"/>
        <v>Oct</v>
      </c>
    </row>
    <row r="1332" spans="1:18" x14ac:dyDescent="0.3">
      <c r="A1332" t="s">
        <v>2940</v>
      </c>
      <c r="B1332" s="1">
        <v>45733</v>
      </c>
      <c r="C1332" t="s">
        <v>353</v>
      </c>
      <c r="D1332" t="s">
        <v>1377</v>
      </c>
      <c r="E1332" t="s">
        <v>1595</v>
      </c>
      <c r="F1332">
        <v>2.5009921390801599</v>
      </c>
      <c r="G1332" s="14">
        <v>474.28179732008101</v>
      </c>
      <c r="H1332" s="17">
        <v>0.155203409630052</v>
      </c>
      <c r="I1332" t="s">
        <v>1609</v>
      </c>
      <c r="J1332" s="14">
        <v>1005.02668090159</v>
      </c>
      <c r="K1332" s="14">
        <f t="shared" si="160"/>
        <v>219427.68622317511</v>
      </c>
      <c r="L1332" s="14">
        <f t="shared" si="161"/>
        <v>227</v>
      </c>
      <c r="M1332" s="14" t="str">
        <f t="shared" si="162"/>
        <v>17-03-2025</v>
      </c>
      <c r="N1332" s="14">
        <f t="shared" si="163"/>
        <v>0.15746194120698148</v>
      </c>
      <c r="O1332" s="20">
        <f t="shared" si="164"/>
        <v>2.5093719318792842</v>
      </c>
      <c r="P1332" s="14">
        <f t="shared" si="165"/>
        <v>456.9929893613081</v>
      </c>
      <c r="Q1332" s="14">
        <f t="shared" si="166"/>
        <v>370.49116844259532</v>
      </c>
      <c r="R1332" s="14" t="str">
        <f t="shared" si="167"/>
        <v>Mar</v>
      </c>
    </row>
    <row r="1333" spans="1:18" x14ac:dyDescent="0.3">
      <c r="A1333" t="s">
        <v>2941</v>
      </c>
      <c r="B1333" s="1">
        <v>45520</v>
      </c>
      <c r="C1333" t="s">
        <v>743</v>
      </c>
      <c r="D1333" t="s">
        <v>1513</v>
      </c>
      <c r="E1333" t="s">
        <v>1582</v>
      </c>
      <c r="F1333">
        <v>2.5010172282801499</v>
      </c>
      <c r="G1333" s="14">
        <v>474.23003442200098</v>
      </c>
      <c r="H1333" s="17">
        <v>0.155210171700641</v>
      </c>
      <c r="I1333" t="s">
        <v>1614</v>
      </c>
      <c r="J1333" s="14">
        <v>1004.91868444213</v>
      </c>
      <c r="K1333" s="14">
        <f t="shared" si="160"/>
        <v>218422.65954227353</v>
      </c>
      <c r="L1333" s="14">
        <f t="shared" si="161"/>
        <v>226</v>
      </c>
      <c r="M1333" s="14" t="str">
        <f t="shared" si="162"/>
        <v>16-08-2024</v>
      </c>
      <c r="N1333" s="14">
        <f t="shared" si="163"/>
        <v>0.15746532224227627</v>
      </c>
      <c r="O1333" s="20">
        <f t="shared" si="164"/>
        <v>2.5093844764792825</v>
      </c>
      <c r="P1333" s="14">
        <f t="shared" si="165"/>
        <v>456.96710791226803</v>
      </c>
      <c r="Q1333" s="14">
        <f t="shared" si="166"/>
        <v>370.45123656602794</v>
      </c>
      <c r="R1333" s="14" t="str">
        <f t="shared" si="167"/>
        <v>Aug</v>
      </c>
    </row>
    <row r="1334" spans="1:18" x14ac:dyDescent="0.3">
      <c r="A1334" t="s">
        <v>2942</v>
      </c>
      <c r="B1334" s="1">
        <v>45373</v>
      </c>
      <c r="C1334" t="s">
        <v>147</v>
      </c>
      <c r="D1334" t="s">
        <v>1521</v>
      </c>
      <c r="E1334" t="s">
        <v>1582</v>
      </c>
      <c r="F1334">
        <v>2.5010423174801502</v>
      </c>
      <c r="G1334" s="14">
        <v>474.17827152392101</v>
      </c>
      <c r="H1334" s="17">
        <v>0.155216933771231</v>
      </c>
      <c r="I1334" t="s">
        <v>1609</v>
      </c>
      <c r="J1334" s="14">
        <v>1004.81068798268</v>
      </c>
      <c r="K1334" s="14">
        <f t="shared" si="160"/>
        <v>218422.65954227353</v>
      </c>
      <c r="L1334" s="14">
        <f t="shared" si="161"/>
        <v>226</v>
      </c>
      <c r="M1334" s="14" t="str">
        <f t="shared" si="162"/>
        <v>22-03-2024</v>
      </c>
      <c r="N1334" s="14">
        <f t="shared" si="163"/>
        <v>0.15746870327757109</v>
      </c>
      <c r="O1334" s="20">
        <f t="shared" si="164"/>
        <v>2.5093970210792813</v>
      </c>
      <c r="P1334" s="14">
        <f t="shared" si="165"/>
        <v>456.94122646322796</v>
      </c>
      <c r="Q1334" s="14">
        <f t="shared" si="166"/>
        <v>370.41130468946307</v>
      </c>
      <c r="R1334" s="14" t="str">
        <f t="shared" si="167"/>
        <v>Mar</v>
      </c>
    </row>
    <row r="1335" spans="1:18" x14ac:dyDescent="0.3">
      <c r="A1335" t="s">
        <v>2943</v>
      </c>
      <c r="B1335" s="1">
        <v>45688</v>
      </c>
      <c r="C1335" t="s">
        <v>538</v>
      </c>
      <c r="D1335" t="s">
        <v>1527</v>
      </c>
      <c r="E1335" t="s">
        <v>1598</v>
      </c>
      <c r="F1335">
        <v>2.5010674066801499</v>
      </c>
      <c r="G1335" s="14">
        <v>474.12650862584098</v>
      </c>
      <c r="H1335" s="17">
        <v>0.155223695841821</v>
      </c>
      <c r="I1335" t="s">
        <v>1614</v>
      </c>
      <c r="J1335" s="14">
        <v>1004.70269152323</v>
      </c>
      <c r="K1335" s="14">
        <f t="shared" si="160"/>
        <v>217417.84885429082</v>
      </c>
      <c r="L1335" s="14">
        <f t="shared" si="161"/>
        <v>225</v>
      </c>
      <c r="M1335" s="14" t="str">
        <f t="shared" si="162"/>
        <v>31-01-2025</v>
      </c>
      <c r="N1335" s="14">
        <f t="shared" si="163"/>
        <v>0.15747208431286591</v>
      </c>
      <c r="O1335" s="20">
        <f t="shared" si="164"/>
        <v>2.5094095656792801</v>
      </c>
      <c r="P1335" s="14">
        <f t="shared" si="165"/>
        <v>456.91534501418789</v>
      </c>
      <c r="Q1335" s="14">
        <f t="shared" si="166"/>
        <v>370.37137281289824</v>
      </c>
      <c r="R1335" s="14" t="str">
        <f t="shared" si="167"/>
        <v>Jan</v>
      </c>
    </row>
    <row r="1336" spans="1:18" x14ac:dyDescent="0.3">
      <c r="A1336" t="s">
        <v>2944</v>
      </c>
      <c r="B1336" s="1">
        <v>45276</v>
      </c>
      <c r="C1336" t="s">
        <v>1290</v>
      </c>
      <c r="D1336" t="s">
        <v>1423</v>
      </c>
      <c r="E1336" t="s">
        <v>1586</v>
      </c>
      <c r="F1336">
        <v>2.5010924958801501</v>
      </c>
      <c r="G1336" s="14">
        <v>474.07474572776101</v>
      </c>
      <c r="H1336" s="17">
        <v>0.15523045791241</v>
      </c>
      <c r="I1336" t="s">
        <v>1614</v>
      </c>
      <c r="J1336" s="14">
        <v>1004.59469506378</v>
      </c>
      <c r="K1336" s="14">
        <f t="shared" si="160"/>
        <v>217417.84885429082</v>
      </c>
      <c r="L1336" s="14">
        <f t="shared" si="161"/>
        <v>225</v>
      </c>
      <c r="M1336" s="14" t="str">
        <f t="shared" si="162"/>
        <v>16-12-2023</v>
      </c>
      <c r="N1336" s="14">
        <f t="shared" si="163"/>
        <v>0.15747546534816068</v>
      </c>
      <c r="O1336" s="20">
        <f t="shared" si="164"/>
        <v>2.5094221102792784</v>
      </c>
      <c r="P1336" s="14">
        <f t="shared" si="165"/>
        <v>456.88946356514771</v>
      </c>
      <c r="Q1336" s="14">
        <f t="shared" si="166"/>
        <v>370.33144093633337</v>
      </c>
      <c r="R1336" s="14" t="str">
        <f t="shared" si="167"/>
        <v>Dec</v>
      </c>
    </row>
    <row r="1337" spans="1:18" x14ac:dyDescent="0.3">
      <c r="A1337" t="s">
        <v>2945</v>
      </c>
      <c r="B1337" s="1">
        <v>45756</v>
      </c>
      <c r="C1337" t="s">
        <v>172</v>
      </c>
      <c r="D1337" t="s">
        <v>1350</v>
      </c>
      <c r="E1337" t="s">
        <v>1579</v>
      </c>
      <c r="F1337">
        <v>2.5011175850801401</v>
      </c>
      <c r="G1337" s="14">
        <v>474.02298282968098</v>
      </c>
      <c r="H1337" s="17">
        <v>0.155237219983</v>
      </c>
      <c r="I1337" t="s">
        <v>1611</v>
      </c>
      <c r="J1337" s="14">
        <v>1004.4866986043299</v>
      </c>
      <c r="K1337" s="14">
        <f t="shared" si="160"/>
        <v>217417.84885429082</v>
      </c>
      <c r="L1337" s="14">
        <f t="shared" si="161"/>
        <v>225</v>
      </c>
      <c r="M1337" s="14" t="str">
        <f t="shared" si="162"/>
        <v>09-04-2025</v>
      </c>
      <c r="N1337" s="14">
        <f t="shared" si="163"/>
        <v>0.1574788463834555</v>
      </c>
      <c r="O1337" s="20">
        <f t="shared" si="164"/>
        <v>2.5094346548792767</v>
      </c>
      <c r="P1337" s="14">
        <f t="shared" si="165"/>
        <v>456.86358211610769</v>
      </c>
      <c r="Q1337" s="14">
        <f t="shared" si="166"/>
        <v>370.29150905976849</v>
      </c>
      <c r="R1337" s="14" t="str">
        <f t="shared" si="167"/>
        <v>Apr</v>
      </c>
    </row>
    <row r="1338" spans="1:18" x14ac:dyDescent="0.3">
      <c r="A1338" t="s">
        <v>2946</v>
      </c>
      <c r="B1338" s="1">
        <v>45309</v>
      </c>
      <c r="C1338" t="s">
        <v>417</v>
      </c>
      <c r="D1338" t="s">
        <v>1479</v>
      </c>
      <c r="E1338" t="s">
        <v>1554</v>
      </c>
      <c r="F1338">
        <v>2.5011426742801399</v>
      </c>
      <c r="G1338" s="14">
        <v>473.97121993159999</v>
      </c>
      <c r="H1338" s="17">
        <v>0.15524398205359</v>
      </c>
      <c r="I1338" t="s">
        <v>1611</v>
      </c>
      <c r="J1338" s="14">
        <v>1004.37870214488</v>
      </c>
      <c r="K1338" s="14">
        <f t="shared" si="160"/>
        <v>217417.84885429082</v>
      </c>
      <c r="L1338" s="14">
        <f t="shared" si="161"/>
        <v>225</v>
      </c>
      <c r="M1338" s="14" t="str">
        <f t="shared" si="162"/>
        <v>18-01-2024</v>
      </c>
      <c r="N1338" s="14">
        <f t="shared" si="163"/>
        <v>0.15748222741875029</v>
      </c>
      <c r="O1338" s="20">
        <f t="shared" si="164"/>
        <v>2.509447199479276</v>
      </c>
      <c r="P1338" s="14">
        <f t="shared" si="165"/>
        <v>456.83770066706757</v>
      </c>
      <c r="Q1338" s="14">
        <f t="shared" si="166"/>
        <v>370.25157718320344</v>
      </c>
      <c r="R1338" s="14" t="str">
        <f t="shared" si="167"/>
        <v>Jan</v>
      </c>
    </row>
    <row r="1339" spans="1:18" x14ac:dyDescent="0.3">
      <c r="A1339" t="s">
        <v>2947</v>
      </c>
      <c r="B1339" s="1">
        <v>45744</v>
      </c>
      <c r="C1339" t="s">
        <v>1276</v>
      </c>
      <c r="D1339" t="s">
        <v>1499</v>
      </c>
      <c r="E1339" t="s">
        <v>1574</v>
      </c>
      <c r="F1339">
        <v>2.5011677634801401</v>
      </c>
      <c r="G1339" s="14">
        <v>473.91945703352002</v>
      </c>
      <c r="H1339" s="17">
        <v>0.155250744124179</v>
      </c>
      <c r="I1339" t="s">
        <v>1611</v>
      </c>
      <c r="J1339" s="14">
        <v>1004.27070568542</v>
      </c>
      <c r="K1339" s="14">
        <f t="shared" si="160"/>
        <v>217417.84885429082</v>
      </c>
      <c r="L1339" s="14">
        <f t="shared" si="161"/>
        <v>225</v>
      </c>
      <c r="M1339" s="14" t="str">
        <f t="shared" si="162"/>
        <v>28-03-2025</v>
      </c>
      <c r="N1339" s="14">
        <f t="shared" si="163"/>
        <v>0.15748560845404511</v>
      </c>
      <c r="O1339" s="20">
        <f t="shared" si="164"/>
        <v>2.5094597440792743</v>
      </c>
      <c r="P1339" s="14">
        <f t="shared" si="165"/>
        <v>456.81181921802755</v>
      </c>
      <c r="Q1339" s="14">
        <f t="shared" si="166"/>
        <v>370.21164530663611</v>
      </c>
      <c r="R1339" s="14" t="str">
        <f t="shared" si="167"/>
        <v>Mar</v>
      </c>
    </row>
    <row r="1340" spans="1:18" x14ac:dyDescent="0.3">
      <c r="A1340" t="s">
        <v>2948</v>
      </c>
      <c r="B1340" s="1">
        <v>45535</v>
      </c>
      <c r="C1340" t="s">
        <v>431</v>
      </c>
      <c r="D1340" t="s">
        <v>1345</v>
      </c>
      <c r="E1340" t="s">
        <v>1595</v>
      </c>
      <c r="F1340">
        <v>2.5011928526801399</v>
      </c>
      <c r="G1340" s="14">
        <v>473.86769413543999</v>
      </c>
      <c r="H1340" s="17">
        <v>0.155257506194769</v>
      </c>
      <c r="I1340" t="s">
        <v>1614</v>
      </c>
      <c r="J1340" s="14">
        <v>1004.16270922597</v>
      </c>
      <c r="K1340" s="14">
        <f t="shared" si="160"/>
        <v>217417.84885429082</v>
      </c>
      <c r="L1340" s="14">
        <f t="shared" si="161"/>
        <v>225</v>
      </c>
      <c r="M1340" s="14" t="str">
        <f t="shared" si="162"/>
        <v>31-08-2024</v>
      </c>
      <c r="N1340" s="14">
        <f t="shared" si="163"/>
        <v>0.15748898948933987</v>
      </c>
      <c r="O1340" s="20">
        <f t="shared" si="164"/>
        <v>2.5094722886792731</v>
      </c>
      <c r="P1340" s="14">
        <f t="shared" si="165"/>
        <v>456.78593776898737</v>
      </c>
      <c r="Q1340" s="14">
        <f t="shared" si="166"/>
        <v>370.17171343007124</v>
      </c>
      <c r="R1340" s="14" t="str">
        <f t="shared" si="167"/>
        <v>Aug</v>
      </c>
    </row>
    <row r="1341" spans="1:18" x14ac:dyDescent="0.3">
      <c r="A1341" t="s">
        <v>2949</v>
      </c>
      <c r="B1341" s="1">
        <v>45240</v>
      </c>
      <c r="C1341" t="s">
        <v>767</v>
      </c>
      <c r="D1341" t="s">
        <v>1489</v>
      </c>
      <c r="E1341" t="s">
        <v>1542</v>
      </c>
      <c r="F1341">
        <v>2.5012179418801299</v>
      </c>
      <c r="G1341" s="14">
        <v>473.81593123736002</v>
      </c>
      <c r="H1341" s="17">
        <v>0.155264268265358</v>
      </c>
      <c r="I1341" t="s">
        <v>1614</v>
      </c>
      <c r="J1341" s="14">
        <v>1004.05471276652</v>
      </c>
      <c r="K1341" s="14">
        <f t="shared" si="160"/>
        <v>217417.84885429082</v>
      </c>
      <c r="L1341" s="14">
        <f t="shared" si="161"/>
        <v>225</v>
      </c>
      <c r="M1341" s="14" t="str">
        <f t="shared" si="162"/>
        <v>10-11-2023</v>
      </c>
      <c r="N1341" s="14">
        <f t="shared" si="163"/>
        <v>0.15749237052463472</v>
      </c>
      <c r="O1341" s="20">
        <f t="shared" si="164"/>
        <v>2.5094848332792714</v>
      </c>
      <c r="P1341" s="14">
        <f t="shared" si="165"/>
        <v>456.7600563199473</v>
      </c>
      <c r="Q1341" s="14">
        <f t="shared" si="166"/>
        <v>370.13178155350636</v>
      </c>
      <c r="R1341" s="14" t="str">
        <f t="shared" si="167"/>
        <v>Nov</v>
      </c>
    </row>
    <row r="1342" spans="1:18" x14ac:dyDescent="0.3">
      <c r="A1342" t="s">
        <v>2950</v>
      </c>
      <c r="B1342" s="1">
        <v>45275</v>
      </c>
      <c r="C1342" t="s">
        <v>344</v>
      </c>
      <c r="D1342" t="s">
        <v>1338</v>
      </c>
      <c r="E1342" t="s">
        <v>1598</v>
      </c>
      <c r="F1342">
        <v>2.5012430310801301</v>
      </c>
      <c r="G1342" s="14">
        <v>473.76416833927999</v>
      </c>
      <c r="H1342" s="17">
        <v>0.155271030335948</v>
      </c>
      <c r="I1342" t="s">
        <v>1609</v>
      </c>
      <c r="J1342" s="14">
        <v>1003.94671630707</v>
      </c>
      <c r="K1342" s="14">
        <f t="shared" si="160"/>
        <v>217417.84885429082</v>
      </c>
      <c r="L1342" s="14">
        <f t="shared" si="161"/>
        <v>225</v>
      </c>
      <c r="M1342" s="14" t="str">
        <f t="shared" si="162"/>
        <v>15-12-2023</v>
      </c>
      <c r="N1342" s="14">
        <f t="shared" si="163"/>
        <v>0.15749575155992951</v>
      </c>
      <c r="O1342" s="20">
        <f t="shared" si="164"/>
        <v>2.5094973778792702</v>
      </c>
      <c r="P1342" s="14">
        <f t="shared" si="165"/>
        <v>456.73417487090717</v>
      </c>
      <c r="Q1342" s="14">
        <f t="shared" si="166"/>
        <v>370.09184967694154</v>
      </c>
      <c r="R1342" s="14" t="str">
        <f t="shared" si="167"/>
        <v>Dec</v>
      </c>
    </row>
    <row r="1343" spans="1:18" x14ac:dyDescent="0.3">
      <c r="A1343" t="s">
        <v>2951</v>
      </c>
      <c r="B1343" s="1">
        <v>45427</v>
      </c>
      <c r="C1343" t="s">
        <v>275</v>
      </c>
      <c r="D1343" t="s">
        <v>1511</v>
      </c>
      <c r="E1343" t="s">
        <v>1574</v>
      </c>
      <c r="F1343">
        <v>2.5012681202801299</v>
      </c>
      <c r="G1343" s="14">
        <v>473.71240544120002</v>
      </c>
      <c r="H1343" s="17">
        <v>0.155277792406538</v>
      </c>
      <c r="I1343" t="s">
        <v>1614</v>
      </c>
      <c r="J1343" s="14">
        <v>1003.83871984762</v>
      </c>
      <c r="K1343" s="14">
        <f t="shared" si="160"/>
        <v>216413.90213798374</v>
      </c>
      <c r="L1343" s="14">
        <f t="shared" si="161"/>
        <v>224</v>
      </c>
      <c r="M1343" s="14" t="str">
        <f t="shared" si="162"/>
        <v>15-05-2024</v>
      </c>
      <c r="N1343" s="14">
        <f t="shared" si="163"/>
        <v>0.15749913259522433</v>
      </c>
      <c r="O1343" s="20">
        <f t="shared" si="164"/>
        <v>2.509509922479269</v>
      </c>
      <c r="P1343" s="14">
        <f t="shared" si="165"/>
        <v>456.70829342186704</v>
      </c>
      <c r="Q1343" s="14">
        <f t="shared" si="166"/>
        <v>370.05191780037671</v>
      </c>
      <c r="R1343" s="14" t="str">
        <f t="shared" si="167"/>
        <v>May</v>
      </c>
    </row>
    <row r="1344" spans="1:18" x14ac:dyDescent="0.3">
      <c r="A1344" t="s">
        <v>2952</v>
      </c>
      <c r="B1344" s="1">
        <v>45322</v>
      </c>
      <c r="C1344" t="s">
        <v>678</v>
      </c>
      <c r="D1344" t="s">
        <v>1401</v>
      </c>
      <c r="E1344" t="s">
        <v>1554</v>
      </c>
      <c r="F1344">
        <v>2.5012932094801301</v>
      </c>
      <c r="G1344" s="14">
        <v>473.66064254311902</v>
      </c>
      <c r="H1344" s="17">
        <v>0.155284554477127</v>
      </c>
      <c r="I1344" t="s">
        <v>1614</v>
      </c>
      <c r="J1344" s="14">
        <v>1003.73072338817</v>
      </c>
      <c r="K1344" s="14">
        <f t="shared" si="160"/>
        <v>216413.90213798374</v>
      </c>
      <c r="L1344" s="14">
        <f t="shared" si="161"/>
        <v>224</v>
      </c>
      <c r="M1344" s="14" t="str">
        <f t="shared" si="162"/>
        <v>31-01-2024</v>
      </c>
      <c r="N1344" s="14">
        <f t="shared" si="163"/>
        <v>0.15750251363051912</v>
      </c>
      <c r="O1344" s="20">
        <f t="shared" si="164"/>
        <v>2.5095224670792677</v>
      </c>
      <c r="P1344" s="14">
        <f t="shared" si="165"/>
        <v>456.68241197282703</v>
      </c>
      <c r="Q1344" s="14">
        <f t="shared" si="166"/>
        <v>370.01198592381155</v>
      </c>
      <c r="R1344" s="14" t="str">
        <f t="shared" si="167"/>
        <v>Jan</v>
      </c>
    </row>
    <row r="1345" spans="1:18" x14ac:dyDescent="0.3">
      <c r="A1345" t="s">
        <v>2953</v>
      </c>
      <c r="B1345" s="1">
        <v>45266</v>
      </c>
      <c r="C1345" t="s">
        <v>1050</v>
      </c>
      <c r="D1345" t="s">
        <v>1485</v>
      </c>
      <c r="E1345" t="s">
        <v>1561</v>
      </c>
      <c r="F1345">
        <v>2.5013182986801201</v>
      </c>
      <c r="G1345" s="14">
        <v>473.608879645039</v>
      </c>
      <c r="H1345" s="17">
        <v>0.155291316547717</v>
      </c>
      <c r="I1345" t="s">
        <v>1609</v>
      </c>
      <c r="J1345" s="14">
        <v>1003.62272692871</v>
      </c>
      <c r="K1345" s="14">
        <f t="shared" si="160"/>
        <v>216413.90213798374</v>
      </c>
      <c r="L1345" s="14">
        <f t="shared" si="161"/>
        <v>224</v>
      </c>
      <c r="M1345" s="14" t="str">
        <f t="shared" si="162"/>
        <v>06-12-2023</v>
      </c>
      <c r="N1345" s="14">
        <f t="shared" si="163"/>
        <v>0.15750589466581394</v>
      </c>
      <c r="O1345" s="20">
        <f t="shared" si="164"/>
        <v>2.509535011679267</v>
      </c>
      <c r="P1345" s="14">
        <f t="shared" si="165"/>
        <v>456.65653052378678</v>
      </c>
      <c r="Q1345" s="14">
        <f t="shared" si="166"/>
        <v>369.97205404724423</v>
      </c>
      <c r="R1345" s="14" t="str">
        <f t="shared" si="167"/>
        <v>Dec</v>
      </c>
    </row>
    <row r="1346" spans="1:18" x14ac:dyDescent="0.3">
      <c r="A1346" t="s">
        <v>2954</v>
      </c>
      <c r="B1346" s="1">
        <v>45302</v>
      </c>
      <c r="C1346" t="s">
        <v>1304</v>
      </c>
      <c r="D1346" t="s">
        <v>1350</v>
      </c>
      <c r="E1346" t="s">
        <v>1586</v>
      </c>
      <c r="F1346">
        <v>2.5013433878801199</v>
      </c>
      <c r="G1346" s="14">
        <v>473.55711674695903</v>
      </c>
      <c r="H1346" s="17">
        <v>0.155298078618306</v>
      </c>
      <c r="I1346" t="s">
        <v>1614</v>
      </c>
      <c r="J1346" s="14">
        <v>1003.51473046926</v>
      </c>
      <c r="K1346" s="14">
        <f t="shared" ref="K1346:K1409" si="168">SUMIF(I1346:I3345,"Credit Card",J1346:J3345)</f>
        <v>215410.27941105506</v>
      </c>
      <c r="L1346" s="14">
        <f t="shared" ref="L1346:L1409" si="169">COUNTIF(I1346:I3345,"Credit Card")</f>
        <v>223</v>
      </c>
      <c r="M1346" s="14" t="str">
        <f t="shared" ref="M1346:M1409" si="170">TEXT(B1346:B3345,"dd-mm-yyyy")</f>
        <v>11-01-2024</v>
      </c>
      <c r="N1346" s="14">
        <f t="shared" ref="N1346:N1409" si="171">AVERAGE(H1346:H3345)</f>
        <v>0.1575092757011087</v>
      </c>
      <c r="O1346" s="20">
        <f t="shared" ref="O1346:O1409" si="172">AVERAGE(F1346:F3345)</f>
        <v>2.5095475562792657</v>
      </c>
      <c r="P1346" s="14">
        <f t="shared" ref="P1346:P1409" si="173">AVERAGE(G1346:G3345)</f>
        <v>456.63064907474688</v>
      </c>
      <c r="Q1346" s="14">
        <f t="shared" ref="Q1346:Q1409" si="174">AVERAGE(F1346,G1346,H1346,J1346)</f>
        <v>369.93212217067935</v>
      </c>
      <c r="R1346" s="14" t="str">
        <f t="shared" ref="R1346:R1409" si="175">TEXT(M1346,"mmm")</f>
        <v>Jan</v>
      </c>
    </row>
    <row r="1347" spans="1:18" x14ac:dyDescent="0.3">
      <c r="A1347" t="s">
        <v>2955</v>
      </c>
      <c r="B1347" s="1">
        <v>45907</v>
      </c>
      <c r="C1347" t="s">
        <v>687</v>
      </c>
      <c r="D1347" t="s">
        <v>1409</v>
      </c>
      <c r="E1347" t="s">
        <v>1561</v>
      </c>
      <c r="F1347">
        <v>2.5013684770801201</v>
      </c>
      <c r="G1347" s="14">
        <v>473.505353848879</v>
      </c>
      <c r="H1347" s="17">
        <v>0.155304840688896</v>
      </c>
      <c r="I1347" t="s">
        <v>1614</v>
      </c>
      <c r="J1347" s="14">
        <v>1003.40673400981</v>
      </c>
      <c r="K1347" s="14">
        <f t="shared" si="168"/>
        <v>215410.27941105506</v>
      </c>
      <c r="L1347" s="14">
        <f t="shared" si="169"/>
        <v>223</v>
      </c>
      <c r="M1347" s="14" t="str">
        <f t="shared" si="170"/>
        <v>07-09-2025</v>
      </c>
      <c r="N1347" s="14">
        <f t="shared" si="171"/>
        <v>0.15751265673640352</v>
      </c>
      <c r="O1347" s="20">
        <f t="shared" si="172"/>
        <v>2.5095601008792641</v>
      </c>
      <c r="P1347" s="14">
        <f t="shared" si="173"/>
        <v>456.60476762570681</v>
      </c>
      <c r="Q1347" s="14">
        <f t="shared" si="174"/>
        <v>369.89219029411447</v>
      </c>
      <c r="R1347" s="14" t="str">
        <f t="shared" si="175"/>
        <v>Sep</v>
      </c>
    </row>
    <row r="1348" spans="1:18" x14ac:dyDescent="0.3">
      <c r="A1348" t="s">
        <v>2956</v>
      </c>
      <c r="B1348" s="1">
        <v>45433</v>
      </c>
      <c r="C1348" t="s">
        <v>1241</v>
      </c>
      <c r="D1348" t="s">
        <v>1471</v>
      </c>
      <c r="E1348" t="s">
        <v>1589</v>
      </c>
      <c r="F1348">
        <v>2.5013935662801199</v>
      </c>
      <c r="G1348" s="14">
        <v>473.45359095079903</v>
      </c>
      <c r="H1348" s="17">
        <v>0.15531160275948599</v>
      </c>
      <c r="I1348" t="s">
        <v>1611</v>
      </c>
      <c r="J1348" s="14">
        <v>1003.29873755036</v>
      </c>
      <c r="K1348" s="14">
        <f t="shared" si="168"/>
        <v>215410.27941105506</v>
      </c>
      <c r="L1348" s="14">
        <f t="shared" si="169"/>
        <v>223</v>
      </c>
      <c r="M1348" s="14" t="str">
        <f t="shared" si="170"/>
        <v>21-05-2024</v>
      </c>
      <c r="N1348" s="14">
        <f t="shared" si="171"/>
        <v>0.15751603777169831</v>
      </c>
      <c r="O1348" s="20">
        <f t="shared" si="172"/>
        <v>2.5095726454792633</v>
      </c>
      <c r="P1348" s="14">
        <f t="shared" si="173"/>
        <v>456.57888617666674</v>
      </c>
      <c r="Q1348" s="14">
        <f t="shared" si="174"/>
        <v>369.85225841754965</v>
      </c>
      <c r="R1348" s="14" t="str">
        <f t="shared" si="175"/>
        <v>May</v>
      </c>
    </row>
    <row r="1349" spans="1:18" x14ac:dyDescent="0.3">
      <c r="A1349" t="s">
        <v>2957</v>
      </c>
      <c r="B1349" s="1">
        <v>45892</v>
      </c>
      <c r="C1349" t="s">
        <v>244</v>
      </c>
      <c r="D1349" t="s">
        <v>1493</v>
      </c>
      <c r="E1349" t="s">
        <v>1574</v>
      </c>
      <c r="F1349">
        <v>2.5014186554801099</v>
      </c>
      <c r="G1349" s="14">
        <v>473.401828052719</v>
      </c>
      <c r="H1349" s="17">
        <v>0.155318364830075</v>
      </c>
      <c r="I1349" t="s">
        <v>1614</v>
      </c>
      <c r="J1349" s="14">
        <v>1003.19074109091</v>
      </c>
      <c r="K1349" s="14">
        <f t="shared" si="168"/>
        <v>215410.27941105506</v>
      </c>
      <c r="L1349" s="14">
        <f t="shared" si="169"/>
        <v>223</v>
      </c>
      <c r="M1349" s="14" t="str">
        <f t="shared" si="170"/>
        <v>23-08-2025</v>
      </c>
      <c r="N1349" s="14">
        <f t="shared" si="171"/>
        <v>0.15751941880699316</v>
      </c>
      <c r="O1349" s="20">
        <f t="shared" si="172"/>
        <v>2.5095851900792616</v>
      </c>
      <c r="P1349" s="14">
        <f t="shared" si="173"/>
        <v>456.55300472762656</v>
      </c>
      <c r="Q1349" s="14">
        <f t="shared" si="174"/>
        <v>369.81232654098483</v>
      </c>
      <c r="R1349" s="14" t="str">
        <f t="shared" si="175"/>
        <v>Aug</v>
      </c>
    </row>
    <row r="1350" spans="1:18" x14ac:dyDescent="0.3">
      <c r="A1350" t="s">
        <v>2958</v>
      </c>
      <c r="B1350" s="1">
        <v>45780</v>
      </c>
      <c r="C1350" t="s">
        <v>8</v>
      </c>
      <c r="D1350" t="s">
        <v>1459</v>
      </c>
      <c r="E1350" t="s">
        <v>1589</v>
      </c>
      <c r="F1350">
        <v>2.5014437446801101</v>
      </c>
      <c r="G1350" s="14">
        <v>473.350065154638</v>
      </c>
      <c r="H1350" s="17">
        <v>0.15532512690066499</v>
      </c>
      <c r="I1350" t="s">
        <v>1611</v>
      </c>
      <c r="J1350" s="14">
        <v>1003.0827446314599</v>
      </c>
      <c r="K1350" s="14">
        <f t="shared" si="168"/>
        <v>215410.27941105506</v>
      </c>
      <c r="L1350" s="14">
        <f t="shared" si="169"/>
        <v>223</v>
      </c>
      <c r="M1350" s="14" t="str">
        <f t="shared" si="170"/>
        <v>03-05-2025</v>
      </c>
      <c r="N1350" s="14">
        <f t="shared" si="171"/>
        <v>0.15752279984228792</v>
      </c>
      <c r="O1350" s="20">
        <f t="shared" si="172"/>
        <v>2.5095977346792604</v>
      </c>
      <c r="P1350" s="14">
        <f t="shared" si="173"/>
        <v>456.52712327858649</v>
      </c>
      <c r="Q1350" s="14">
        <f t="shared" si="174"/>
        <v>369.77239466441966</v>
      </c>
      <c r="R1350" s="14" t="str">
        <f t="shared" si="175"/>
        <v>May</v>
      </c>
    </row>
    <row r="1351" spans="1:18" x14ac:dyDescent="0.3">
      <c r="A1351" t="s">
        <v>2959</v>
      </c>
      <c r="B1351" s="1">
        <v>45233</v>
      </c>
      <c r="C1351" t="s">
        <v>1089</v>
      </c>
      <c r="D1351" t="s">
        <v>1407</v>
      </c>
      <c r="E1351" t="s">
        <v>1564</v>
      </c>
      <c r="F1351">
        <v>2.5014688338801099</v>
      </c>
      <c r="G1351" s="14">
        <v>473.29830225655797</v>
      </c>
      <c r="H1351" s="17">
        <v>0.155331888971254</v>
      </c>
      <c r="I1351" t="s">
        <v>1611</v>
      </c>
      <c r="J1351" s="14">
        <v>1002.974748172</v>
      </c>
      <c r="K1351" s="14">
        <f t="shared" si="168"/>
        <v>215410.27941105506</v>
      </c>
      <c r="L1351" s="14">
        <f t="shared" si="169"/>
        <v>223</v>
      </c>
      <c r="M1351" s="14" t="str">
        <f t="shared" si="170"/>
        <v>03-11-2023</v>
      </c>
      <c r="N1351" s="14">
        <f t="shared" si="171"/>
        <v>0.15752618087758274</v>
      </c>
      <c r="O1351" s="20">
        <f t="shared" si="172"/>
        <v>2.5096102792792592</v>
      </c>
      <c r="P1351" s="14">
        <f t="shared" si="173"/>
        <v>456.50124182954636</v>
      </c>
      <c r="Q1351" s="14">
        <f t="shared" si="174"/>
        <v>369.73246278785234</v>
      </c>
      <c r="R1351" s="14" t="str">
        <f t="shared" si="175"/>
        <v>Nov</v>
      </c>
    </row>
    <row r="1352" spans="1:18" x14ac:dyDescent="0.3">
      <c r="A1352" t="s">
        <v>2960</v>
      </c>
      <c r="B1352" s="1">
        <v>45742</v>
      </c>
      <c r="C1352" t="s">
        <v>321</v>
      </c>
      <c r="D1352" t="s">
        <v>1447</v>
      </c>
      <c r="E1352" t="s">
        <v>1551</v>
      </c>
      <c r="F1352">
        <v>2.5014939230800999</v>
      </c>
      <c r="G1352" s="14">
        <v>473.246539358478</v>
      </c>
      <c r="H1352" s="17">
        <v>0.15533865104184399</v>
      </c>
      <c r="I1352" t="s">
        <v>1611</v>
      </c>
      <c r="J1352" s="14">
        <v>1002.86675171255</v>
      </c>
      <c r="K1352" s="14">
        <f t="shared" si="168"/>
        <v>215410.27941105506</v>
      </c>
      <c r="L1352" s="14">
        <f t="shared" si="169"/>
        <v>223</v>
      </c>
      <c r="M1352" s="14" t="str">
        <f t="shared" si="170"/>
        <v>26-03-2025</v>
      </c>
      <c r="N1352" s="14">
        <f t="shared" si="171"/>
        <v>0.15752956191287754</v>
      </c>
      <c r="O1352" s="20">
        <f t="shared" si="172"/>
        <v>2.5096228238792579</v>
      </c>
      <c r="P1352" s="14">
        <f t="shared" si="173"/>
        <v>456.47536038050629</v>
      </c>
      <c r="Q1352" s="14">
        <f t="shared" si="174"/>
        <v>369.69253091128746</v>
      </c>
      <c r="R1352" s="14" t="str">
        <f t="shared" si="175"/>
        <v>Mar</v>
      </c>
    </row>
    <row r="1353" spans="1:18" x14ac:dyDescent="0.3">
      <c r="A1353" t="s">
        <v>2961</v>
      </c>
      <c r="B1353" s="1">
        <v>45478</v>
      </c>
      <c r="C1353" t="s">
        <v>478</v>
      </c>
      <c r="D1353" t="s">
        <v>1519</v>
      </c>
      <c r="E1353" t="s">
        <v>1582</v>
      </c>
      <c r="F1353">
        <v>2.5015190122801001</v>
      </c>
      <c r="G1353" s="14">
        <v>473.19477646039797</v>
      </c>
      <c r="H1353" s="17">
        <v>0.15534541311243399</v>
      </c>
      <c r="I1353" t="s">
        <v>1611</v>
      </c>
      <c r="J1353" s="14">
        <v>1002.7587552531</v>
      </c>
      <c r="K1353" s="14">
        <f t="shared" si="168"/>
        <v>215410.27941105506</v>
      </c>
      <c r="L1353" s="14">
        <f t="shared" si="169"/>
        <v>223</v>
      </c>
      <c r="M1353" s="14" t="str">
        <f t="shared" si="170"/>
        <v>05-07-2024</v>
      </c>
      <c r="N1353" s="14">
        <f t="shared" si="171"/>
        <v>0.15753294294817236</v>
      </c>
      <c r="O1353" s="20">
        <f t="shared" si="172"/>
        <v>2.5096353684792563</v>
      </c>
      <c r="P1353" s="14">
        <f t="shared" si="173"/>
        <v>456.44947893146622</v>
      </c>
      <c r="Q1353" s="14">
        <f t="shared" si="174"/>
        <v>369.65259903472264</v>
      </c>
      <c r="R1353" s="14" t="str">
        <f t="shared" si="175"/>
        <v>Jul</v>
      </c>
    </row>
    <row r="1354" spans="1:18" x14ac:dyDescent="0.3">
      <c r="A1354" t="s">
        <v>2962</v>
      </c>
      <c r="B1354" s="1">
        <v>45789</v>
      </c>
      <c r="C1354" t="s">
        <v>514</v>
      </c>
      <c r="D1354" t="s">
        <v>1489</v>
      </c>
      <c r="E1354" t="s">
        <v>1561</v>
      </c>
      <c r="F1354">
        <v>2.5015441014800999</v>
      </c>
      <c r="G1354" s="14">
        <v>473.143013562318</v>
      </c>
      <c r="H1354" s="17">
        <v>0.15535217518302299</v>
      </c>
      <c r="I1354" t="s">
        <v>1614</v>
      </c>
      <c r="J1354" s="14">
        <v>1002.65075879365</v>
      </c>
      <c r="K1354" s="14">
        <f t="shared" si="168"/>
        <v>215410.27941105506</v>
      </c>
      <c r="L1354" s="14">
        <f t="shared" si="169"/>
        <v>223</v>
      </c>
      <c r="M1354" s="14" t="str">
        <f t="shared" si="170"/>
        <v>12-05-2025</v>
      </c>
      <c r="N1354" s="14">
        <f t="shared" si="171"/>
        <v>0.15753632398346717</v>
      </c>
      <c r="O1354" s="20">
        <f t="shared" si="172"/>
        <v>2.5096479130792555</v>
      </c>
      <c r="P1354" s="14">
        <f t="shared" si="173"/>
        <v>456.4235974824262</v>
      </c>
      <c r="Q1354" s="14">
        <f t="shared" si="174"/>
        <v>369.61266715815776</v>
      </c>
      <c r="R1354" s="14" t="str">
        <f t="shared" si="175"/>
        <v>May</v>
      </c>
    </row>
    <row r="1355" spans="1:18" x14ac:dyDescent="0.3">
      <c r="A1355" t="s">
        <v>2963</v>
      </c>
      <c r="B1355" s="1">
        <v>45561</v>
      </c>
      <c r="C1355" t="s">
        <v>1293</v>
      </c>
      <c r="D1355" t="s">
        <v>1419</v>
      </c>
      <c r="E1355" t="s">
        <v>1567</v>
      </c>
      <c r="F1355">
        <v>2.5015691906801001</v>
      </c>
      <c r="G1355" s="14">
        <v>473.09125066423798</v>
      </c>
      <c r="H1355" s="17">
        <v>0.15535893725361299</v>
      </c>
      <c r="I1355" t="s">
        <v>1609</v>
      </c>
      <c r="J1355" s="14">
        <v>1002.5427623342</v>
      </c>
      <c r="K1355" s="14">
        <f t="shared" si="168"/>
        <v>215410.27941105506</v>
      </c>
      <c r="L1355" s="14">
        <f t="shared" si="169"/>
        <v>223</v>
      </c>
      <c r="M1355" s="14" t="str">
        <f t="shared" si="170"/>
        <v>26-09-2024</v>
      </c>
      <c r="N1355" s="14">
        <f t="shared" si="171"/>
        <v>0.15753970501876197</v>
      </c>
      <c r="O1355" s="20">
        <f t="shared" si="172"/>
        <v>2.5096604576792543</v>
      </c>
      <c r="P1355" s="14">
        <f t="shared" si="173"/>
        <v>456.39771603338608</v>
      </c>
      <c r="Q1355" s="14">
        <f t="shared" si="174"/>
        <v>369.57273528159294</v>
      </c>
      <c r="R1355" s="14" t="str">
        <f t="shared" si="175"/>
        <v>Sep</v>
      </c>
    </row>
    <row r="1356" spans="1:18" x14ac:dyDescent="0.3">
      <c r="A1356" t="s">
        <v>2964</v>
      </c>
      <c r="B1356" s="1">
        <v>45378</v>
      </c>
      <c r="C1356" t="s">
        <v>663</v>
      </c>
      <c r="D1356" t="s">
        <v>1521</v>
      </c>
      <c r="E1356" t="s">
        <v>1598</v>
      </c>
      <c r="F1356">
        <v>2.5015942798800901</v>
      </c>
      <c r="G1356" s="14">
        <v>473.039487766158</v>
      </c>
      <c r="H1356" s="17">
        <v>0.15536569932420299</v>
      </c>
      <c r="I1356" t="s">
        <v>1614</v>
      </c>
      <c r="J1356" s="14">
        <v>1002.43476587474</v>
      </c>
      <c r="K1356" s="14">
        <f t="shared" si="168"/>
        <v>214407.73664872083</v>
      </c>
      <c r="L1356" s="14">
        <f t="shared" si="169"/>
        <v>222</v>
      </c>
      <c r="M1356" s="14" t="str">
        <f t="shared" si="170"/>
        <v>27-03-2024</v>
      </c>
      <c r="N1356" s="14">
        <f t="shared" si="171"/>
        <v>0.15754308605405676</v>
      </c>
      <c r="O1356" s="20">
        <f t="shared" si="172"/>
        <v>2.5096730022792531</v>
      </c>
      <c r="P1356" s="14">
        <f t="shared" si="173"/>
        <v>456.37183458434612</v>
      </c>
      <c r="Q1356" s="14">
        <f t="shared" si="174"/>
        <v>369.53280340502556</v>
      </c>
      <c r="R1356" s="14" t="str">
        <f t="shared" si="175"/>
        <v>Mar</v>
      </c>
    </row>
    <row r="1357" spans="1:18" x14ac:dyDescent="0.3">
      <c r="A1357" t="s">
        <v>2965</v>
      </c>
      <c r="B1357" s="1">
        <v>45308</v>
      </c>
      <c r="C1357" t="s">
        <v>693</v>
      </c>
      <c r="D1357" t="s">
        <v>1375</v>
      </c>
      <c r="E1357" t="s">
        <v>1537</v>
      </c>
      <c r="F1357">
        <v>2.5016193690800899</v>
      </c>
      <c r="G1357" s="14">
        <v>472.98772486807701</v>
      </c>
      <c r="H1357" s="17">
        <v>0.15537246139479199</v>
      </c>
      <c r="I1357" t="s">
        <v>1609</v>
      </c>
      <c r="J1357" s="14">
        <v>1002.32676941529</v>
      </c>
      <c r="K1357" s="14">
        <f t="shared" si="168"/>
        <v>214407.73664872083</v>
      </c>
      <c r="L1357" s="14">
        <f t="shared" si="169"/>
        <v>222</v>
      </c>
      <c r="M1357" s="14" t="str">
        <f t="shared" si="170"/>
        <v>17-01-2024</v>
      </c>
      <c r="N1357" s="14">
        <f t="shared" si="171"/>
        <v>0.15754646708935158</v>
      </c>
      <c r="O1357" s="20">
        <f t="shared" si="172"/>
        <v>2.5096855468792514</v>
      </c>
      <c r="P1357" s="14">
        <f t="shared" si="173"/>
        <v>456.34595313530605</v>
      </c>
      <c r="Q1357" s="14">
        <f t="shared" si="174"/>
        <v>369.49287152846046</v>
      </c>
      <c r="R1357" s="14" t="str">
        <f t="shared" si="175"/>
        <v>Jan</v>
      </c>
    </row>
    <row r="1358" spans="1:18" x14ac:dyDescent="0.3">
      <c r="A1358" t="s">
        <v>2966</v>
      </c>
      <c r="B1358" s="1">
        <v>45407</v>
      </c>
      <c r="C1358" t="s">
        <v>71</v>
      </c>
      <c r="D1358" t="s">
        <v>1369</v>
      </c>
      <c r="E1358" t="s">
        <v>1584</v>
      </c>
      <c r="F1358">
        <v>2.5016444582800901</v>
      </c>
      <c r="G1358" s="14">
        <v>472.93596196999698</v>
      </c>
      <c r="H1358" s="17">
        <v>0.15537922346538199</v>
      </c>
      <c r="I1358" t="s">
        <v>1611</v>
      </c>
      <c r="J1358" s="14">
        <v>1002.21877295584</v>
      </c>
      <c r="K1358" s="14">
        <f t="shared" si="168"/>
        <v>213405.4098793056</v>
      </c>
      <c r="L1358" s="14">
        <f t="shared" si="169"/>
        <v>221</v>
      </c>
      <c r="M1358" s="14" t="str">
        <f t="shared" si="170"/>
        <v>25-04-2024</v>
      </c>
      <c r="N1358" s="14">
        <f t="shared" si="171"/>
        <v>0.15754984812464637</v>
      </c>
      <c r="O1358" s="20">
        <f t="shared" si="172"/>
        <v>2.5096980914792502</v>
      </c>
      <c r="P1358" s="14">
        <f t="shared" si="173"/>
        <v>456.32007168626598</v>
      </c>
      <c r="Q1358" s="14">
        <f t="shared" si="174"/>
        <v>369.45293965189563</v>
      </c>
      <c r="R1358" s="14" t="str">
        <f t="shared" si="175"/>
        <v>Apr</v>
      </c>
    </row>
    <row r="1359" spans="1:18" x14ac:dyDescent="0.3">
      <c r="A1359" t="s">
        <v>2967</v>
      </c>
      <c r="B1359" s="1">
        <v>45929</v>
      </c>
      <c r="C1359" t="s">
        <v>559</v>
      </c>
      <c r="D1359" t="s">
        <v>1375</v>
      </c>
      <c r="E1359" t="s">
        <v>1582</v>
      </c>
      <c r="F1359">
        <v>2.5016695474800899</v>
      </c>
      <c r="G1359" s="14">
        <v>472.88419907191701</v>
      </c>
      <c r="H1359" s="17">
        <v>0.15538598553597099</v>
      </c>
      <c r="I1359" t="s">
        <v>1609</v>
      </c>
      <c r="J1359" s="14">
        <v>1002.11077649639</v>
      </c>
      <c r="K1359" s="14">
        <f t="shared" si="168"/>
        <v>213405.4098793056</v>
      </c>
      <c r="L1359" s="14">
        <f t="shared" si="169"/>
        <v>221</v>
      </c>
      <c r="M1359" s="14" t="str">
        <f t="shared" si="170"/>
        <v>29-09-2025</v>
      </c>
      <c r="N1359" s="14">
        <f t="shared" si="171"/>
        <v>0.15755322915994119</v>
      </c>
      <c r="O1359" s="20">
        <f t="shared" si="172"/>
        <v>2.5097106360792489</v>
      </c>
      <c r="P1359" s="14">
        <f t="shared" si="173"/>
        <v>456.29419023722591</v>
      </c>
      <c r="Q1359" s="14">
        <f t="shared" si="174"/>
        <v>369.41300777533081</v>
      </c>
      <c r="R1359" s="14" t="str">
        <f t="shared" si="175"/>
        <v>Sep</v>
      </c>
    </row>
    <row r="1360" spans="1:18" x14ac:dyDescent="0.3">
      <c r="A1360" t="s">
        <v>2968</v>
      </c>
      <c r="B1360" s="1">
        <v>45844</v>
      </c>
      <c r="C1360" t="s">
        <v>672</v>
      </c>
      <c r="D1360" t="s">
        <v>1521</v>
      </c>
      <c r="E1360" t="s">
        <v>1579</v>
      </c>
      <c r="F1360">
        <v>2.5016946366800799</v>
      </c>
      <c r="G1360" s="14">
        <v>472.83243617383698</v>
      </c>
      <c r="H1360" s="17">
        <v>0.15539274760656099</v>
      </c>
      <c r="I1360" t="s">
        <v>1611</v>
      </c>
      <c r="J1360" s="14">
        <v>1002.00278003694</v>
      </c>
      <c r="K1360" s="14">
        <f t="shared" si="168"/>
        <v>212403.29910280919</v>
      </c>
      <c r="L1360" s="14">
        <f t="shared" si="169"/>
        <v>220</v>
      </c>
      <c r="M1360" s="14" t="str">
        <f t="shared" si="170"/>
        <v>06-07-2025</v>
      </c>
      <c r="N1360" s="14">
        <f t="shared" si="171"/>
        <v>0.15755661019523595</v>
      </c>
      <c r="O1360" s="20">
        <f t="shared" si="172"/>
        <v>2.5097231806792477</v>
      </c>
      <c r="P1360" s="14">
        <f t="shared" si="173"/>
        <v>456.26830878818583</v>
      </c>
      <c r="Q1360" s="14">
        <f t="shared" si="174"/>
        <v>369.37307589876593</v>
      </c>
      <c r="R1360" s="14" t="str">
        <f t="shared" si="175"/>
        <v>Jul</v>
      </c>
    </row>
    <row r="1361" spans="1:18" x14ac:dyDescent="0.3">
      <c r="A1361" t="s">
        <v>2969</v>
      </c>
      <c r="B1361" s="1">
        <v>45579</v>
      </c>
      <c r="C1361" t="s">
        <v>147</v>
      </c>
      <c r="D1361" t="s">
        <v>1342</v>
      </c>
      <c r="E1361" t="s">
        <v>1589</v>
      </c>
      <c r="F1361">
        <v>2.5017197258800801</v>
      </c>
      <c r="G1361" s="14">
        <v>472.78067327575701</v>
      </c>
      <c r="H1361" s="17">
        <v>0.15539950967715099</v>
      </c>
      <c r="I1361" t="s">
        <v>1611</v>
      </c>
      <c r="J1361" s="14">
        <v>1001.89478357749</v>
      </c>
      <c r="K1361" s="14">
        <f t="shared" si="168"/>
        <v>212403.29910280919</v>
      </c>
      <c r="L1361" s="14">
        <f t="shared" si="169"/>
        <v>220</v>
      </c>
      <c r="M1361" s="14" t="str">
        <f t="shared" si="170"/>
        <v>14-10-2024</v>
      </c>
      <c r="N1361" s="14">
        <f t="shared" si="171"/>
        <v>0.15755999123053077</v>
      </c>
      <c r="O1361" s="20">
        <f t="shared" si="172"/>
        <v>2.5097357252792465</v>
      </c>
      <c r="P1361" s="14">
        <f t="shared" si="173"/>
        <v>456.24242733914571</v>
      </c>
      <c r="Q1361" s="14">
        <f t="shared" si="174"/>
        <v>369.33314402220105</v>
      </c>
      <c r="R1361" s="14" t="str">
        <f t="shared" si="175"/>
        <v>Oct</v>
      </c>
    </row>
    <row r="1362" spans="1:18" x14ac:dyDescent="0.3">
      <c r="A1362" t="s">
        <v>2970</v>
      </c>
      <c r="B1362" s="1">
        <v>45227</v>
      </c>
      <c r="C1362" t="s">
        <v>341</v>
      </c>
      <c r="D1362" t="s">
        <v>1371</v>
      </c>
      <c r="E1362" t="s">
        <v>1589</v>
      </c>
      <c r="F1362">
        <v>2.5017448150800798</v>
      </c>
      <c r="G1362" s="14">
        <v>472.72891037767698</v>
      </c>
      <c r="H1362" s="17">
        <v>0.15540627174773999</v>
      </c>
      <c r="I1362" t="s">
        <v>1611</v>
      </c>
      <c r="J1362" s="14">
        <v>1001.78678711803</v>
      </c>
      <c r="K1362" s="14">
        <f t="shared" si="168"/>
        <v>212403.29910280919</v>
      </c>
      <c r="L1362" s="14">
        <f t="shared" si="169"/>
        <v>220</v>
      </c>
      <c r="M1362" s="14" t="str">
        <f t="shared" si="170"/>
        <v>28-10-2023</v>
      </c>
      <c r="N1362" s="14">
        <f t="shared" si="171"/>
        <v>0.15756337226582556</v>
      </c>
      <c r="O1362" s="20">
        <f t="shared" si="172"/>
        <v>2.5097482698792448</v>
      </c>
      <c r="P1362" s="14">
        <f t="shared" si="173"/>
        <v>456.21654589010564</v>
      </c>
      <c r="Q1362" s="14">
        <f t="shared" si="174"/>
        <v>369.29321214563367</v>
      </c>
      <c r="R1362" s="14" t="str">
        <f t="shared" si="175"/>
        <v>Oct</v>
      </c>
    </row>
    <row r="1363" spans="1:18" x14ac:dyDescent="0.3">
      <c r="A1363" t="s">
        <v>2971</v>
      </c>
      <c r="B1363" s="1">
        <v>45380</v>
      </c>
      <c r="C1363" t="s">
        <v>1092</v>
      </c>
      <c r="D1363" t="s">
        <v>1447</v>
      </c>
      <c r="E1363" t="s">
        <v>1582</v>
      </c>
      <c r="F1363">
        <v>2.5017699042800801</v>
      </c>
      <c r="G1363" s="14">
        <v>472.67714747959599</v>
      </c>
      <c r="H1363" s="17">
        <v>0.15541303381832999</v>
      </c>
      <c r="I1363" t="s">
        <v>1609</v>
      </c>
      <c r="J1363" s="14">
        <v>1001.6787906585801</v>
      </c>
      <c r="K1363" s="14">
        <f t="shared" si="168"/>
        <v>212403.29910280919</v>
      </c>
      <c r="L1363" s="14">
        <f t="shared" si="169"/>
        <v>220</v>
      </c>
      <c r="M1363" s="14" t="str">
        <f t="shared" si="170"/>
        <v>29-03-2024</v>
      </c>
      <c r="N1363" s="14">
        <f t="shared" si="171"/>
        <v>0.15756675330112041</v>
      </c>
      <c r="O1363" s="20">
        <f t="shared" si="172"/>
        <v>2.5097608144792436</v>
      </c>
      <c r="P1363" s="14">
        <f t="shared" si="173"/>
        <v>456.19066444106556</v>
      </c>
      <c r="Q1363" s="14">
        <f t="shared" si="174"/>
        <v>369.25328026906863</v>
      </c>
      <c r="R1363" s="14" t="str">
        <f t="shared" si="175"/>
        <v>Mar</v>
      </c>
    </row>
    <row r="1364" spans="1:18" x14ac:dyDescent="0.3">
      <c r="A1364" t="s">
        <v>2972</v>
      </c>
      <c r="B1364" s="1">
        <v>45817</v>
      </c>
      <c r="C1364" t="s">
        <v>937</v>
      </c>
      <c r="D1364" t="s">
        <v>1361</v>
      </c>
      <c r="E1364" t="s">
        <v>1574</v>
      </c>
      <c r="F1364">
        <v>2.5017949934800701</v>
      </c>
      <c r="G1364" s="14">
        <v>472.62538458151602</v>
      </c>
      <c r="H1364" s="17">
        <v>0.15541979588891899</v>
      </c>
      <c r="I1364" t="s">
        <v>1614</v>
      </c>
      <c r="J1364" s="14">
        <v>1001.57079419913</v>
      </c>
      <c r="K1364" s="14">
        <f t="shared" si="168"/>
        <v>211401.6203121506</v>
      </c>
      <c r="L1364" s="14">
        <f t="shared" si="169"/>
        <v>219</v>
      </c>
      <c r="M1364" s="14" t="str">
        <f t="shared" si="170"/>
        <v>09-06-2025</v>
      </c>
      <c r="N1364" s="14">
        <f t="shared" si="171"/>
        <v>0.15757013433641523</v>
      </c>
      <c r="O1364" s="20">
        <f t="shared" si="172"/>
        <v>2.5097733590792424</v>
      </c>
      <c r="P1364" s="14">
        <f t="shared" si="173"/>
        <v>456.16478299202549</v>
      </c>
      <c r="Q1364" s="14">
        <f t="shared" si="174"/>
        <v>369.21334839250375</v>
      </c>
      <c r="R1364" s="14" t="str">
        <f t="shared" si="175"/>
        <v>Jun</v>
      </c>
    </row>
    <row r="1365" spans="1:18" x14ac:dyDescent="0.3">
      <c r="A1365" t="s">
        <v>2973</v>
      </c>
      <c r="B1365" s="1">
        <v>45576</v>
      </c>
      <c r="C1365" t="s">
        <v>657</v>
      </c>
      <c r="D1365" t="s">
        <v>1475</v>
      </c>
      <c r="E1365" t="s">
        <v>1579</v>
      </c>
      <c r="F1365">
        <v>2.5018200826800698</v>
      </c>
      <c r="G1365" s="14">
        <v>472.57362168343599</v>
      </c>
      <c r="H1365" s="17">
        <v>0.15542655795950899</v>
      </c>
      <c r="I1365" t="s">
        <v>1614</v>
      </c>
      <c r="J1365" s="14">
        <v>1001.46279773968</v>
      </c>
      <c r="K1365" s="14">
        <f t="shared" si="168"/>
        <v>211401.6203121506</v>
      </c>
      <c r="L1365" s="14">
        <f t="shared" si="169"/>
        <v>219</v>
      </c>
      <c r="M1365" s="14" t="str">
        <f t="shared" si="170"/>
        <v>11-10-2024</v>
      </c>
      <c r="N1365" s="14">
        <f t="shared" si="171"/>
        <v>0.15757351537170999</v>
      </c>
      <c r="O1365" s="20">
        <f t="shared" si="172"/>
        <v>2.5097859036792411</v>
      </c>
      <c r="P1365" s="14">
        <f t="shared" si="173"/>
        <v>456.13890154298548</v>
      </c>
      <c r="Q1365" s="14">
        <f t="shared" si="174"/>
        <v>369.17341651593892</v>
      </c>
      <c r="R1365" s="14" t="str">
        <f t="shared" si="175"/>
        <v>Oct</v>
      </c>
    </row>
    <row r="1366" spans="1:18" x14ac:dyDescent="0.3">
      <c r="A1366" t="s">
        <v>2974</v>
      </c>
      <c r="B1366" s="1">
        <v>45495</v>
      </c>
      <c r="C1366" t="s">
        <v>1184</v>
      </c>
      <c r="D1366" t="s">
        <v>1373</v>
      </c>
      <c r="E1366" t="s">
        <v>1537</v>
      </c>
      <c r="F1366">
        <v>2.5018451718800701</v>
      </c>
      <c r="G1366" s="14">
        <v>472.52185878535602</v>
      </c>
      <c r="H1366" s="17">
        <v>0.15543332003009899</v>
      </c>
      <c r="I1366" t="s">
        <v>1614</v>
      </c>
      <c r="J1366" s="14">
        <v>1001.35480128023</v>
      </c>
      <c r="K1366" s="14">
        <f t="shared" si="168"/>
        <v>211401.6203121506</v>
      </c>
      <c r="L1366" s="14">
        <f t="shared" si="169"/>
        <v>219</v>
      </c>
      <c r="M1366" s="14" t="str">
        <f t="shared" si="170"/>
        <v>22-07-2024</v>
      </c>
      <c r="N1366" s="14">
        <f t="shared" si="171"/>
        <v>0.15757689640700484</v>
      </c>
      <c r="O1366" s="20">
        <f t="shared" si="172"/>
        <v>2.5097984482792395</v>
      </c>
      <c r="P1366" s="14">
        <f t="shared" si="173"/>
        <v>456.11302009394547</v>
      </c>
      <c r="Q1366" s="14">
        <f t="shared" si="174"/>
        <v>369.13348463937405</v>
      </c>
      <c r="R1366" s="14" t="str">
        <f t="shared" si="175"/>
        <v>Jul</v>
      </c>
    </row>
    <row r="1367" spans="1:18" x14ac:dyDescent="0.3">
      <c r="A1367" t="s">
        <v>2975</v>
      </c>
      <c r="B1367" s="1">
        <v>45628</v>
      </c>
      <c r="C1367" t="s">
        <v>1297</v>
      </c>
      <c r="D1367" t="s">
        <v>1483</v>
      </c>
      <c r="E1367" t="s">
        <v>1589</v>
      </c>
      <c r="F1367">
        <v>2.5018702610800698</v>
      </c>
      <c r="G1367" s="14">
        <v>472.47009588727599</v>
      </c>
      <c r="H1367" s="17">
        <v>0.15544008210068799</v>
      </c>
      <c r="I1367" t="s">
        <v>1614</v>
      </c>
      <c r="J1367" s="14">
        <v>1001.24680482078</v>
      </c>
      <c r="K1367" s="14">
        <f t="shared" si="168"/>
        <v>211401.6203121506</v>
      </c>
      <c r="L1367" s="14">
        <f t="shared" si="169"/>
        <v>219</v>
      </c>
      <c r="M1367" s="14" t="str">
        <f t="shared" si="170"/>
        <v>02-12-2024</v>
      </c>
      <c r="N1367" s="14">
        <f t="shared" si="171"/>
        <v>0.1575802774422996</v>
      </c>
      <c r="O1367" s="20">
        <f t="shared" si="172"/>
        <v>2.5098109928792378</v>
      </c>
      <c r="P1367" s="14">
        <f t="shared" si="173"/>
        <v>456.08713864490528</v>
      </c>
      <c r="Q1367" s="14">
        <f t="shared" si="174"/>
        <v>369.09355276280917</v>
      </c>
      <c r="R1367" s="14" t="str">
        <f t="shared" si="175"/>
        <v>Dec</v>
      </c>
    </row>
    <row r="1368" spans="1:18" x14ac:dyDescent="0.3">
      <c r="A1368" t="s">
        <v>2976</v>
      </c>
      <c r="B1368" s="1">
        <v>45244</v>
      </c>
      <c r="C1368" t="s">
        <v>191</v>
      </c>
      <c r="D1368" t="s">
        <v>1531</v>
      </c>
      <c r="E1368" t="s">
        <v>1546</v>
      </c>
      <c r="F1368">
        <v>2.5018953502800598</v>
      </c>
      <c r="G1368" s="14">
        <v>472.41833298919602</v>
      </c>
      <c r="H1368" s="17">
        <v>0.15544684417127799</v>
      </c>
      <c r="I1368" t="s">
        <v>1614</v>
      </c>
      <c r="J1368" s="14">
        <v>1001.13880836132</v>
      </c>
      <c r="K1368" s="14">
        <f t="shared" si="168"/>
        <v>211401.6203121506</v>
      </c>
      <c r="L1368" s="14">
        <f t="shared" si="169"/>
        <v>219</v>
      </c>
      <c r="M1368" s="14" t="str">
        <f t="shared" si="170"/>
        <v>14-11-2023</v>
      </c>
      <c r="N1368" s="14">
        <f t="shared" si="171"/>
        <v>0.15758365847759442</v>
      </c>
      <c r="O1368" s="20">
        <f t="shared" si="172"/>
        <v>2.5098235374792366</v>
      </c>
      <c r="P1368" s="14">
        <f t="shared" si="173"/>
        <v>456.06125719586521</v>
      </c>
      <c r="Q1368" s="14">
        <f t="shared" si="174"/>
        <v>369.05362088624184</v>
      </c>
      <c r="R1368" s="14" t="str">
        <f t="shared" si="175"/>
        <v>Nov</v>
      </c>
    </row>
    <row r="1369" spans="1:18" x14ac:dyDescent="0.3">
      <c r="A1369" t="s">
        <v>2977</v>
      </c>
      <c r="B1369" s="1">
        <v>45336</v>
      </c>
      <c r="C1369" t="s">
        <v>1234</v>
      </c>
      <c r="D1369" t="s">
        <v>1473</v>
      </c>
      <c r="E1369" t="s">
        <v>1584</v>
      </c>
      <c r="F1369">
        <v>2.50192043948006</v>
      </c>
      <c r="G1369" s="14">
        <v>472.36657009111502</v>
      </c>
      <c r="H1369" s="17">
        <v>0.15545360624186699</v>
      </c>
      <c r="I1369" t="s">
        <v>1611</v>
      </c>
      <c r="J1369" s="14">
        <v>1001.03081190187</v>
      </c>
      <c r="K1369" s="14">
        <f t="shared" si="168"/>
        <v>211401.6203121506</v>
      </c>
      <c r="L1369" s="14">
        <f t="shared" si="169"/>
        <v>219</v>
      </c>
      <c r="M1369" s="14" t="str">
        <f t="shared" si="170"/>
        <v>14-02-2024</v>
      </c>
      <c r="N1369" s="14">
        <f t="shared" si="171"/>
        <v>0.15758703951288922</v>
      </c>
      <c r="O1369" s="20">
        <f t="shared" si="172"/>
        <v>2.5098360820792354</v>
      </c>
      <c r="P1369" s="14">
        <f t="shared" si="173"/>
        <v>456.03537574682514</v>
      </c>
      <c r="Q1369" s="14">
        <f t="shared" si="174"/>
        <v>369.01368900967674</v>
      </c>
      <c r="R1369" s="14" t="str">
        <f t="shared" si="175"/>
        <v>Feb</v>
      </c>
    </row>
    <row r="1370" spans="1:18" x14ac:dyDescent="0.3">
      <c r="A1370" t="s">
        <v>2978</v>
      </c>
      <c r="B1370" s="1">
        <v>45465</v>
      </c>
      <c r="C1370" t="s">
        <v>153</v>
      </c>
      <c r="D1370" t="s">
        <v>1481</v>
      </c>
      <c r="E1370" t="s">
        <v>1551</v>
      </c>
      <c r="F1370">
        <v>2.5019455286800598</v>
      </c>
      <c r="G1370" s="14">
        <v>472.31480719303499</v>
      </c>
      <c r="H1370" s="17">
        <v>0.15546036831245699</v>
      </c>
      <c r="I1370" t="s">
        <v>1611</v>
      </c>
      <c r="J1370" s="14">
        <v>1000.92281544242</v>
      </c>
      <c r="K1370" s="14">
        <f t="shared" si="168"/>
        <v>211401.6203121506</v>
      </c>
      <c r="L1370" s="14">
        <f t="shared" si="169"/>
        <v>219</v>
      </c>
      <c r="M1370" s="14" t="str">
        <f t="shared" si="170"/>
        <v>22-06-2024</v>
      </c>
      <c r="N1370" s="14">
        <f t="shared" si="171"/>
        <v>0.15759042054818401</v>
      </c>
      <c r="O1370" s="20">
        <f t="shared" si="172"/>
        <v>2.5098486266792337</v>
      </c>
      <c r="P1370" s="14">
        <f t="shared" si="173"/>
        <v>456.00949429778507</v>
      </c>
      <c r="Q1370" s="14">
        <f t="shared" si="174"/>
        <v>368.97375713311186</v>
      </c>
      <c r="R1370" s="14" t="str">
        <f t="shared" si="175"/>
        <v>Jun</v>
      </c>
    </row>
    <row r="1371" spans="1:18" x14ac:dyDescent="0.3">
      <c r="A1371" t="s">
        <v>2979</v>
      </c>
      <c r="B1371" s="1">
        <v>45837</v>
      </c>
      <c r="C1371" t="s">
        <v>1029</v>
      </c>
      <c r="D1371" t="s">
        <v>1363</v>
      </c>
      <c r="E1371" t="s">
        <v>1589</v>
      </c>
      <c r="F1371">
        <v>2.50197061788006</v>
      </c>
      <c r="G1371" s="14">
        <v>472.26304429495502</v>
      </c>
      <c r="H1371" s="17">
        <v>0.15546713038304699</v>
      </c>
      <c r="I1371" t="s">
        <v>1609</v>
      </c>
      <c r="J1371" s="14">
        <v>1000.81481898297</v>
      </c>
      <c r="K1371" s="14">
        <f t="shared" si="168"/>
        <v>211401.6203121506</v>
      </c>
      <c r="L1371" s="14">
        <f t="shared" si="169"/>
        <v>219</v>
      </c>
      <c r="M1371" s="14" t="str">
        <f t="shared" si="170"/>
        <v>29-06-2025</v>
      </c>
      <c r="N1371" s="14">
        <f t="shared" si="171"/>
        <v>0.15759380158347883</v>
      </c>
      <c r="O1371" s="20">
        <f t="shared" si="172"/>
        <v>2.5098611712792325</v>
      </c>
      <c r="P1371" s="14">
        <f t="shared" si="173"/>
        <v>455.98361284874505</v>
      </c>
      <c r="Q1371" s="14">
        <f t="shared" si="174"/>
        <v>368.93382525654704</v>
      </c>
      <c r="R1371" s="14" t="str">
        <f t="shared" si="175"/>
        <v>Jun</v>
      </c>
    </row>
    <row r="1372" spans="1:18" x14ac:dyDescent="0.3">
      <c r="A1372" t="s">
        <v>2980</v>
      </c>
      <c r="B1372" s="1">
        <v>45706</v>
      </c>
      <c r="C1372" t="s">
        <v>1212</v>
      </c>
      <c r="D1372" t="s">
        <v>1391</v>
      </c>
      <c r="E1372" t="s">
        <v>1598</v>
      </c>
      <c r="F1372">
        <v>2.50199570708005</v>
      </c>
      <c r="G1372" s="14">
        <v>472.21128139687499</v>
      </c>
      <c r="H1372" s="17">
        <v>0.15547389245363599</v>
      </c>
      <c r="I1372" t="s">
        <v>1609</v>
      </c>
      <c r="J1372" s="14">
        <v>1000.70682252352</v>
      </c>
      <c r="K1372" s="14">
        <f t="shared" si="168"/>
        <v>210400.80549316763</v>
      </c>
      <c r="L1372" s="14">
        <f t="shared" si="169"/>
        <v>218</v>
      </c>
      <c r="M1372" s="14" t="str">
        <f t="shared" si="170"/>
        <v>18-02-2025</v>
      </c>
      <c r="N1372" s="14">
        <f t="shared" si="171"/>
        <v>0.15759718261877365</v>
      </c>
      <c r="O1372" s="20">
        <f t="shared" si="172"/>
        <v>2.5098737158792312</v>
      </c>
      <c r="P1372" s="14">
        <f t="shared" si="173"/>
        <v>455.95773139970493</v>
      </c>
      <c r="Q1372" s="14">
        <f t="shared" si="174"/>
        <v>368.89389337998216</v>
      </c>
      <c r="R1372" s="14" t="str">
        <f t="shared" si="175"/>
        <v>Feb</v>
      </c>
    </row>
    <row r="1373" spans="1:18" x14ac:dyDescent="0.3">
      <c r="A1373" t="s">
        <v>2981</v>
      </c>
      <c r="B1373" s="1">
        <v>45823</v>
      </c>
      <c r="C1373" t="s">
        <v>168</v>
      </c>
      <c r="D1373" t="s">
        <v>1411</v>
      </c>
      <c r="E1373" t="s">
        <v>1579</v>
      </c>
      <c r="F1373">
        <v>2.5020207962800498</v>
      </c>
      <c r="G1373" s="14">
        <v>472.15951849879502</v>
      </c>
      <c r="H1373" s="17">
        <v>0.15548065452422599</v>
      </c>
      <c r="I1373" t="s">
        <v>1614</v>
      </c>
      <c r="J1373" s="14">
        <v>1000.59882606407</v>
      </c>
      <c r="K1373" s="14">
        <f t="shared" si="168"/>
        <v>209400.09867064413</v>
      </c>
      <c r="L1373" s="14">
        <f t="shared" si="169"/>
        <v>217</v>
      </c>
      <c r="M1373" s="14" t="str">
        <f t="shared" si="170"/>
        <v>15-06-2025</v>
      </c>
      <c r="N1373" s="14">
        <f t="shared" si="171"/>
        <v>0.15760056365406849</v>
      </c>
      <c r="O1373" s="20">
        <f t="shared" si="172"/>
        <v>2.50988626047923</v>
      </c>
      <c r="P1373" s="14">
        <f t="shared" si="173"/>
        <v>455.93184995066491</v>
      </c>
      <c r="Q1373" s="14">
        <f t="shared" si="174"/>
        <v>368.85396150341728</v>
      </c>
      <c r="R1373" s="14" t="str">
        <f t="shared" si="175"/>
        <v>Jun</v>
      </c>
    </row>
    <row r="1374" spans="1:18" x14ac:dyDescent="0.3">
      <c r="A1374" t="s">
        <v>2982</v>
      </c>
      <c r="B1374" s="1">
        <v>45518</v>
      </c>
      <c r="C1374" t="s">
        <v>1300</v>
      </c>
      <c r="D1374" t="s">
        <v>1531</v>
      </c>
      <c r="E1374" t="s">
        <v>1592</v>
      </c>
      <c r="F1374">
        <v>2.50204588548005</v>
      </c>
      <c r="G1374" s="14">
        <v>472.107755600715</v>
      </c>
      <c r="H1374" s="17">
        <v>0.15548741659481499</v>
      </c>
      <c r="I1374" t="s">
        <v>1611</v>
      </c>
      <c r="J1374" s="14">
        <v>1000.49082960461</v>
      </c>
      <c r="K1374" s="14">
        <f t="shared" si="168"/>
        <v>209400.09867064413</v>
      </c>
      <c r="L1374" s="14">
        <f t="shared" si="169"/>
        <v>217</v>
      </c>
      <c r="M1374" s="14" t="str">
        <f t="shared" si="170"/>
        <v>14-08-2024</v>
      </c>
      <c r="N1374" s="14">
        <f t="shared" si="171"/>
        <v>0.15760394468936326</v>
      </c>
      <c r="O1374" s="20">
        <f t="shared" si="172"/>
        <v>2.5098988050792284</v>
      </c>
      <c r="P1374" s="14">
        <f t="shared" si="173"/>
        <v>455.9059685016249</v>
      </c>
      <c r="Q1374" s="14">
        <f t="shared" si="174"/>
        <v>368.81402962684996</v>
      </c>
      <c r="R1374" s="14" t="str">
        <f t="shared" si="175"/>
        <v>Aug</v>
      </c>
    </row>
    <row r="1375" spans="1:18" x14ac:dyDescent="0.3">
      <c r="A1375" t="s">
        <v>2983</v>
      </c>
      <c r="B1375" s="1">
        <v>45863</v>
      </c>
      <c r="C1375" t="s">
        <v>610</v>
      </c>
      <c r="D1375" t="s">
        <v>1465</v>
      </c>
      <c r="E1375" t="s">
        <v>1571</v>
      </c>
      <c r="F1375">
        <v>2.50207097468004</v>
      </c>
      <c r="G1375" s="14">
        <v>472.055992702634</v>
      </c>
      <c r="H1375" s="17">
        <v>0.15549417866540499</v>
      </c>
      <c r="I1375" t="s">
        <v>1609</v>
      </c>
      <c r="J1375" s="14">
        <v>1000.38283314516</v>
      </c>
      <c r="K1375" s="14">
        <f t="shared" si="168"/>
        <v>209400.09867064413</v>
      </c>
      <c r="L1375" s="14">
        <f t="shared" si="169"/>
        <v>217</v>
      </c>
      <c r="M1375" s="14" t="str">
        <f t="shared" si="170"/>
        <v>25-07-2025</v>
      </c>
      <c r="N1375" s="14">
        <f t="shared" si="171"/>
        <v>0.15760732572465808</v>
      </c>
      <c r="O1375" s="20">
        <f t="shared" si="172"/>
        <v>2.5099113496792271</v>
      </c>
      <c r="P1375" s="14">
        <f t="shared" si="173"/>
        <v>455.88008705258483</v>
      </c>
      <c r="Q1375" s="14">
        <f t="shared" si="174"/>
        <v>368.77409775028485</v>
      </c>
      <c r="R1375" s="14" t="str">
        <f t="shared" si="175"/>
        <v>Jul</v>
      </c>
    </row>
    <row r="1376" spans="1:18" x14ac:dyDescent="0.3">
      <c r="A1376" t="s">
        <v>2984</v>
      </c>
      <c r="B1376" s="1">
        <v>45666</v>
      </c>
      <c r="C1376" t="s">
        <v>36</v>
      </c>
      <c r="D1376" t="s">
        <v>1519</v>
      </c>
      <c r="E1376" t="s">
        <v>1554</v>
      </c>
      <c r="F1376">
        <v>2.5020960638800398</v>
      </c>
      <c r="G1376" s="14">
        <v>472.00422980455397</v>
      </c>
      <c r="H1376" s="17">
        <v>0.15550094073599499</v>
      </c>
      <c r="I1376" t="s">
        <v>1609</v>
      </c>
      <c r="J1376" s="14">
        <v>1000.2748366857101</v>
      </c>
      <c r="K1376" s="14">
        <f t="shared" si="168"/>
        <v>208399.71583749898</v>
      </c>
      <c r="L1376" s="14">
        <f t="shared" si="169"/>
        <v>216</v>
      </c>
      <c r="M1376" s="14" t="str">
        <f t="shared" si="170"/>
        <v>09-01-2025</v>
      </c>
      <c r="N1376" s="14">
        <f t="shared" si="171"/>
        <v>0.1576107067599529</v>
      </c>
      <c r="O1376" s="20">
        <f t="shared" si="172"/>
        <v>2.5099238942792259</v>
      </c>
      <c r="P1376" s="14">
        <f t="shared" si="173"/>
        <v>455.85420560354481</v>
      </c>
      <c r="Q1376" s="14">
        <f t="shared" si="174"/>
        <v>368.73416587372003</v>
      </c>
      <c r="R1376" s="14" t="str">
        <f t="shared" si="175"/>
        <v>Jan</v>
      </c>
    </row>
    <row r="1377" spans="1:18" x14ac:dyDescent="0.3">
      <c r="A1377" t="s">
        <v>2985</v>
      </c>
      <c r="B1377" s="1">
        <v>45813</v>
      </c>
      <c r="C1377" t="s">
        <v>181</v>
      </c>
      <c r="D1377" t="s">
        <v>1473</v>
      </c>
      <c r="E1377" t="s">
        <v>1584</v>
      </c>
      <c r="F1377">
        <v>2.50212115308004</v>
      </c>
      <c r="G1377" s="14">
        <v>471.952466906474</v>
      </c>
      <c r="H1377" s="17">
        <v>0.15550770280658399</v>
      </c>
      <c r="I1377" t="s">
        <v>1614</v>
      </c>
      <c r="J1377" s="14">
        <v>1000.16684022626</v>
      </c>
      <c r="K1377" s="14">
        <f t="shared" si="168"/>
        <v>207399.44100081324</v>
      </c>
      <c r="L1377" s="14">
        <f t="shared" si="169"/>
        <v>215</v>
      </c>
      <c r="M1377" s="14" t="str">
        <f t="shared" si="170"/>
        <v>05-06-2025</v>
      </c>
      <c r="N1377" s="14">
        <f t="shared" si="171"/>
        <v>0.15761408779524766</v>
      </c>
      <c r="O1377" s="20">
        <f t="shared" si="172"/>
        <v>2.5099364388792247</v>
      </c>
      <c r="P1377" s="14">
        <f t="shared" si="173"/>
        <v>455.82832415450468</v>
      </c>
      <c r="Q1377" s="14">
        <f t="shared" si="174"/>
        <v>368.69423399715515</v>
      </c>
      <c r="R1377" s="14" t="str">
        <f t="shared" si="175"/>
        <v>Jun</v>
      </c>
    </row>
    <row r="1378" spans="1:18" x14ac:dyDescent="0.3">
      <c r="A1378" t="s">
        <v>2986</v>
      </c>
      <c r="B1378" s="1">
        <v>45633</v>
      </c>
      <c r="C1378" t="s">
        <v>1089</v>
      </c>
      <c r="D1378" t="s">
        <v>1409</v>
      </c>
      <c r="E1378" t="s">
        <v>1592</v>
      </c>
      <c r="F1378">
        <v>2.5021462422800398</v>
      </c>
      <c r="G1378" s="14">
        <v>471.90070400839397</v>
      </c>
      <c r="H1378" s="17">
        <v>0.15551446487717399</v>
      </c>
      <c r="I1378" t="s">
        <v>1611</v>
      </c>
      <c r="J1378" s="14">
        <v>1000.05884376681</v>
      </c>
      <c r="K1378" s="14">
        <f t="shared" si="168"/>
        <v>207399.44100081324</v>
      </c>
      <c r="L1378" s="14">
        <f t="shared" si="169"/>
        <v>215</v>
      </c>
      <c r="M1378" s="14" t="str">
        <f t="shared" si="170"/>
        <v>07-12-2024</v>
      </c>
      <c r="N1378" s="14">
        <f t="shared" si="171"/>
        <v>0.15761746883054248</v>
      </c>
      <c r="O1378" s="20">
        <f t="shared" si="172"/>
        <v>2.5099489834792235</v>
      </c>
      <c r="P1378" s="14">
        <f t="shared" si="173"/>
        <v>455.80244270546456</v>
      </c>
      <c r="Q1378" s="14">
        <f t="shared" si="174"/>
        <v>368.65430212059027</v>
      </c>
      <c r="R1378" s="14" t="str">
        <f t="shared" si="175"/>
        <v>Dec</v>
      </c>
    </row>
    <row r="1379" spans="1:18" x14ac:dyDescent="0.3">
      <c r="A1379" t="s">
        <v>2987</v>
      </c>
      <c r="B1379" s="1">
        <v>45331</v>
      </c>
      <c r="C1379" t="s">
        <v>1196</v>
      </c>
      <c r="D1379" t="s">
        <v>1449</v>
      </c>
      <c r="E1379" t="s">
        <v>1574</v>
      </c>
      <c r="F1379">
        <v>2.5021713314800298</v>
      </c>
      <c r="G1379" s="14">
        <v>471.848941110314</v>
      </c>
      <c r="H1379" s="17">
        <v>0.15552122694776399</v>
      </c>
      <c r="I1379" t="s">
        <v>1611</v>
      </c>
      <c r="J1379" s="14">
        <v>999.95084730735402</v>
      </c>
      <c r="K1379" s="14">
        <f t="shared" si="168"/>
        <v>207399.44100081324</v>
      </c>
      <c r="L1379" s="14">
        <f t="shared" si="169"/>
        <v>215</v>
      </c>
      <c r="M1379" s="14" t="str">
        <f t="shared" si="170"/>
        <v>09-02-2024</v>
      </c>
      <c r="N1379" s="14">
        <f t="shared" si="171"/>
        <v>0.1576208498658373</v>
      </c>
      <c r="O1379" s="20">
        <f t="shared" si="172"/>
        <v>2.5099615280792222</v>
      </c>
      <c r="P1379" s="14">
        <f t="shared" si="173"/>
        <v>455.77656125642454</v>
      </c>
      <c r="Q1379" s="14">
        <f t="shared" si="174"/>
        <v>368.61437024402397</v>
      </c>
      <c r="R1379" s="14" t="str">
        <f t="shared" si="175"/>
        <v>Feb</v>
      </c>
    </row>
    <row r="1380" spans="1:18" x14ac:dyDescent="0.3">
      <c r="A1380" t="s">
        <v>2988</v>
      </c>
      <c r="B1380" s="1">
        <v>45942</v>
      </c>
      <c r="C1380" t="s">
        <v>1219</v>
      </c>
      <c r="D1380" t="s">
        <v>1457</v>
      </c>
      <c r="E1380" t="s">
        <v>1584</v>
      </c>
      <c r="F1380">
        <v>2.50219642068003</v>
      </c>
      <c r="G1380" s="14">
        <v>471.79717821223397</v>
      </c>
      <c r="H1380" s="17">
        <v>0.15552798901835299</v>
      </c>
      <c r="I1380" t="s">
        <v>1609</v>
      </c>
      <c r="J1380" s="14">
        <v>999.84285084790201</v>
      </c>
      <c r="K1380" s="14">
        <f t="shared" si="168"/>
        <v>207399.44100081324</v>
      </c>
      <c r="L1380" s="14">
        <f t="shared" si="169"/>
        <v>215</v>
      </c>
      <c r="M1380" s="14" t="str">
        <f t="shared" si="170"/>
        <v>12-10-2025</v>
      </c>
      <c r="N1380" s="14">
        <f t="shared" si="171"/>
        <v>0.15762423090113209</v>
      </c>
      <c r="O1380" s="20">
        <f t="shared" si="172"/>
        <v>2.5099740726792206</v>
      </c>
      <c r="P1380" s="14">
        <f t="shared" si="173"/>
        <v>455.75067980738436</v>
      </c>
      <c r="Q1380" s="14">
        <f t="shared" si="174"/>
        <v>368.57443836745858</v>
      </c>
      <c r="R1380" s="14" t="str">
        <f t="shared" si="175"/>
        <v>Oct</v>
      </c>
    </row>
    <row r="1381" spans="1:18" x14ac:dyDescent="0.3">
      <c r="A1381" t="s">
        <v>2989</v>
      </c>
      <c r="B1381" s="1">
        <v>45824</v>
      </c>
      <c r="C1381" t="s">
        <v>1238</v>
      </c>
      <c r="D1381" t="s">
        <v>1515</v>
      </c>
      <c r="E1381" t="s">
        <v>1598</v>
      </c>
      <c r="F1381">
        <v>2.5022215098800298</v>
      </c>
      <c r="G1381" s="14">
        <v>471.745415314154</v>
      </c>
      <c r="H1381" s="17">
        <v>0.15553475108894299</v>
      </c>
      <c r="I1381" t="s">
        <v>1611</v>
      </c>
      <c r="J1381" s="14">
        <v>999.73485438845103</v>
      </c>
      <c r="K1381" s="14">
        <f t="shared" si="168"/>
        <v>206399.59814996534</v>
      </c>
      <c r="L1381" s="14">
        <f t="shared" si="169"/>
        <v>214</v>
      </c>
      <c r="M1381" s="14" t="str">
        <f t="shared" si="170"/>
        <v>16-06-2025</v>
      </c>
      <c r="N1381" s="14">
        <f t="shared" si="171"/>
        <v>0.15762761193642694</v>
      </c>
      <c r="O1381" s="20">
        <f t="shared" si="172"/>
        <v>2.5099866172792198</v>
      </c>
      <c r="P1381" s="14">
        <f t="shared" si="173"/>
        <v>455.72479835834434</v>
      </c>
      <c r="Q1381" s="14">
        <f t="shared" si="174"/>
        <v>368.53450649089348</v>
      </c>
      <c r="R1381" s="14" t="str">
        <f t="shared" si="175"/>
        <v>Jun</v>
      </c>
    </row>
    <row r="1382" spans="1:18" x14ac:dyDescent="0.3">
      <c r="A1382" t="s">
        <v>2990</v>
      </c>
      <c r="B1382" s="1">
        <v>45921</v>
      </c>
      <c r="C1382" t="s">
        <v>1272</v>
      </c>
      <c r="D1382" t="s">
        <v>1413</v>
      </c>
      <c r="E1382" t="s">
        <v>1577</v>
      </c>
      <c r="F1382">
        <v>2.50224659908003</v>
      </c>
      <c r="G1382" s="14">
        <v>471.69365241607301</v>
      </c>
      <c r="H1382" s="17">
        <v>0.15554151315953199</v>
      </c>
      <c r="I1382" t="s">
        <v>1611</v>
      </c>
      <c r="J1382" s="14">
        <v>999.62685792899902</v>
      </c>
      <c r="K1382" s="14">
        <f t="shared" si="168"/>
        <v>206399.59814996534</v>
      </c>
      <c r="L1382" s="14">
        <f t="shared" si="169"/>
        <v>214</v>
      </c>
      <c r="M1382" s="14" t="str">
        <f t="shared" si="170"/>
        <v>21-09-2025</v>
      </c>
      <c r="N1382" s="14">
        <f t="shared" si="171"/>
        <v>0.1576309929717217</v>
      </c>
      <c r="O1382" s="20">
        <f t="shared" si="172"/>
        <v>2.5099991618792186</v>
      </c>
      <c r="P1382" s="14">
        <f t="shared" si="173"/>
        <v>455.69891690930427</v>
      </c>
      <c r="Q1382" s="14">
        <f t="shared" si="174"/>
        <v>368.49457461432792</v>
      </c>
      <c r="R1382" s="14" t="str">
        <f t="shared" si="175"/>
        <v>Sep</v>
      </c>
    </row>
    <row r="1383" spans="1:18" x14ac:dyDescent="0.3">
      <c r="A1383" t="s">
        <v>2991</v>
      </c>
      <c r="B1383" s="1">
        <v>45909</v>
      </c>
      <c r="C1383" t="s">
        <v>160</v>
      </c>
      <c r="D1383" t="s">
        <v>1503</v>
      </c>
      <c r="E1383" t="s">
        <v>1561</v>
      </c>
      <c r="F1383">
        <v>2.50227168828002</v>
      </c>
      <c r="G1383" s="14">
        <v>471.64188951799298</v>
      </c>
      <c r="H1383" s="17">
        <v>0.15554827523012199</v>
      </c>
      <c r="I1383" t="s">
        <v>1611</v>
      </c>
      <c r="J1383" s="14">
        <v>999.51886146954701</v>
      </c>
      <c r="K1383" s="14">
        <f t="shared" si="168"/>
        <v>206399.59814996534</v>
      </c>
      <c r="L1383" s="14">
        <f t="shared" si="169"/>
        <v>214</v>
      </c>
      <c r="M1383" s="14" t="str">
        <f t="shared" si="170"/>
        <v>09-09-2025</v>
      </c>
      <c r="N1383" s="14">
        <f t="shared" si="171"/>
        <v>0.15763437400701649</v>
      </c>
      <c r="O1383" s="20">
        <f t="shared" si="172"/>
        <v>2.5100117064792169</v>
      </c>
      <c r="P1383" s="14">
        <f t="shared" si="173"/>
        <v>455.6730354602642</v>
      </c>
      <c r="Q1383" s="14">
        <f t="shared" si="174"/>
        <v>368.45464273776253</v>
      </c>
      <c r="R1383" s="14" t="str">
        <f t="shared" si="175"/>
        <v>Sep</v>
      </c>
    </row>
    <row r="1384" spans="1:18" x14ac:dyDescent="0.3">
      <c r="A1384" t="s">
        <v>2992</v>
      </c>
      <c r="B1384" s="1">
        <v>45853</v>
      </c>
      <c r="C1384" t="s">
        <v>1062</v>
      </c>
      <c r="D1384" t="s">
        <v>1359</v>
      </c>
      <c r="E1384" t="s">
        <v>1586</v>
      </c>
      <c r="F1384">
        <v>2.5022967774800202</v>
      </c>
      <c r="G1384" s="14">
        <v>471.59012661991301</v>
      </c>
      <c r="H1384" s="17">
        <v>0.15555503730071199</v>
      </c>
      <c r="I1384" t="s">
        <v>1611</v>
      </c>
      <c r="J1384" s="14">
        <v>999.41086501009602</v>
      </c>
      <c r="K1384" s="14">
        <f t="shared" si="168"/>
        <v>206399.59814996534</v>
      </c>
      <c r="L1384" s="14">
        <f t="shared" si="169"/>
        <v>214</v>
      </c>
      <c r="M1384" s="14" t="str">
        <f t="shared" si="170"/>
        <v>15-07-2025</v>
      </c>
      <c r="N1384" s="14">
        <f t="shared" si="171"/>
        <v>0.15763775504231134</v>
      </c>
      <c r="O1384" s="20">
        <f t="shared" si="172"/>
        <v>2.5100242510792157</v>
      </c>
      <c r="P1384" s="14">
        <f t="shared" si="173"/>
        <v>455.64715401122419</v>
      </c>
      <c r="Q1384" s="14">
        <f t="shared" si="174"/>
        <v>368.41471086119742</v>
      </c>
      <c r="R1384" s="14" t="str">
        <f t="shared" si="175"/>
        <v>Jul</v>
      </c>
    </row>
    <row r="1385" spans="1:18" x14ac:dyDescent="0.3">
      <c r="A1385" t="s">
        <v>2993</v>
      </c>
      <c r="B1385" s="1">
        <v>45580</v>
      </c>
      <c r="C1385" t="s">
        <v>490</v>
      </c>
      <c r="D1385" t="s">
        <v>1471</v>
      </c>
      <c r="E1385" t="s">
        <v>1558</v>
      </c>
      <c r="F1385">
        <v>2.50232186668002</v>
      </c>
      <c r="G1385" s="14">
        <v>471.53836372183298</v>
      </c>
      <c r="H1385" s="17">
        <v>0.15556179937130099</v>
      </c>
      <c r="I1385" t="s">
        <v>1611</v>
      </c>
      <c r="J1385" s="14">
        <v>999.30286855064401</v>
      </c>
      <c r="K1385" s="14">
        <f t="shared" si="168"/>
        <v>206399.59814996534</v>
      </c>
      <c r="L1385" s="14">
        <f t="shared" si="169"/>
        <v>214</v>
      </c>
      <c r="M1385" s="14" t="str">
        <f t="shared" si="170"/>
        <v>15-10-2024</v>
      </c>
      <c r="N1385" s="14">
        <f t="shared" si="171"/>
        <v>0.1576411360776061</v>
      </c>
      <c r="O1385" s="20">
        <f t="shared" si="172"/>
        <v>2.5100367956792144</v>
      </c>
      <c r="P1385" s="14">
        <f t="shared" si="173"/>
        <v>455.62127256218406</v>
      </c>
      <c r="Q1385" s="14">
        <f t="shared" si="174"/>
        <v>368.37477898463209</v>
      </c>
      <c r="R1385" s="14" t="str">
        <f t="shared" si="175"/>
        <v>Oct</v>
      </c>
    </row>
    <row r="1386" spans="1:18" x14ac:dyDescent="0.3">
      <c r="A1386" t="s">
        <v>2994</v>
      </c>
      <c r="B1386" s="1">
        <v>45220</v>
      </c>
      <c r="C1386" t="s">
        <v>147</v>
      </c>
      <c r="D1386" t="s">
        <v>1491</v>
      </c>
      <c r="E1386" t="s">
        <v>1582</v>
      </c>
      <c r="F1386">
        <v>2.5023469558800202</v>
      </c>
      <c r="G1386" s="14">
        <v>471.48660082375301</v>
      </c>
      <c r="H1386" s="17">
        <v>0.15556856144189099</v>
      </c>
      <c r="I1386" t="s">
        <v>1614</v>
      </c>
      <c r="J1386" s="14">
        <v>999.194872091192</v>
      </c>
      <c r="K1386" s="14">
        <f t="shared" si="168"/>
        <v>206399.59814996534</v>
      </c>
      <c r="L1386" s="14">
        <f t="shared" si="169"/>
        <v>214</v>
      </c>
      <c r="M1386" s="14" t="str">
        <f t="shared" si="170"/>
        <v>21-10-2023</v>
      </c>
      <c r="N1386" s="14">
        <f t="shared" si="171"/>
        <v>0.15764451711290095</v>
      </c>
      <c r="O1386" s="20">
        <f t="shared" si="172"/>
        <v>2.5100493402792132</v>
      </c>
      <c r="P1386" s="14">
        <f t="shared" si="173"/>
        <v>455.59539111314393</v>
      </c>
      <c r="Q1386" s="14">
        <f t="shared" si="174"/>
        <v>368.3348471080667</v>
      </c>
      <c r="R1386" s="14" t="str">
        <f t="shared" si="175"/>
        <v>Oct</v>
      </c>
    </row>
    <row r="1387" spans="1:18" x14ac:dyDescent="0.3">
      <c r="A1387" t="s">
        <v>2995</v>
      </c>
      <c r="B1387" s="1">
        <v>45807</v>
      </c>
      <c r="C1387" t="s">
        <v>1299</v>
      </c>
      <c r="D1387" t="s">
        <v>1507</v>
      </c>
      <c r="E1387" t="s">
        <v>1571</v>
      </c>
      <c r="F1387">
        <v>2.5023720450800102</v>
      </c>
      <c r="G1387" s="14">
        <v>471.43483792567298</v>
      </c>
      <c r="H1387" s="17">
        <v>0.15557532351247999</v>
      </c>
      <c r="I1387" t="s">
        <v>1609</v>
      </c>
      <c r="J1387" s="14">
        <v>999.08687563173999</v>
      </c>
      <c r="K1387" s="14">
        <f t="shared" si="168"/>
        <v>206399.59814996534</v>
      </c>
      <c r="L1387" s="14">
        <f t="shared" si="169"/>
        <v>214</v>
      </c>
      <c r="M1387" s="14" t="str">
        <f t="shared" si="170"/>
        <v>30-05-2025</v>
      </c>
      <c r="N1387" s="14">
        <f t="shared" si="171"/>
        <v>0.15764789814819577</v>
      </c>
      <c r="O1387" s="20">
        <f t="shared" si="172"/>
        <v>2.510061884879212</v>
      </c>
      <c r="P1387" s="14">
        <f t="shared" si="173"/>
        <v>455.56950966410392</v>
      </c>
      <c r="Q1387" s="14">
        <f t="shared" si="174"/>
        <v>368.29491523150136</v>
      </c>
      <c r="R1387" s="14" t="str">
        <f t="shared" si="175"/>
        <v>May</v>
      </c>
    </row>
    <row r="1388" spans="1:18" x14ac:dyDescent="0.3">
      <c r="A1388" t="s">
        <v>2996</v>
      </c>
      <c r="B1388" s="1">
        <v>45462</v>
      </c>
      <c r="C1388" t="s">
        <v>579</v>
      </c>
      <c r="D1388" t="s">
        <v>1328</v>
      </c>
      <c r="E1388" t="s">
        <v>1589</v>
      </c>
      <c r="F1388">
        <v>2.50239713428001</v>
      </c>
      <c r="G1388" s="14">
        <v>471.38307502759199</v>
      </c>
      <c r="H1388" s="17">
        <v>0.15558208558306999</v>
      </c>
      <c r="I1388" t="s">
        <v>1614</v>
      </c>
      <c r="J1388" s="14">
        <v>998.978879172289</v>
      </c>
      <c r="K1388" s="14">
        <f t="shared" si="168"/>
        <v>205400.51127433358</v>
      </c>
      <c r="L1388" s="14">
        <f t="shared" si="169"/>
        <v>213</v>
      </c>
      <c r="M1388" s="14" t="str">
        <f t="shared" si="170"/>
        <v>19-06-2024</v>
      </c>
      <c r="N1388" s="14">
        <f t="shared" si="171"/>
        <v>0.15765127918349053</v>
      </c>
      <c r="O1388" s="20">
        <f t="shared" si="172"/>
        <v>2.5100744294792108</v>
      </c>
      <c r="P1388" s="14">
        <f t="shared" si="173"/>
        <v>455.54362821506385</v>
      </c>
      <c r="Q1388" s="14">
        <f t="shared" si="174"/>
        <v>368.25498335493603</v>
      </c>
      <c r="R1388" s="14" t="str">
        <f t="shared" si="175"/>
        <v>Jun</v>
      </c>
    </row>
    <row r="1389" spans="1:18" x14ac:dyDescent="0.3">
      <c r="A1389" t="s">
        <v>2997</v>
      </c>
      <c r="B1389" s="1">
        <v>45646</v>
      </c>
      <c r="C1389" t="s">
        <v>598</v>
      </c>
      <c r="D1389" t="s">
        <v>1459</v>
      </c>
      <c r="E1389" t="s">
        <v>1537</v>
      </c>
      <c r="F1389">
        <v>2.5024222234800102</v>
      </c>
      <c r="G1389" s="14">
        <v>471.33131212951201</v>
      </c>
      <c r="H1389" s="17">
        <v>0.15558884765365999</v>
      </c>
      <c r="I1389" t="s">
        <v>1614</v>
      </c>
      <c r="J1389" s="14">
        <v>998.87088271283699</v>
      </c>
      <c r="K1389" s="14">
        <f t="shared" si="168"/>
        <v>205400.51127433358</v>
      </c>
      <c r="L1389" s="14">
        <f t="shared" si="169"/>
        <v>213</v>
      </c>
      <c r="M1389" s="14" t="str">
        <f t="shared" si="170"/>
        <v>20-12-2024</v>
      </c>
      <c r="N1389" s="14">
        <f t="shared" si="171"/>
        <v>0.15765466021878535</v>
      </c>
      <c r="O1389" s="20">
        <f t="shared" si="172"/>
        <v>2.5100869740792096</v>
      </c>
      <c r="P1389" s="14">
        <f t="shared" si="173"/>
        <v>455.51774676602366</v>
      </c>
      <c r="Q1389" s="14">
        <f t="shared" si="174"/>
        <v>368.21505147837064</v>
      </c>
      <c r="R1389" s="14" t="str">
        <f t="shared" si="175"/>
        <v>Dec</v>
      </c>
    </row>
    <row r="1390" spans="1:18" x14ac:dyDescent="0.3">
      <c r="A1390" t="s">
        <v>2998</v>
      </c>
      <c r="B1390" s="1">
        <v>45520</v>
      </c>
      <c r="C1390" t="s">
        <v>304</v>
      </c>
      <c r="D1390" t="s">
        <v>1435</v>
      </c>
      <c r="E1390" t="s">
        <v>1561</v>
      </c>
      <c r="F1390">
        <v>2.50244731268001</v>
      </c>
      <c r="G1390" s="14">
        <v>471.27954923143199</v>
      </c>
      <c r="H1390" s="17">
        <v>0.15559560972424899</v>
      </c>
      <c r="I1390" t="s">
        <v>1614</v>
      </c>
      <c r="J1390" s="14">
        <v>998.76288625338498</v>
      </c>
      <c r="K1390" s="14">
        <f t="shared" si="168"/>
        <v>205400.51127433358</v>
      </c>
      <c r="L1390" s="14">
        <f t="shared" si="169"/>
        <v>213</v>
      </c>
      <c r="M1390" s="14" t="str">
        <f t="shared" si="170"/>
        <v>16-08-2024</v>
      </c>
      <c r="N1390" s="14">
        <f t="shared" si="171"/>
        <v>0.15765804125408017</v>
      </c>
      <c r="O1390" s="20">
        <f t="shared" si="172"/>
        <v>2.5100995186792083</v>
      </c>
      <c r="P1390" s="14">
        <f t="shared" si="173"/>
        <v>455.49186531698359</v>
      </c>
      <c r="Q1390" s="14">
        <f t="shared" si="174"/>
        <v>368.17511960180531</v>
      </c>
      <c r="R1390" s="14" t="str">
        <f t="shared" si="175"/>
        <v>Aug</v>
      </c>
    </row>
    <row r="1391" spans="1:18" x14ac:dyDescent="0.3">
      <c r="A1391" t="s">
        <v>2999</v>
      </c>
      <c r="B1391" s="1">
        <v>45731</v>
      </c>
      <c r="C1391" t="s">
        <v>604</v>
      </c>
      <c r="D1391" t="s">
        <v>1345</v>
      </c>
      <c r="E1391" t="s">
        <v>1554</v>
      </c>
      <c r="F1391">
        <v>2.50247240188</v>
      </c>
      <c r="G1391" s="14">
        <v>471.22778633335201</v>
      </c>
      <c r="H1391" s="17">
        <v>0.15560237179483899</v>
      </c>
      <c r="I1391" t="s">
        <v>1609</v>
      </c>
      <c r="J1391" s="14">
        <v>998.65488979393297</v>
      </c>
      <c r="K1391" s="14">
        <f t="shared" si="168"/>
        <v>205400.51127433358</v>
      </c>
      <c r="L1391" s="14">
        <f t="shared" si="169"/>
        <v>213</v>
      </c>
      <c r="M1391" s="14" t="str">
        <f t="shared" si="170"/>
        <v>15-03-2025</v>
      </c>
      <c r="N1391" s="14">
        <f t="shared" si="171"/>
        <v>0.15766142228937494</v>
      </c>
      <c r="O1391" s="20">
        <f t="shared" si="172"/>
        <v>2.5101120632792067</v>
      </c>
      <c r="P1391" s="14">
        <f t="shared" si="173"/>
        <v>455.46598386794346</v>
      </c>
      <c r="Q1391" s="14">
        <f t="shared" si="174"/>
        <v>368.13518772523997</v>
      </c>
      <c r="R1391" s="14" t="str">
        <f t="shared" si="175"/>
        <v>Mar</v>
      </c>
    </row>
    <row r="1392" spans="1:18" x14ac:dyDescent="0.3">
      <c r="A1392" t="s">
        <v>3000</v>
      </c>
      <c r="B1392" s="1">
        <v>45445</v>
      </c>
      <c r="C1392" t="s">
        <v>14</v>
      </c>
      <c r="D1392" t="s">
        <v>1435</v>
      </c>
      <c r="E1392" t="s">
        <v>1584</v>
      </c>
      <c r="F1392">
        <v>2.5024974910800002</v>
      </c>
      <c r="G1392" s="14">
        <v>471.17602343527199</v>
      </c>
      <c r="H1392" s="17">
        <v>0.15560913386542799</v>
      </c>
      <c r="I1392" t="s">
        <v>1614</v>
      </c>
      <c r="J1392" s="14">
        <v>998.54689333448198</v>
      </c>
      <c r="K1392" s="14">
        <f t="shared" si="168"/>
        <v>204401.85638453966</v>
      </c>
      <c r="L1392" s="14">
        <f t="shared" si="169"/>
        <v>212</v>
      </c>
      <c r="M1392" s="14" t="str">
        <f t="shared" si="170"/>
        <v>02-06-2024</v>
      </c>
      <c r="N1392" s="14">
        <f t="shared" si="171"/>
        <v>0.15766480332466978</v>
      </c>
      <c r="O1392" s="20">
        <f t="shared" si="172"/>
        <v>2.5101246078792059</v>
      </c>
      <c r="P1392" s="14">
        <f t="shared" si="173"/>
        <v>455.44010241890345</v>
      </c>
      <c r="Q1392" s="14">
        <f t="shared" si="174"/>
        <v>368.09525584867487</v>
      </c>
      <c r="R1392" s="14" t="str">
        <f t="shared" si="175"/>
        <v>Jun</v>
      </c>
    </row>
    <row r="1393" spans="1:18" x14ac:dyDescent="0.3">
      <c r="A1393" t="s">
        <v>3001</v>
      </c>
      <c r="B1393" s="1">
        <v>45860</v>
      </c>
      <c r="C1393" t="s">
        <v>338</v>
      </c>
      <c r="D1393" t="s">
        <v>1467</v>
      </c>
      <c r="E1393" t="s">
        <v>1561</v>
      </c>
      <c r="F1393">
        <v>2.50252258028</v>
      </c>
      <c r="G1393" s="14">
        <v>471.12426053719201</v>
      </c>
      <c r="H1393" s="17">
        <v>0.15561589593601799</v>
      </c>
      <c r="I1393" t="s">
        <v>1614</v>
      </c>
      <c r="J1393" s="14">
        <v>998.43889687502997</v>
      </c>
      <c r="K1393" s="14">
        <f t="shared" si="168"/>
        <v>204401.85638453966</v>
      </c>
      <c r="L1393" s="14">
        <f t="shared" si="169"/>
        <v>212</v>
      </c>
      <c r="M1393" s="14" t="str">
        <f t="shared" si="170"/>
        <v>22-07-2025</v>
      </c>
      <c r="N1393" s="14">
        <f t="shared" si="171"/>
        <v>0.15766818435996457</v>
      </c>
      <c r="O1393" s="20">
        <f t="shared" si="172"/>
        <v>2.5101371524792047</v>
      </c>
      <c r="P1393" s="14">
        <f t="shared" si="173"/>
        <v>455.41422096986344</v>
      </c>
      <c r="Q1393" s="14">
        <f t="shared" si="174"/>
        <v>368.05532397210948</v>
      </c>
      <c r="R1393" s="14" t="str">
        <f t="shared" si="175"/>
        <v>Jul</v>
      </c>
    </row>
    <row r="1394" spans="1:18" x14ac:dyDescent="0.3">
      <c r="A1394" t="s">
        <v>3002</v>
      </c>
      <c r="B1394" s="1">
        <v>45725</v>
      </c>
      <c r="C1394" t="s">
        <v>75</v>
      </c>
      <c r="D1394" t="s">
        <v>1415</v>
      </c>
      <c r="E1394" t="s">
        <v>1551</v>
      </c>
      <c r="F1394">
        <v>2.50254766947999</v>
      </c>
      <c r="G1394" s="14">
        <v>471.07249763911102</v>
      </c>
      <c r="H1394" s="17">
        <v>0.15562265800660799</v>
      </c>
      <c r="I1394" t="s">
        <v>1611</v>
      </c>
      <c r="J1394" s="14">
        <v>998.33090041557796</v>
      </c>
      <c r="K1394" s="14">
        <f t="shared" si="168"/>
        <v>204401.85638453966</v>
      </c>
      <c r="L1394" s="14">
        <f t="shared" si="169"/>
        <v>212</v>
      </c>
      <c r="M1394" s="14" t="str">
        <f t="shared" si="170"/>
        <v>09-03-2025</v>
      </c>
      <c r="N1394" s="14">
        <f t="shared" si="171"/>
        <v>0.15767156539525937</v>
      </c>
      <c r="O1394" s="20">
        <f t="shared" si="172"/>
        <v>2.5101496970792034</v>
      </c>
      <c r="P1394" s="14">
        <f t="shared" si="173"/>
        <v>455.38833952082319</v>
      </c>
      <c r="Q1394" s="14">
        <f t="shared" si="174"/>
        <v>368.01539209554392</v>
      </c>
      <c r="R1394" s="14" t="str">
        <f t="shared" si="175"/>
        <v>Mar</v>
      </c>
    </row>
    <row r="1395" spans="1:18" x14ac:dyDescent="0.3">
      <c r="A1395" t="s">
        <v>3003</v>
      </c>
      <c r="B1395" s="1">
        <v>45699</v>
      </c>
      <c r="C1395" t="s">
        <v>399</v>
      </c>
      <c r="D1395" t="s">
        <v>1451</v>
      </c>
      <c r="E1395" t="s">
        <v>1546</v>
      </c>
      <c r="F1395">
        <v>2.5025727586799902</v>
      </c>
      <c r="G1395" s="14">
        <v>471.02073474103099</v>
      </c>
      <c r="H1395" s="17">
        <v>0.15562942007719699</v>
      </c>
      <c r="I1395" t="s">
        <v>1609</v>
      </c>
      <c r="J1395" s="14">
        <v>998.22290395612595</v>
      </c>
      <c r="K1395" s="14">
        <f t="shared" si="168"/>
        <v>204401.85638453966</v>
      </c>
      <c r="L1395" s="14">
        <f t="shared" si="169"/>
        <v>212</v>
      </c>
      <c r="M1395" s="14" t="str">
        <f t="shared" si="170"/>
        <v>11-02-2025</v>
      </c>
      <c r="N1395" s="14">
        <f t="shared" si="171"/>
        <v>0.15767494643055421</v>
      </c>
      <c r="O1395" s="20">
        <f t="shared" si="172"/>
        <v>2.5101622416792018</v>
      </c>
      <c r="P1395" s="14">
        <f t="shared" si="173"/>
        <v>455.36245807178312</v>
      </c>
      <c r="Q1395" s="14">
        <f t="shared" si="174"/>
        <v>367.97546021897853</v>
      </c>
      <c r="R1395" s="14" t="str">
        <f t="shared" si="175"/>
        <v>Feb</v>
      </c>
    </row>
    <row r="1396" spans="1:18" x14ac:dyDescent="0.3">
      <c r="A1396" t="s">
        <v>3004</v>
      </c>
      <c r="B1396" s="1">
        <v>45266</v>
      </c>
      <c r="C1396" t="s">
        <v>499</v>
      </c>
      <c r="D1396" t="s">
        <v>1340</v>
      </c>
      <c r="E1396" t="s">
        <v>1558</v>
      </c>
      <c r="F1396">
        <v>2.50259784787999</v>
      </c>
      <c r="G1396" s="14">
        <v>470.96897184295102</v>
      </c>
      <c r="H1396" s="17">
        <v>0.15563618214778699</v>
      </c>
      <c r="I1396" t="s">
        <v>1609</v>
      </c>
      <c r="J1396" s="14">
        <v>998.11490749667496</v>
      </c>
      <c r="K1396" s="14">
        <f t="shared" si="168"/>
        <v>203403.63348058352</v>
      </c>
      <c r="L1396" s="14">
        <f t="shared" si="169"/>
        <v>211</v>
      </c>
      <c r="M1396" s="14" t="str">
        <f t="shared" si="170"/>
        <v>06-12-2023</v>
      </c>
      <c r="N1396" s="14">
        <f t="shared" si="171"/>
        <v>0.15767832746584898</v>
      </c>
      <c r="O1396" s="20">
        <f t="shared" si="172"/>
        <v>2.5101747862792005</v>
      </c>
      <c r="P1396" s="14">
        <f t="shared" si="173"/>
        <v>455.33657662274311</v>
      </c>
      <c r="Q1396" s="14">
        <f t="shared" si="174"/>
        <v>367.93552834241342</v>
      </c>
      <c r="R1396" s="14" t="str">
        <f t="shared" si="175"/>
        <v>Dec</v>
      </c>
    </row>
    <row r="1397" spans="1:18" x14ac:dyDescent="0.3">
      <c r="A1397" t="s">
        <v>3005</v>
      </c>
      <c r="B1397" s="1">
        <v>45889</v>
      </c>
      <c r="C1397" t="s">
        <v>914</v>
      </c>
      <c r="D1397" t="s">
        <v>1336</v>
      </c>
      <c r="E1397" t="s">
        <v>1571</v>
      </c>
      <c r="F1397">
        <v>2.5026229370799902</v>
      </c>
      <c r="G1397" s="14">
        <v>470.91720894487099</v>
      </c>
      <c r="H1397" s="17">
        <v>0.15564294421837599</v>
      </c>
      <c r="I1397" t="s">
        <v>1614</v>
      </c>
      <c r="J1397" s="14">
        <v>998.00691103722295</v>
      </c>
      <c r="K1397" s="14">
        <f t="shared" si="168"/>
        <v>202405.51857308685</v>
      </c>
      <c r="L1397" s="14">
        <f t="shared" si="169"/>
        <v>210</v>
      </c>
      <c r="M1397" s="14" t="str">
        <f t="shared" si="170"/>
        <v>20-08-2025</v>
      </c>
      <c r="N1397" s="14">
        <f t="shared" si="171"/>
        <v>0.15768170850114377</v>
      </c>
      <c r="O1397" s="20">
        <f t="shared" si="172"/>
        <v>2.5101873308791989</v>
      </c>
      <c r="P1397" s="14">
        <f t="shared" si="173"/>
        <v>455.31069517370304</v>
      </c>
      <c r="Q1397" s="14">
        <f t="shared" si="174"/>
        <v>367.89559646584809</v>
      </c>
      <c r="R1397" s="14" t="str">
        <f t="shared" si="175"/>
        <v>Aug</v>
      </c>
    </row>
    <row r="1398" spans="1:18" x14ac:dyDescent="0.3">
      <c r="A1398" t="s">
        <v>3006</v>
      </c>
      <c r="B1398" s="1">
        <v>45555</v>
      </c>
      <c r="C1398" t="s">
        <v>202</v>
      </c>
      <c r="D1398" t="s">
        <v>1407</v>
      </c>
      <c r="E1398" t="s">
        <v>1579</v>
      </c>
      <c r="F1398">
        <v>2.5026480262799802</v>
      </c>
      <c r="G1398" s="14">
        <v>470.86544604679102</v>
      </c>
      <c r="H1398" s="17">
        <v>0.15564970628896599</v>
      </c>
      <c r="I1398" t="s">
        <v>1614</v>
      </c>
      <c r="J1398" s="14">
        <v>997.89891457777105</v>
      </c>
      <c r="K1398" s="14">
        <f t="shared" si="168"/>
        <v>202405.51857308685</v>
      </c>
      <c r="L1398" s="14">
        <f t="shared" si="169"/>
        <v>210</v>
      </c>
      <c r="M1398" s="14" t="str">
        <f t="shared" si="170"/>
        <v>20-09-2024</v>
      </c>
      <c r="N1398" s="14">
        <f t="shared" si="171"/>
        <v>0.15768508953643856</v>
      </c>
      <c r="O1398" s="20">
        <f t="shared" si="172"/>
        <v>2.5101998754791977</v>
      </c>
      <c r="P1398" s="14">
        <f t="shared" si="173"/>
        <v>455.28481372466308</v>
      </c>
      <c r="Q1398" s="14">
        <f t="shared" si="174"/>
        <v>367.85566458928275</v>
      </c>
      <c r="R1398" s="14" t="str">
        <f t="shared" si="175"/>
        <v>Sep</v>
      </c>
    </row>
    <row r="1399" spans="1:18" x14ac:dyDescent="0.3">
      <c r="A1399" t="s">
        <v>3007</v>
      </c>
      <c r="B1399" s="1">
        <v>45813</v>
      </c>
      <c r="C1399" t="s">
        <v>809</v>
      </c>
      <c r="D1399" t="s">
        <v>1413</v>
      </c>
      <c r="E1399" t="s">
        <v>1592</v>
      </c>
      <c r="F1399">
        <v>2.5026731154799799</v>
      </c>
      <c r="G1399" s="14">
        <v>470.81368314871099</v>
      </c>
      <c r="H1399" s="17">
        <v>0.15565646835955599</v>
      </c>
      <c r="I1399" t="s">
        <v>1611</v>
      </c>
      <c r="J1399" s="14">
        <v>997.79091811831995</v>
      </c>
      <c r="K1399" s="14">
        <f t="shared" si="168"/>
        <v>202405.51857308685</v>
      </c>
      <c r="L1399" s="14">
        <f t="shared" si="169"/>
        <v>210</v>
      </c>
      <c r="M1399" s="14" t="str">
        <f t="shared" si="170"/>
        <v>05-06-2025</v>
      </c>
      <c r="N1399" s="14">
        <f t="shared" si="171"/>
        <v>0.15768847057173341</v>
      </c>
      <c r="O1399" s="20">
        <f t="shared" si="172"/>
        <v>2.5102124200791964</v>
      </c>
      <c r="P1399" s="14">
        <f t="shared" si="173"/>
        <v>455.25893227562284</v>
      </c>
      <c r="Q1399" s="14">
        <f t="shared" si="174"/>
        <v>367.81573271271759</v>
      </c>
      <c r="R1399" s="14" t="str">
        <f t="shared" si="175"/>
        <v>Jun</v>
      </c>
    </row>
    <row r="1400" spans="1:18" x14ac:dyDescent="0.3">
      <c r="A1400" t="s">
        <v>3008</v>
      </c>
      <c r="B1400" s="1">
        <v>45811</v>
      </c>
      <c r="C1400" t="s">
        <v>532</v>
      </c>
      <c r="D1400" t="s">
        <v>1471</v>
      </c>
      <c r="E1400" t="s">
        <v>1584</v>
      </c>
      <c r="F1400">
        <v>2.5026982046799802</v>
      </c>
      <c r="G1400" s="14">
        <v>470.76192025063</v>
      </c>
      <c r="H1400" s="17">
        <v>0.15566323043014499</v>
      </c>
      <c r="I1400" t="s">
        <v>1611</v>
      </c>
      <c r="J1400" s="14">
        <v>997.68292165886805</v>
      </c>
      <c r="K1400" s="14">
        <f t="shared" si="168"/>
        <v>202405.51857308685</v>
      </c>
      <c r="L1400" s="14">
        <f t="shared" si="169"/>
        <v>210</v>
      </c>
      <c r="M1400" s="14" t="str">
        <f t="shared" si="170"/>
        <v>03-06-2025</v>
      </c>
      <c r="N1400" s="14">
        <f t="shared" si="171"/>
        <v>0.1576918516070282</v>
      </c>
      <c r="O1400" s="20">
        <f t="shared" si="172"/>
        <v>2.5102249646791952</v>
      </c>
      <c r="P1400" s="14">
        <f t="shared" si="173"/>
        <v>455.23305082658277</v>
      </c>
      <c r="Q1400" s="14">
        <f t="shared" si="174"/>
        <v>367.77580083615203</v>
      </c>
      <c r="R1400" s="14" t="str">
        <f t="shared" si="175"/>
        <v>Jun</v>
      </c>
    </row>
    <row r="1401" spans="1:18" x14ac:dyDescent="0.3">
      <c r="A1401" t="s">
        <v>3009</v>
      </c>
      <c r="B1401" s="1">
        <v>45670</v>
      </c>
      <c r="C1401" t="s">
        <v>350</v>
      </c>
      <c r="D1401" t="s">
        <v>1457</v>
      </c>
      <c r="E1401" t="s">
        <v>1558</v>
      </c>
      <c r="F1401">
        <v>2.5027232938799799</v>
      </c>
      <c r="G1401" s="14">
        <v>470.71015735255003</v>
      </c>
      <c r="H1401" s="17">
        <v>0.15566999250073499</v>
      </c>
      <c r="I1401" t="s">
        <v>1609</v>
      </c>
      <c r="J1401" s="14">
        <v>997.57492519941604</v>
      </c>
      <c r="K1401" s="14">
        <f t="shared" si="168"/>
        <v>202405.51857308685</v>
      </c>
      <c r="L1401" s="14">
        <f t="shared" si="169"/>
        <v>210</v>
      </c>
      <c r="M1401" s="14" t="str">
        <f t="shared" si="170"/>
        <v>13-01-2025</v>
      </c>
      <c r="N1401" s="14">
        <f t="shared" si="171"/>
        <v>0.15769523264232299</v>
      </c>
      <c r="O1401" s="20">
        <f t="shared" si="172"/>
        <v>2.5102375092791935</v>
      </c>
      <c r="P1401" s="14">
        <f t="shared" si="173"/>
        <v>455.20716937754264</v>
      </c>
      <c r="Q1401" s="14">
        <f t="shared" si="174"/>
        <v>367.7358689595867</v>
      </c>
      <c r="R1401" s="14" t="str">
        <f t="shared" si="175"/>
        <v>Jan</v>
      </c>
    </row>
    <row r="1402" spans="1:18" x14ac:dyDescent="0.3">
      <c r="A1402" t="s">
        <v>3010</v>
      </c>
      <c r="B1402" s="1">
        <v>45736</v>
      </c>
      <c r="C1402" t="s">
        <v>40</v>
      </c>
      <c r="D1402" t="s">
        <v>1503</v>
      </c>
      <c r="E1402" t="s">
        <v>1537</v>
      </c>
      <c r="F1402">
        <v>2.5027483830799699</v>
      </c>
      <c r="G1402" s="14">
        <v>470.65839445447</v>
      </c>
      <c r="H1402" s="17">
        <v>0.15567675457132499</v>
      </c>
      <c r="I1402" t="s">
        <v>1609</v>
      </c>
      <c r="J1402" s="14">
        <v>997.46692873996403</v>
      </c>
      <c r="K1402" s="14">
        <f t="shared" si="168"/>
        <v>201407.94364788744</v>
      </c>
      <c r="L1402" s="14">
        <f t="shared" si="169"/>
        <v>209</v>
      </c>
      <c r="M1402" s="14" t="str">
        <f t="shared" si="170"/>
        <v>20-03-2025</v>
      </c>
      <c r="N1402" s="14">
        <f t="shared" si="171"/>
        <v>0.15769861367761784</v>
      </c>
      <c r="O1402" s="20">
        <f t="shared" si="172"/>
        <v>2.5102500538791919</v>
      </c>
      <c r="P1402" s="14">
        <f t="shared" si="173"/>
        <v>455.18128792850274</v>
      </c>
      <c r="Q1402" s="14">
        <f t="shared" si="174"/>
        <v>367.69593708302136</v>
      </c>
      <c r="R1402" s="14" t="str">
        <f t="shared" si="175"/>
        <v>Mar</v>
      </c>
    </row>
    <row r="1403" spans="1:18" x14ac:dyDescent="0.3">
      <c r="A1403" t="s">
        <v>3011</v>
      </c>
      <c r="B1403" s="1">
        <v>45480</v>
      </c>
      <c r="C1403" t="s">
        <v>141</v>
      </c>
      <c r="D1403" t="s">
        <v>1491</v>
      </c>
      <c r="E1403" t="s">
        <v>1558</v>
      </c>
      <c r="F1403">
        <v>2.5027734722799702</v>
      </c>
      <c r="G1403" s="14">
        <v>470.60663155639003</v>
      </c>
      <c r="H1403" s="17">
        <v>0.15568351664191399</v>
      </c>
      <c r="I1403" t="s">
        <v>1609</v>
      </c>
      <c r="J1403" s="14">
        <v>997.35893228051305</v>
      </c>
      <c r="K1403" s="14">
        <f t="shared" si="168"/>
        <v>200410.47671914747</v>
      </c>
      <c r="L1403" s="14">
        <f t="shared" si="169"/>
        <v>208</v>
      </c>
      <c r="M1403" s="14" t="str">
        <f t="shared" si="170"/>
        <v>07-07-2024</v>
      </c>
      <c r="N1403" s="14">
        <f t="shared" si="171"/>
        <v>0.1577019947129126</v>
      </c>
      <c r="O1403" s="20">
        <f t="shared" si="172"/>
        <v>2.5102625984791911</v>
      </c>
      <c r="P1403" s="14">
        <f t="shared" si="173"/>
        <v>455.1554064794625</v>
      </c>
      <c r="Q1403" s="14">
        <f t="shared" si="174"/>
        <v>367.65600520645626</v>
      </c>
      <c r="R1403" s="14" t="str">
        <f t="shared" si="175"/>
        <v>Jul</v>
      </c>
    </row>
    <row r="1404" spans="1:18" x14ac:dyDescent="0.3">
      <c r="A1404" t="s">
        <v>3012</v>
      </c>
      <c r="B1404" s="1">
        <v>45929</v>
      </c>
      <c r="C1404" t="s">
        <v>1050</v>
      </c>
      <c r="D1404" t="s">
        <v>1355</v>
      </c>
      <c r="E1404" t="s">
        <v>1586</v>
      </c>
      <c r="F1404">
        <v>2.5027985614799699</v>
      </c>
      <c r="G1404" s="14">
        <v>470.55486865831</v>
      </c>
      <c r="H1404" s="17">
        <v>0.15569027871250399</v>
      </c>
      <c r="I1404" t="s">
        <v>1609</v>
      </c>
      <c r="J1404" s="14">
        <v>997.25093582106103</v>
      </c>
      <c r="K1404" s="14">
        <f t="shared" si="168"/>
        <v>199413.11778686696</v>
      </c>
      <c r="L1404" s="14">
        <f t="shared" si="169"/>
        <v>207</v>
      </c>
      <c r="M1404" s="14" t="str">
        <f t="shared" si="170"/>
        <v>29-09-2025</v>
      </c>
      <c r="N1404" s="14">
        <f t="shared" si="171"/>
        <v>0.15770537574820739</v>
      </c>
      <c r="O1404" s="20">
        <f t="shared" si="172"/>
        <v>2.5102751430791894</v>
      </c>
      <c r="P1404" s="14">
        <f t="shared" si="173"/>
        <v>455.12952503042237</v>
      </c>
      <c r="Q1404" s="14">
        <f t="shared" si="174"/>
        <v>367.61607332989087</v>
      </c>
      <c r="R1404" s="14" t="str">
        <f t="shared" si="175"/>
        <v>Sep</v>
      </c>
    </row>
    <row r="1405" spans="1:18" x14ac:dyDescent="0.3">
      <c r="A1405" t="s">
        <v>3013</v>
      </c>
      <c r="B1405" s="1">
        <v>45626</v>
      </c>
      <c r="C1405" t="s">
        <v>532</v>
      </c>
      <c r="D1405" t="s">
        <v>1413</v>
      </c>
      <c r="E1405" t="s">
        <v>1554</v>
      </c>
      <c r="F1405">
        <v>2.5028236506799701</v>
      </c>
      <c r="G1405" s="14">
        <v>470.50310576023003</v>
      </c>
      <c r="H1405" s="17">
        <v>0.15569704078309299</v>
      </c>
      <c r="I1405" t="s">
        <v>1614</v>
      </c>
      <c r="J1405" s="14">
        <v>997.14293936160902</v>
      </c>
      <c r="K1405" s="14">
        <f t="shared" si="168"/>
        <v>198415.86685104592</v>
      </c>
      <c r="L1405" s="14">
        <f t="shared" si="169"/>
        <v>206</v>
      </c>
      <c r="M1405" s="14" t="str">
        <f t="shared" si="170"/>
        <v>30-11-2024</v>
      </c>
      <c r="N1405" s="14">
        <f t="shared" si="171"/>
        <v>0.15770875678350219</v>
      </c>
      <c r="O1405" s="20">
        <f t="shared" si="172"/>
        <v>2.5102876876791882</v>
      </c>
      <c r="P1405" s="14">
        <f t="shared" si="173"/>
        <v>455.1036435813823</v>
      </c>
      <c r="Q1405" s="14">
        <f t="shared" si="174"/>
        <v>367.57614145332553</v>
      </c>
      <c r="R1405" s="14" t="str">
        <f t="shared" si="175"/>
        <v>Nov</v>
      </c>
    </row>
    <row r="1406" spans="1:18" x14ac:dyDescent="0.3">
      <c r="A1406" t="s">
        <v>3014</v>
      </c>
      <c r="B1406" s="1">
        <v>45460</v>
      </c>
      <c r="C1406" t="s">
        <v>1309</v>
      </c>
      <c r="D1406" t="s">
        <v>1489</v>
      </c>
      <c r="E1406" t="s">
        <v>1579</v>
      </c>
      <c r="F1406">
        <v>2.5028487398799601</v>
      </c>
      <c r="G1406" s="14">
        <v>470.45134286215</v>
      </c>
      <c r="H1406" s="17">
        <v>0.15570380285368299</v>
      </c>
      <c r="I1406" t="s">
        <v>1611</v>
      </c>
      <c r="J1406" s="14">
        <v>997.03494290215701</v>
      </c>
      <c r="K1406" s="14">
        <f t="shared" si="168"/>
        <v>198415.86685104592</v>
      </c>
      <c r="L1406" s="14">
        <f t="shared" si="169"/>
        <v>206</v>
      </c>
      <c r="M1406" s="14" t="str">
        <f t="shared" si="170"/>
        <v>17-06-2024</v>
      </c>
      <c r="N1406" s="14">
        <f t="shared" si="171"/>
        <v>0.15771213781879703</v>
      </c>
      <c r="O1406" s="20">
        <f t="shared" si="172"/>
        <v>2.510300232279187</v>
      </c>
      <c r="P1406" s="14">
        <f t="shared" si="173"/>
        <v>455.07776213234229</v>
      </c>
      <c r="Q1406" s="14">
        <f t="shared" si="174"/>
        <v>367.53620957676014</v>
      </c>
      <c r="R1406" s="14" t="str">
        <f t="shared" si="175"/>
        <v>Jun</v>
      </c>
    </row>
    <row r="1407" spans="1:18" x14ac:dyDescent="0.3">
      <c r="A1407" t="s">
        <v>3015</v>
      </c>
      <c r="B1407" s="1">
        <v>45709</v>
      </c>
      <c r="C1407" t="s">
        <v>1083</v>
      </c>
      <c r="D1407" t="s">
        <v>1377</v>
      </c>
      <c r="E1407" t="s">
        <v>1571</v>
      </c>
      <c r="F1407">
        <v>2.5028738290799599</v>
      </c>
      <c r="G1407" s="14">
        <v>470.39957996406901</v>
      </c>
      <c r="H1407" s="17">
        <v>0.15571056492427299</v>
      </c>
      <c r="I1407" t="s">
        <v>1611</v>
      </c>
      <c r="J1407" s="14">
        <v>996.92694644270603</v>
      </c>
      <c r="K1407" s="14">
        <f t="shared" si="168"/>
        <v>198415.86685104592</v>
      </c>
      <c r="L1407" s="14">
        <f t="shared" si="169"/>
        <v>206</v>
      </c>
      <c r="M1407" s="14" t="str">
        <f t="shared" si="170"/>
        <v>21-02-2025</v>
      </c>
      <c r="N1407" s="14">
        <f t="shared" si="171"/>
        <v>0.15771551885409182</v>
      </c>
      <c r="O1407" s="20">
        <f t="shared" si="172"/>
        <v>2.5103127768791857</v>
      </c>
      <c r="P1407" s="14">
        <f t="shared" si="173"/>
        <v>455.05188068330227</v>
      </c>
      <c r="Q1407" s="14">
        <f t="shared" si="174"/>
        <v>367.49627770019481</v>
      </c>
      <c r="R1407" s="14" t="str">
        <f t="shared" si="175"/>
        <v>Feb</v>
      </c>
    </row>
    <row r="1408" spans="1:18" x14ac:dyDescent="0.3">
      <c r="A1408" t="s">
        <v>3016</v>
      </c>
      <c r="B1408" s="1">
        <v>45551</v>
      </c>
      <c r="C1408" t="s">
        <v>547</v>
      </c>
      <c r="D1408" t="s">
        <v>1391</v>
      </c>
      <c r="E1408" t="s">
        <v>1554</v>
      </c>
      <c r="F1408">
        <v>2.5028989182799601</v>
      </c>
      <c r="G1408" s="14">
        <v>470.34781706598898</v>
      </c>
      <c r="H1408" s="17">
        <v>0.15571732699486199</v>
      </c>
      <c r="I1408" t="s">
        <v>1611</v>
      </c>
      <c r="J1408" s="14">
        <v>996.81894998325402</v>
      </c>
      <c r="K1408" s="14">
        <f t="shared" si="168"/>
        <v>198415.86685104592</v>
      </c>
      <c r="L1408" s="14">
        <f t="shared" si="169"/>
        <v>206</v>
      </c>
      <c r="M1408" s="14" t="str">
        <f t="shared" si="170"/>
        <v>16-09-2024</v>
      </c>
      <c r="N1408" s="14">
        <f t="shared" si="171"/>
        <v>0.15771889988938662</v>
      </c>
      <c r="O1408" s="20">
        <f t="shared" si="172"/>
        <v>2.5103253214791845</v>
      </c>
      <c r="P1408" s="14">
        <f t="shared" si="173"/>
        <v>455.02599923426214</v>
      </c>
      <c r="Q1408" s="14">
        <f t="shared" si="174"/>
        <v>367.45634582362948</v>
      </c>
      <c r="R1408" s="14" t="str">
        <f t="shared" si="175"/>
        <v>Sep</v>
      </c>
    </row>
    <row r="1409" spans="1:18" x14ac:dyDescent="0.3">
      <c r="A1409" t="s">
        <v>3017</v>
      </c>
      <c r="B1409" s="1">
        <v>45939</v>
      </c>
      <c r="C1409" t="s">
        <v>809</v>
      </c>
      <c r="D1409" t="s">
        <v>1447</v>
      </c>
      <c r="E1409" t="s">
        <v>1582</v>
      </c>
      <c r="F1409">
        <v>2.5029240074799599</v>
      </c>
      <c r="G1409" s="14">
        <v>470.29605416790901</v>
      </c>
      <c r="H1409" s="17">
        <v>0.15572408906545199</v>
      </c>
      <c r="I1409" t="s">
        <v>1609</v>
      </c>
      <c r="J1409" s="14">
        <v>996.710953523802</v>
      </c>
      <c r="K1409" s="14">
        <f t="shared" si="168"/>
        <v>198415.86685104592</v>
      </c>
      <c r="L1409" s="14">
        <f t="shared" si="169"/>
        <v>206</v>
      </c>
      <c r="M1409" s="14" t="str">
        <f t="shared" si="170"/>
        <v>09-10-2025</v>
      </c>
      <c r="N1409" s="14">
        <f t="shared" si="171"/>
        <v>0.15772228092468146</v>
      </c>
      <c r="O1409" s="20">
        <f t="shared" si="172"/>
        <v>2.5103378660791829</v>
      </c>
      <c r="P1409" s="14">
        <f t="shared" si="173"/>
        <v>455.00011778522202</v>
      </c>
      <c r="Q1409" s="14">
        <f t="shared" si="174"/>
        <v>367.41641394706414</v>
      </c>
      <c r="R1409" s="14" t="str">
        <f t="shared" si="175"/>
        <v>Oct</v>
      </c>
    </row>
    <row r="1410" spans="1:18" x14ac:dyDescent="0.3">
      <c r="A1410" t="s">
        <v>3018</v>
      </c>
      <c r="B1410" s="1">
        <v>45553</v>
      </c>
      <c r="C1410" t="s">
        <v>857</v>
      </c>
      <c r="D1410" t="s">
        <v>1445</v>
      </c>
      <c r="E1410" t="s">
        <v>1551</v>
      </c>
      <c r="F1410">
        <v>2.5029490966799499</v>
      </c>
      <c r="G1410" s="14">
        <v>470.24429126982898</v>
      </c>
      <c r="H1410" s="17">
        <v>0.15573085113604099</v>
      </c>
      <c r="I1410" t="s">
        <v>1609</v>
      </c>
      <c r="J1410" s="14">
        <v>996.60295706434999</v>
      </c>
      <c r="K1410" s="14">
        <f t="shared" ref="K1410:K1473" si="176">SUMIF(I1410:I3409,"Credit Card",J1410:J3409)</f>
        <v>197419.15589752211</v>
      </c>
      <c r="L1410" s="14">
        <f t="shared" ref="L1410:L1473" si="177">COUNTIF(I1410:I3409,"Credit Card")</f>
        <v>205</v>
      </c>
      <c r="M1410" s="14" t="str">
        <f t="shared" ref="M1410:M1473" si="178">TEXT(B1410:B3409,"dd-mm-yyyy")</f>
        <v>18-09-2024</v>
      </c>
      <c r="N1410" s="14">
        <f t="shared" ref="N1410:N1473" si="179">AVERAGE(H1410:H3409)</f>
        <v>0.15772566195997628</v>
      </c>
      <c r="O1410" s="20">
        <f t="shared" ref="O1410:O1473" si="180">AVERAGE(F1410:F3409)</f>
        <v>2.5103504106791816</v>
      </c>
      <c r="P1410" s="14">
        <f t="shared" ref="P1410:P1473" si="181">AVERAGE(G1410:G3409)</f>
        <v>454.97423633618195</v>
      </c>
      <c r="Q1410" s="14">
        <f t="shared" ref="Q1410:Q1473" si="182">AVERAGE(F1410,G1410,H1410,J1410)</f>
        <v>367.37648207049875</v>
      </c>
      <c r="R1410" s="14" t="str">
        <f t="shared" ref="R1410:R1473" si="183">TEXT(M1410,"mmm")</f>
        <v>Sep</v>
      </c>
    </row>
    <row r="1411" spans="1:18" x14ac:dyDescent="0.3">
      <c r="A1411" t="s">
        <v>3019</v>
      </c>
      <c r="B1411" s="1">
        <v>45806</v>
      </c>
      <c r="C1411" t="s">
        <v>261</v>
      </c>
      <c r="D1411" t="s">
        <v>1499</v>
      </c>
      <c r="E1411" t="s">
        <v>1584</v>
      </c>
      <c r="F1411">
        <v>2.5029741858799501</v>
      </c>
      <c r="G1411" s="14">
        <v>470.19252837174901</v>
      </c>
      <c r="H1411" s="17">
        <v>0.15573761320663099</v>
      </c>
      <c r="I1411" t="s">
        <v>1614</v>
      </c>
      <c r="J1411" s="14">
        <v>996.49496060489901</v>
      </c>
      <c r="K1411" s="14">
        <f t="shared" si="176"/>
        <v>196422.55294045777</v>
      </c>
      <c r="L1411" s="14">
        <f t="shared" si="177"/>
        <v>204</v>
      </c>
      <c r="M1411" s="14" t="str">
        <f t="shared" si="178"/>
        <v>29-05-2025</v>
      </c>
      <c r="N1411" s="14">
        <f t="shared" si="179"/>
        <v>0.15772904299527105</v>
      </c>
      <c r="O1411" s="20">
        <f t="shared" si="180"/>
        <v>2.5103629552791804</v>
      </c>
      <c r="P1411" s="14">
        <f t="shared" si="181"/>
        <v>454.94835488714193</v>
      </c>
      <c r="Q1411" s="14">
        <f t="shared" si="182"/>
        <v>367.33655019393365</v>
      </c>
      <c r="R1411" s="14" t="str">
        <f t="shared" si="183"/>
        <v>May</v>
      </c>
    </row>
    <row r="1412" spans="1:18" x14ac:dyDescent="0.3">
      <c r="A1412" t="s">
        <v>3020</v>
      </c>
      <c r="B1412" s="1">
        <v>45811</v>
      </c>
      <c r="C1412" t="s">
        <v>1298</v>
      </c>
      <c r="D1412" t="s">
        <v>1485</v>
      </c>
      <c r="E1412" t="s">
        <v>1589</v>
      </c>
      <c r="F1412">
        <v>2.5029992750799499</v>
      </c>
      <c r="G1412" s="14">
        <v>470.14076547366898</v>
      </c>
      <c r="H1412" s="17">
        <v>0.15574437527722099</v>
      </c>
      <c r="I1412" t="s">
        <v>1614</v>
      </c>
      <c r="J1412" s="14">
        <v>996.386964145447</v>
      </c>
      <c r="K1412" s="14">
        <f t="shared" si="176"/>
        <v>196422.55294045777</v>
      </c>
      <c r="L1412" s="14">
        <f t="shared" si="177"/>
        <v>204</v>
      </c>
      <c r="M1412" s="14" t="str">
        <f t="shared" si="178"/>
        <v>03-06-2025</v>
      </c>
      <c r="N1412" s="14">
        <f t="shared" si="179"/>
        <v>0.15773242403056587</v>
      </c>
      <c r="O1412" s="20">
        <f t="shared" si="180"/>
        <v>2.5103754998791792</v>
      </c>
      <c r="P1412" s="14">
        <f t="shared" si="181"/>
        <v>454.92247343810192</v>
      </c>
      <c r="Q1412" s="14">
        <f t="shared" si="182"/>
        <v>367.29661831736826</v>
      </c>
      <c r="R1412" s="14" t="str">
        <f t="shared" si="183"/>
        <v>Jun</v>
      </c>
    </row>
    <row r="1413" spans="1:18" x14ac:dyDescent="0.3">
      <c r="A1413" t="s">
        <v>3021</v>
      </c>
      <c r="B1413" s="1">
        <v>45508</v>
      </c>
      <c r="C1413" t="s">
        <v>1243</v>
      </c>
      <c r="D1413" t="s">
        <v>1431</v>
      </c>
      <c r="E1413" t="s">
        <v>1546</v>
      </c>
      <c r="F1413">
        <v>2.5030243642799501</v>
      </c>
      <c r="G1413" s="14">
        <v>470.08900257558798</v>
      </c>
      <c r="H1413" s="17">
        <v>0.15575113734780999</v>
      </c>
      <c r="I1413" t="s">
        <v>1611</v>
      </c>
      <c r="J1413" s="14">
        <v>996.27896768599499</v>
      </c>
      <c r="K1413" s="14">
        <f t="shared" si="176"/>
        <v>196422.55294045777</v>
      </c>
      <c r="L1413" s="14">
        <f t="shared" si="177"/>
        <v>204</v>
      </c>
      <c r="M1413" s="14" t="str">
        <f t="shared" si="178"/>
        <v>04-08-2024</v>
      </c>
      <c r="N1413" s="14">
        <f t="shared" si="179"/>
        <v>0.15773580506586066</v>
      </c>
      <c r="O1413" s="20">
        <f t="shared" si="180"/>
        <v>2.5103880444791775</v>
      </c>
      <c r="P1413" s="14">
        <f t="shared" si="181"/>
        <v>454.89659198906173</v>
      </c>
      <c r="Q1413" s="14">
        <f t="shared" si="182"/>
        <v>367.2566864408027</v>
      </c>
      <c r="R1413" s="14" t="str">
        <f t="shared" si="183"/>
        <v>Aug</v>
      </c>
    </row>
    <row r="1414" spans="1:18" x14ac:dyDescent="0.3">
      <c r="A1414" t="s">
        <v>3022</v>
      </c>
      <c r="B1414" s="1">
        <v>45460</v>
      </c>
      <c r="C1414" t="s">
        <v>1225</v>
      </c>
      <c r="D1414" t="s">
        <v>1379</v>
      </c>
      <c r="E1414" t="s">
        <v>1589</v>
      </c>
      <c r="F1414">
        <v>2.5030494534799401</v>
      </c>
      <c r="G1414" s="14">
        <v>470.03723967750801</v>
      </c>
      <c r="H1414" s="17">
        <v>0.15575789941839999</v>
      </c>
      <c r="I1414" t="s">
        <v>1611</v>
      </c>
      <c r="J1414" s="14">
        <v>996.170971226544</v>
      </c>
      <c r="K1414" s="14">
        <f t="shared" si="176"/>
        <v>196422.55294045777</v>
      </c>
      <c r="L1414" s="14">
        <f t="shared" si="177"/>
        <v>204</v>
      </c>
      <c r="M1414" s="14" t="str">
        <f t="shared" si="178"/>
        <v>17-06-2024</v>
      </c>
      <c r="N1414" s="14">
        <f t="shared" si="179"/>
        <v>0.15773918610115545</v>
      </c>
      <c r="O1414" s="20">
        <f t="shared" si="180"/>
        <v>2.5104005890791767</v>
      </c>
      <c r="P1414" s="14">
        <f t="shared" si="181"/>
        <v>454.87071054002166</v>
      </c>
      <c r="Q1414" s="14">
        <f t="shared" si="182"/>
        <v>367.21675456423759</v>
      </c>
      <c r="R1414" s="14" t="str">
        <f t="shared" si="183"/>
        <v>Jun</v>
      </c>
    </row>
    <row r="1415" spans="1:18" x14ac:dyDescent="0.3">
      <c r="A1415" t="s">
        <v>3023</v>
      </c>
      <c r="B1415" s="1">
        <v>45311</v>
      </c>
      <c r="C1415" t="s">
        <v>438</v>
      </c>
      <c r="D1415" t="s">
        <v>1443</v>
      </c>
      <c r="E1415" t="s">
        <v>1537</v>
      </c>
      <c r="F1415">
        <v>2.5030745426799399</v>
      </c>
      <c r="G1415" s="14">
        <v>469.98547677942798</v>
      </c>
      <c r="H1415" s="17">
        <v>0.15576466148898899</v>
      </c>
      <c r="I1415" t="s">
        <v>1609</v>
      </c>
      <c r="J1415" s="14">
        <v>996.06297476709199</v>
      </c>
      <c r="K1415" s="14">
        <f t="shared" si="176"/>
        <v>196422.55294045777</v>
      </c>
      <c r="L1415" s="14">
        <f t="shared" si="177"/>
        <v>204</v>
      </c>
      <c r="M1415" s="14" t="str">
        <f t="shared" si="178"/>
        <v>20-01-2024</v>
      </c>
      <c r="N1415" s="14">
        <f t="shared" si="179"/>
        <v>0.1577425671364503</v>
      </c>
      <c r="O1415" s="20">
        <f t="shared" si="180"/>
        <v>2.5104131336791755</v>
      </c>
      <c r="P1415" s="14">
        <f t="shared" si="181"/>
        <v>454.84482909098159</v>
      </c>
      <c r="Q1415" s="14">
        <f t="shared" si="182"/>
        <v>367.17682268767226</v>
      </c>
      <c r="R1415" s="14" t="str">
        <f t="shared" si="183"/>
        <v>Jan</v>
      </c>
    </row>
    <row r="1416" spans="1:18" x14ac:dyDescent="0.3">
      <c r="A1416" t="s">
        <v>3024</v>
      </c>
      <c r="B1416" s="1">
        <v>45906</v>
      </c>
      <c r="C1416" t="s">
        <v>304</v>
      </c>
      <c r="D1416" t="s">
        <v>1469</v>
      </c>
      <c r="E1416" t="s">
        <v>1567</v>
      </c>
      <c r="F1416">
        <v>2.5030996318799401</v>
      </c>
      <c r="G1416" s="14">
        <v>469.93371388134801</v>
      </c>
      <c r="H1416" s="17">
        <v>0.15577142355957899</v>
      </c>
      <c r="I1416" t="s">
        <v>1609</v>
      </c>
      <c r="J1416" s="14">
        <v>995.95497830763998</v>
      </c>
      <c r="K1416" s="14">
        <f t="shared" si="176"/>
        <v>195426.48996569065</v>
      </c>
      <c r="L1416" s="14">
        <f t="shared" si="177"/>
        <v>203</v>
      </c>
      <c r="M1416" s="14" t="str">
        <f t="shared" si="178"/>
        <v>06-09-2025</v>
      </c>
      <c r="N1416" s="14">
        <f t="shared" si="179"/>
        <v>0.15774594817174509</v>
      </c>
      <c r="O1416" s="20">
        <f t="shared" si="180"/>
        <v>2.5104256782791738</v>
      </c>
      <c r="P1416" s="14">
        <f t="shared" si="181"/>
        <v>454.81894764194163</v>
      </c>
      <c r="Q1416" s="14">
        <f t="shared" si="182"/>
        <v>367.13689081110687</v>
      </c>
      <c r="R1416" s="14" t="str">
        <f t="shared" si="183"/>
        <v>Sep</v>
      </c>
    </row>
    <row r="1417" spans="1:18" x14ac:dyDescent="0.3">
      <c r="A1417" t="s">
        <v>3025</v>
      </c>
      <c r="B1417" s="1">
        <v>45380</v>
      </c>
      <c r="C1417" t="s">
        <v>869</v>
      </c>
      <c r="D1417" t="s">
        <v>1395</v>
      </c>
      <c r="E1417" t="s">
        <v>1574</v>
      </c>
      <c r="F1417">
        <v>2.5031247210799399</v>
      </c>
      <c r="G1417" s="14">
        <v>469.88195098326798</v>
      </c>
      <c r="H1417" s="17">
        <v>0.15577818563016901</v>
      </c>
      <c r="I1417" t="s">
        <v>1614</v>
      </c>
      <c r="J1417" s="14">
        <v>995.84698184818797</v>
      </c>
      <c r="K1417" s="14">
        <f t="shared" si="176"/>
        <v>194430.53498738303</v>
      </c>
      <c r="L1417" s="14">
        <f t="shared" si="177"/>
        <v>202</v>
      </c>
      <c r="M1417" s="14" t="str">
        <f t="shared" si="178"/>
        <v>29-03-2024</v>
      </c>
      <c r="N1417" s="14">
        <f t="shared" si="179"/>
        <v>0.15774932920703991</v>
      </c>
      <c r="O1417" s="20">
        <f t="shared" si="180"/>
        <v>2.5104382228791722</v>
      </c>
      <c r="P1417" s="14">
        <f t="shared" si="181"/>
        <v>454.79306619290145</v>
      </c>
      <c r="Q1417" s="14">
        <f t="shared" si="182"/>
        <v>367.09695893454153</v>
      </c>
      <c r="R1417" s="14" t="str">
        <f t="shared" si="183"/>
        <v>Mar</v>
      </c>
    </row>
    <row r="1418" spans="1:18" x14ac:dyDescent="0.3">
      <c r="A1418" t="s">
        <v>3026</v>
      </c>
      <c r="B1418" s="1">
        <v>45527</v>
      </c>
      <c r="C1418" t="s">
        <v>699</v>
      </c>
      <c r="D1418" t="s">
        <v>1397</v>
      </c>
      <c r="E1418" t="s">
        <v>1571</v>
      </c>
      <c r="F1418">
        <v>2.5031498102799299</v>
      </c>
      <c r="G1418" s="14">
        <v>469.83018808518801</v>
      </c>
      <c r="H1418" s="17">
        <v>0.15578494770075799</v>
      </c>
      <c r="I1418" t="s">
        <v>1614</v>
      </c>
      <c r="J1418" s="14">
        <v>995.73898538873698</v>
      </c>
      <c r="K1418" s="14">
        <f t="shared" si="176"/>
        <v>194430.53498738303</v>
      </c>
      <c r="L1418" s="14">
        <f t="shared" si="177"/>
        <v>202</v>
      </c>
      <c r="M1418" s="14" t="str">
        <f t="shared" si="178"/>
        <v>23-08-2024</v>
      </c>
      <c r="N1418" s="14">
        <f t="shared" si="179"/>
        <v>0.15775271024233473</v>
      </c>
      <c r="O1418" s="20">
        <f t="shared" si="180"/>
        <v>2.5104507674791718</v>
      </c>
      <c r="P1418" s="14">
        <f t="shared" si="181"/>
        <v>454.76718474386138</v>
      </c>
      <c r="Q1418" s="14">
        <f t="shared" si="182"/>
        <v>367.05702705797643</v>
      </c>
      <c r="R1418" s="14" t="str">
        <f t="shared" si="183"/>
        <v>Aug</v>
      </c>
    </row>
    <row r="1419" spans="1:18" x14ac:dyDescent="0.3">
      <c r="A1419" t="s">
        <v>3027</v>
      </c>
      <c r="B1419" s="1">
        <v>45796</v>
      </c>
      <c r="C1419" t="s">
        <v>737</v>
      </c>
      <c r="D1419" t="s">
        <v>1437</v>
      </c>
      <c r="E1419" t="s">
        <v>1571</v>
      </c>
      <c r="F1419">
        <v>2.5031748994799301</v>
      </c>
      <c r="G1419" s="14">
        <v>469.77842518710702</v>
      </c>
      <c r="H1419" s="17">
        <v>0.15579170977134801</v>
      </c>
      <c r="I1419" t="s">
        <v>1609</v>
      </c>
      <c r="J1419" s="14">
        <v>995.63098892928497</v>
      </c>
      <c r="K1419" s="14">
        <f t="shared" si="176"/>
        <v>194430.53498738303</v>
      </c>
      <c r="L1419" s="14">
        <f t="shared" si="177"/>
        <v>202</v>
      </c>
      <c r="M1419" s="14" t="str">
        <f t="shared" si="178"/>
        <v>19-05-2025</v>
      </c>
      <c r="N1419" s="14">
        <f t="shared" si="179"/>
        <v>0.15775609127762949</v>
      </c>
      <c r="O1419" s="20">
        <f t="shared" si="180"/>
        <v>2.5104633120791702</v>
      </c>
      <c r="P1419" s="14">
        <f t="shared" si="181"/>
        <v>454.74130329482125</v>
      </c>
      <c r="Q1419" s="14">
        <f t="shared" si="182"/>
        <v>367.01709518141081</v>
      </c>
      <c r="R1419" s="14" t="str">
        <f t="shared" si="183"/>
        <v>May</v>
      </c>
    </row>
    <row r="1420" spans="1:18" x14ac:dyDescent="0.3">
      <c r="A1420" t="s">
        <v>3028</v>
      </c>
      <c r="B1420" s="1">
        <v>45389</v>
      </c>
      <c r="C1420" t="s">
        <v>669</v>
      </c>
      <c r="D1420" t="s">
        <v>1501</v>
      </c>
      <c r="E1420" t="s">
        <v>1554</v>
      </c>
      <c r="F1420">
        <v>2.5031999886799299</v>
      </c>
      <c r="G1420" s="14">
        <v>469.72666228902699</v>
      </c>
      <c r="H1420" s="17">
        <v>0.15579847184193801</v>
      </c>
      <c r="I1420" t="s">
        <v>1611</v>
      </c>
      <c r="J1420" s="14">
        <v>995.52299246983296</v>
      </c>
      <c r="K1420" s="14">
        <f t="shared" si="176"/>
        <v>193434.90399845372</v>
      </c>
      <c r="L1420" s="14">
        <f t="shared" si="177"/>
        <v>201</v>
      </c>
      <c r="M1420" s="14" t="str">
        <f t="shared" si="178"/>
        <v>07-04-2024</v>
      </c>
      <c r="N1420" s="14">
        <f t="shared" si="179"/>
        <v>0.15775947231292434</v>
      </c>
      <c r="O1420" s="20">
        <f t="shared" si="180"/>
        <v>2.5104758566791689</v>
      </c>
      <c r="P1420" s="14">
        <f t="shared" si="181"/>
        <v>454.71542184578118</v>
      </c>
      <c r="Q1420" s="14">
        <f t="shared" si="182"/>
        <v>366.97716330484548</v>
      </c>
      <c r="R1420" s="14" t="str">
        <f t="shared" si="183"/>
        <v>Apr</v>
      </c>
    </row>
    <row r="1421" spans="1:18" x14ac:dyDescent="0.3">
      <c r="A1421" t="s">
        <v>3029</v>
      </c>
      <c r="B1421" s="1">
        <v>45315</v>
      </c>
      <c r="C1421" t="s">
        <v>1288</v>
      </c>
      <c r="D1421" t="s">
        <v>1477</v>
      </c>
      <c r="E1421" t="s">
        <v>1592</v>
      </c>
      <c r="F1421">
        <v>2.5032250778799199</v>
      </c>
      <c r="G1421" s="14">
        <v>469.67489939094702</v>
      </c>
      <c r="H1421" s="17">
        <v>0.15580523391252701</v>
      </c>
      <c r="I1421" t="s">
        <v>1609</v>
      </c>
      <c r="J1421" s="14">
        <v>995.41499601038095</v>
      </c>
      <c r="K1421" s="14">
        <f t="shared" si="176"/>
        <v>193434.90399845372</v>
      </c>
      <c r="L1421" s="14">
        <f t="shared" si="177"/>
        <v>201</v>
      </c>
      <c r="M1421" s="14" t="str">
        <f t="shared" si="178"/>
        <v>24-01-2024</v>
      </c>
      <c r="N1421" s="14">
        <f t="shared" si="179"/>
        <v>0.15776285334821913</v>
      </c>
      <c r="O1421" s="20">
        <f t="shared" si="180"/>
        <v>2.5104884012791677</v>
      </c>
      <c r="P1421" s="14">
        <f t="shared" si="181"/>
        <v>454.68954039674128</v>
      </c>
      <c r="Q1421" s="14">
        <f t="shared" si="182"/>
        <v>366.93723142828009</v>
      </c>
      <c r="R1421" s="14" t="str">
        <f t="shared" si="183"/>
        <v>Jan</v>
      </c>
    </row>
    <row r="1422" spans="1:18" x14ac:dyDescent="0.3">
      <c r="A1422" t="s">
        <v>3030</v>
      </c>
      <c r="B1422" s="1">
        <v>45311</v>
      </c>
      <c r="C1422" t="s">
        <v>114</v>
      </c>
      <c r="D1422" t="s">
        <v>1487</v>
      </c>
      <c r="E1422" t="s">
        <v>1571</v>
      </c>
      <c r="F1422">
        <v>2.5032501670799201</v>
      </c>
      <c r="G1422" s="14">
        <v>469.62313649286699</v>
      </c>
      <c r="H1422" s="17">
        <v>0.15581199598311701</v>
      </c>
      <c r="I1422" t="s">
        <v>1611</v>
      </c>
      <c r="J1422" s="14">
        <v>995.30699955092996</v>
      </c>
      <c r="K1422" s="14">
        <f t="shared" si="176"/>
        <v>192439.48900244336</v>
      </c>
      <c r="L1422" s="14">
        <f t="shared" si="177"/>
        <v>200</v>
      </c>
      <c r="M1422" s="14" t="str">
        <f t="shared" si="178"/>
        <v>20-01-2024</v>
      </c>
      <c r="N1422" s="14">
        <f t="shared" si="179"/>
        <v>0.15776623438351395</v>
      </c>
      <c r="O1422" s="20">
        <f t="shared" si="180"/>
        <v>2.5105009458791665</v>
      </c>
      <c r="P1422" s="14">
        <f t="shared" si="181"/>
        <v>454.66365894770104</v>
      </c>
      <c r="Q1422" s="14">
        <f t="shared" si="182"/>
        <v>366.89729955171498</v>
      </c>
      <c r="R1422" s="14" t="str">
        <f t="shared" si="183"/>
        <v>Jan</v>
      </c>
    </row>
    <row r="1423" spans="1:18" x14ac:dyDescent="0.3">
      <c r="A1423" t="s">
        <v>3031</v>
      </c>
      <c r="B1423" s="1">
        <v>45270</v>
      </c>
      <c r="C1423" t="s">
        <v>444</v>
      </c>
      <c r="D1423" t="s">
        <v>1515</v>
      </c>
      <c r="E1423" t="s">
        <v>1577</v>
      </c>
      <c r="F1423">
        <v>2.5032752562799199</v>
      </c>
      <c r="G1423" s="14">
        <v>469.57137359478702</v>
      </c>
      <c r="H1423" s="17">
        <v>0.15581875805370601</v>
      </c>
      <c r="I1423" t="s">
        <v>1609</v>
      </c>
      <c r="J1423" s="14">
        <v>995.19900309147795</v>
      </c>
      <c r="K1423" s="14">
        <f t="shared" si="176"/>
        <v>192439.48900244336</v>
      </c>
      <c r="L1423" s="14">
        <f t="shared" si="177"/>
        <v>200</v>
      </c>
      <c r="M1423" s="14" t="str">
        <f t="shared" si="178"/>
        <v>10-12-2023</v>
      </c>
      <c r="N1423" s="14">
        <f t="shared" si="179"/>
        <v>0.15776961541880871</v>
      </c>
      <c r="O1423" s="20">
        <f t="shared" si="180"/>
        <v>2.5105134904791648</v>
      </c>
      <c r="P1423" s="14">
        <f t="shared" si="181"/>
        <v>454.63777749866091</v>
      </c>
      <c r="Q1423" s="14">
        <f t="shared" si="182"/>
        <v>366.85736767514965</v>
      </c>
      <c r="R1423" s="14" t="str">
        <f t="shared" si="183"/>
        <v>Dec</v>
      </c>
    </row>
    <row r="1424" spans="1:18" x14ac:dyDescent="0.3">
      <c r="A1424" t="s">
        <v>3032</v>
      </c>
      <c r="B1424" s="1">
        <v>45279</v>
      </c>
      <c r="C1424" t="s">
        <v>846</v>
      </c>
      <c r="D1424" t="s">
        <v>1507</v>
      </c>
      <c r="E1424" t="s">
        <v>1542</v>
      </c>
      <c r="F1424">
        <v>2.5033003454799201</v>
      </c>
      <c r="G1424" s="14">
        <v>469.51961069670699</v>
      </c>
      <c r="H1424" s="17">
        <v>0.15582552012429601</v>
      </c>
      <c r="I1424" t="s">
        <v>1611</v>
      </c>
      <c r="J1424" s="14">
        <v>995.09100663202605</v>
      </c>
      <c r="K1424" s="14">
        <f t="shared" si="176"/>
        <v>191444.28999935189</v>
      </c>
      <c r="L1424" s="14">
        <f t="shared" si="177"/>
        <v>199</v>
      </c>
      <c r="M1424" s="14" t="str">
        <f t="shared" si="178"/>
        <v>19-12-2023</v>
      </c>
      <c r="N1424" s="14">
        <f t="shared" si="179"/>
        <v>0.15777299645410353</v>
      </c>
      <c r="O1424" s="20">
        <f t="shared" si="180"/>
        <v>2.5105260350791636</v>
      </c>
      <c r="P1424" s="14">
        <f t="shared" si="181"/>
        <v>454.6118960496209</v>
      </c>
      <c r="Q1424" s="14">
        <f t="shared" si="182"/>
        <v>366.81743579858431</v>
      </c>
      <c r="R1424" s="14" t="str">
        <f t="shared" si="183"/>
        <v>Dec</v>
      </c>
    </row>
    <row r="1425" spans="1:18" x14ac:dyDescent="0.3">
      <c r="A1425" t="s">
        <v>3033</v>
      </c>
      <c r="B1425" s="1">
        <v>45252</v>
      </c>
      <c r="C1425" t="s">
        <v>544</v>
      </c>
      <c r="D1425" t="s">
        <v>1527</v>
      </c>
      <c r="E1425" t="s">
        <v>1558</v>
      </c>
      <c r="F1425">
        <v>2.5033254346799101</v>
      </c>
      <c r="G1425" s="14">
        <v>469.46784779862702</v>
      </c>
      <c r="H1425" s="17">
        <v>0.15583228219488601</v>
      </c>
      <c r="I1425" t="s">
        <v>1609</v>
      </c>
      <c r="J1425" s="14">
        <v>994.98301017257404</v>
      </c>
      <c r="K1425" s="14">
        <f t="shared" si="176"/>
        <v>191444.28999935189</v>
      </c>
      <c r="L1425" s="14">
        <f t="shared" si="177"/>
        <v>199</v>
      </c>
      <c r="M1425" s="14" t="str">
        <f t="shared" si="178"/>
        <v>22-11-2023</v>
      </c>
      <c r="N1425" s="14">
        <f t="shared" si="179"/>
        <v>0.15777637748939835</v>
      </c>
      <c r="O1425" s="20">
        <f t="shared" si="180"/>
        <v>2.5105385796791624</v>
      </c>
      <c r="P1425" s="14">
        <f t="shared" si="181"/>
        <v>454.58601460058088</v>
      </c>
      <c r="Q1425" s="14">
        <f t="shared" si="182"/>
        <v>366.77750392201898</v>
      </c>
      <c r="R1425" s="14" t="str">
        <f t="shared" si="183"/>
        <v>Nov</v>
      </c>
    </row>
    <row r="1426" spans="1:18" x14ac:dyDescent="0.3">
      <c r="A1426" t="s">
        <v>3034</v>
      </c>
      <c r="B1426" s="1">
        <v>45938</v>
      </c>
      <c r="C1426" t="s">
        <v>948</v>
      </c>
      <c r="D1426" t="s">
        <v>1405</v>
      </c>
      <c r="E1426" t="s">
        <v>1584</v>
      </c>
      <c r="F1426">
        <v>2.5033505238799099</v>
      </c>
      <c r="G1426" s="14">
        <v>469.41608490054602</v>
      </c>
      <c r="H1426" s="17">
        <v>0.15583904426547501</v>
      </c>
      <c r="I1426" t="s">
        <v>1611</v>
      </c>
      <c r="J1426" s="14">
        <v>994.87501371312305</v>
      </c>
      <c r="K1426" s="14">
        <f t="shared" si="176"/>
        <v>190449.30698917931</v>
      </c>
      <c r="L1426" s="14">
        <f t="shared" si="177"/>
        <v>198</v>
      </c>
      <c r="M1426" s="14" t="str">
        <f t="shared" si="178"/>
        <v>08-10-2025</v>
      </c>
      <c r="N1426" s="14">
        <f t="shared" si="179"/>
        <v>0.15777975852469314</v>
      </c>
      <c r="O1426" s="20">
        <f t="shared" si="180"/>
        <v>2.5105511242791612</v>
      </c>
      <c r="P1426" s="14">
        <f t="shared" si="181"/>
        <v>454.5601331515407</v>
      </c>
      <c r="Q1426" s="14">
        <f t="shared" si="182"/>
        <v>366.73757204545359</v>
      </c>
      <c r="R1426" s="14" t="str">
        <f t="shared" si="183"/>
        <v>Oct</v>
      </c>
    </row>
    <row r="1427" spans="1:18" x14ac:dyDescent="0.3">
      <c r="A1427" t="s">
        <v>3035</v>
      </c>
      <c r="B1427" s="1">
        <v>45711</v>
      </c>
      <c r="C1427" t="s">
        <v>1226</v>
      </c>
      <c r="D1427" t="s">
        <v>1425</v>
      </c>
      <c r="E1427" t="s">
        <v>1571</v>
      </c>
      <c r="F1427">
        <v>2.5033756130799101</v>
      </c>
      <c r="G1427" s="14">
        <v>469.364322002466</v>
      </c>
      <c r="H1427" s="17">
        <v>0.15584580633606501</v>
      </c>
      <c r="I1427" t="s">
        <v>1609</v>
      </c>
      <c r="J1427" s="14">
        <v>994.76701725367104</v>
      </c>
      <c r="K1427" s="14">
        <f t="shared" si="176"/>
        <v>190449.30698917931</v>
      </c>
      <c r="L1427" s="14">
        <f t="shared" si="177"/>
        <v>198</v>
      </c>
      <c r="M1427" s="14" t="str">
        <f t="shared" si="178"/>
        <v>23-02-2025</v>
      </c>
      <c r="N1427" s="14">
        <f t="shared" si="179"/>
        <v>0.15778313955998796</v>
      </c>
      <c r="O1427" s="20">
        <f t="shared" si="180"/>
        <v>2.5105636688791595</v>
      </c>
      <c r="P1427" s="14">
        <f t="shared" si="181"/>
        <v>454.53425170250063</v>
      </c>
      <c r="Q1427" s="14">
        <f t="shared" si="182"/>
        <v>366.69764016888826</v>
      </c>
      <c r="R1427" s="14" t="str">
        <f t="shared" si="183"/>
        <v>Feb</v>
      </c>
    </row>
    <row r="1428" spans="1:18" x14ac:dyDescent="0.3">
      <c r="A1428" t="s">
        <v>3036</v>
      </c>
      <c r="B1428" s="1">
        <v>45713</v>
      </c>
      <c r="C1428" t="s">
        <v>36</v>
      </c>
      <c r="D1428" t="s">
        <v>1509</v>
      </c>
      <c r="E1428" t="s">
        <v>1589</v>
      </c>
      <c r="F1428">
        <v>2.5034007022799099</v>
      </c>
      <c r="G1428" s="14">
        <v>469.31255910438603</v>
      </c>
      <c r="H1428" s="17">
        <v>0.15585256840665401</v>
      </c>
      <c r="I1428" t="s">
        <v>1614</v>
      </c>
      <c r="J1428" s="14">
        <v>994.65902079421903</v>
      </c>
      <c r="K1428" s="14">
        <f t="shared" si="176"/>
        <v>189454.53997192567</v>
      </c>
      <c r="L1428" s="14">
        <f t="shared" si="177"/>
        <v>197</v>
      </c>
      <c r="M1428" s="14" t="str">
        <f t="shared" si="178"/>
        <v>25-02-2025</v>
      </c>
      <c r="N1428" s="14">
        <f t="shared" si="179"/>
        <v>0.15778652059528278</v>
      </c>
      <c r="O1428" s="20">
        <f t="shared" si="180"/>
        <v>2.5105762134791587</v>
      </c>
      <c r="P1428" s="14">
        <f t="shared" si="181"/>
        <v>454.50837025346055</v>
      </c>
      <c r="Q1428" s="14">
        <f t="shared" si="182"/>
        <v>366.65770829232292</v>
      </c>
      <c r="R1428" s="14" t="str">
        <f t="shared" si="183"/>
        <v>Feb</v>
      </c>
    </row>
    <row r="1429" spans="1:18" x14ac:dyDescent="0.3">
      <c r="A1429" t="s">
        <v>3037</v>
      </c>
      <c r="B1429" s="1">
        <v>45565</v>
      </c>
      <c r="C1429" t="s">
        <v>1145</v>
      </c>
      <c r="D1429" t="s">
        <v>1479</v>
      </c>
      <c r="E1429" t="s">
        <v>1561</v>
      </c>
      <c r="F1429">
        <v>2.5034257914798999</v>
      </c>
      <c r="G1429" s="14">
        <v>469.260796206306</v>
      </c>
      <c r="H1429" s="17">
        <v>0.15585933047724401</v>
      </c>
      <c r="I1429" t="s">
        <v>1611</v>
      </c>
      <c r="J1429" s="14">
        <v>994.55102433476702</v>
      </c>
      <c r="K1429" s="14">
        <f t="shared" si="176"/>
        <v>189454.53997192567</v>
      </c>
      <c r="L1429" s="14">
        <f t="shared" si="177"/>
        <v>197</v>
      </c>
      <c r="M1429" s="14" t="str">
        <f t="shared" si="178"/>
        <v>30-09-2024</v>
      </c>
      <c r="N1429" s="14">
        <f t="shared" si="179"/>
        <v>0.15778990163057757</v>
      </c>
      <c r="O1429" s="20">
        <f t="shared" si="180"/>
        <v>2.510588758079157</v>
      </c>
      <c r="P1429" s="14">
        <f t="shared" si="181"/>
        <v>454.48248880442054</v>
      </c>
      <c r="Q1429" s="14">
        <f t="shared" si="182"/>
        <v>366.61777641575753</v>
      </c>
      <c r="R1429" s="14" t="str">
        <f t="shared" si="183"/>
        <v>Sep</v>
      </c>
    </row>
    <row r="1430" spans="1:18" x14ac:dyDescent="0.3">
      <c r="A1430" t="s">
        <v>3038</v>
      </c>
      <c r="B1430" s="1">
        <v>45279</v>
      </c>
      <c r="C1430" t="s">
        <v>672</v>
      </c>
      <c r="D1430" t="s">
        <v>1367</v>
      </c>
      <c r="E1430" t="s">
        <v>1584</v>
      </c>
      <c r="F1430">
        <v>2.5034508806799001</v>
      </c>
      <c r="G1430" s="14">
        <v>469.20903330822603</v>
      </c>
      <c r="H1430" s="17">
        <v>0.15586609254783401</v>
      </c>
      <c r="I1430" t="s">
        <v>1614</v>
      </c>
      <c r="J1430" s="14">
        <v>994.44302787531603</v>
      </c>
      <c r="K1430" s="14">
        <f t="shared" si="176"/>
        <v>189454.53997192567</v>
      </c>
      <c r="L1430" s="14">
        <f t="shared" si="177"/>
        <v>197</v>
      </c>
      <c r="M1430" s="14" t="str">
        <f t="shared" si="178"/>
        <v>19-12-2023</v>
      </c>
      <c r="N1430" s="14">
        <f t="shared" si="179"/>
        <v>0.15779328266587236</v>
      </c>
      <c r="O1430" s="20">
        <f t="shared" si="180"/>
        <v>2.5106013026791554</v>
      </c>
      <c r="P1430" s="14">
        <f t="shared" si="181"/>
        <v>454.45660735538047</v>
      </c>
      <c r="Q1430" s="14">
        <f t="shared" si="182"/>
        <v>366.57784453919248</v>
      </c>
      <c r="R1430" s="14" t="str">
        <f t="shared" si="183"/>
        <v>Dec</v>
      </c>
    </row>
    <row r="1431" spans="1:18" x14ac:dyDescent="0.3">
      <c r="A1431" t="s">
        <v>3039</v>
      </c>
      <c r="B1431" s="1">
        <v>45614</v>
      </c>
      <c r="C1431" t="s">
        <v>1298</v>
      </c>
      <c r="D1431" t="s">
        <v>1529</v>
      </c>
      <c r="E1431" t="s">
        <v>1567</v>
      </c>
      <c r="F1431">
        <v>2.5034759698798998</v>
      </c>
      <c r="G1431" s="14">
        <v>469.157270410146</v>
      </c>
      <c r="H1431" s="17">
        <v>0.15587285461842301</v>
      </c>
      <c r="I1431" t="s">
        <v>1611</v>
      </c>
      <c r="J1431" s="14">
        <v>994.33503141586402</v>
      </c>
      <c r="K1431" s="14">
        <f t="shared" si="176"/>
        <v>189454.53997192567</v>
      </c>
      <c r="L1431" s="14">
        <f t="shared" si="177"/>
        <v>197</v>
      </c>
      <c r="M1431" s="14" t="str">
        <f t="shared" si="178"/>
        <v>18-11-2024</v>
      </c>
      <c r="N1431" s="14">
        <f t="shared" si="179"/>
        <v>0.15779666370116718</v>
      </c>
      <c r="O1431" s="20">
        <f t="shared" si="180"/>
        <v>2.5106138472791542</v>
      </c>
      <c r="P1431" s="14">
        <f t="shared" si="181"/>
        <v>454.43072590634034</v>
      </c>
      <c r="Q1431" s="14">
        <f t="shared" si="182"/>
        <v>366.53791266262709</v>
      </c>
      <c r="R1431" s="14" t="str">
        <f t="shared" si="183"/>
        <v>Nov</v>
      </c>
    </row>
    <row r="1432" spans="1:18" x14ac:dyDescent="0.3">
      <c r="A1432" t="s">
        <v>3040</v>
      </c>
      <c r="B1432" s="1">
        <v>45912</v>
      </c>
      <c r="C1432" t="s">
        <v>275</v>
      </c>
      <c r="D1432" t="s">
        <v>1389</v>
      </c>
      <c r="E1432" t="s">
        <v>1595</v>
      </c>
      <c r="F1432">
        <v>2.5035010590799001</v>
      </c>
      <c r="G1432" s="14">
        <v>469.105507512065</v>
      </c>
      <c r="H1432" s="17">
        <v>0.15587961668901301</v>
      </c>
      <c r="I1432" t="s">
        <v>1609</v>
      </c>
      <c r="J1432" s="14">
        <v>994.22703495641201</v>
      </c>
      <c r="K1432" s="14">
        <f t="shared" si="176"/>
        <v>189454.53997192567</v>
      </c>
      <c r="L1432" s="14">
        <f t="shared" si="177"/>
        <v>197</v>
      </c>
      <c r="M1432" s="14" t="str">
        <f t="shared" si="178"/>
        <v>12-09-2025</v>
      </c>
      <c r="N1432" s="14">
        <f t="shared" si="179"/>
        <v>0.15780004473646198</v>
      </c>
      <c r="O1432" s="20">
        <f t="shared" si="180"/>
        <v>2.5106263918791529</v>
      </c>
      <c r="P1432" s="14">
        <f t="shared" si="181"/>
        <v>454.40484445730021</v>
      </c>
      <c r="Q1432" s="14">
        <f t="shared" si="182"/>
        <v>366.49798078606148</v>
      </c>
      <c r="R1432" s="14" t="str">
        <f t="shared" si="183"/>
        <v>Sep</v>
      </c>
    </row>
    <row r="1433" spans="1:18" x14ac:dyDescent="0.3">
      <c r="A1433" t="s">
        <v>3041</v>
      </c>
      <c r="B1433" s="1">
        <v>45688</v>
      </c>
      <c r="C1433" t="s">
        <v>1220</v>
      </c>
      <c r="D1433" t="s">
        <v>1407</v>
      </c>
      <c r="E1433" t="s">
        <v>1582</v>
      </c>
      <c r="F1433">
        <v>2.5035261482798901</v>
      </c>
      <c r="G1433" s="14">
        <v>469.05374461398497</v>
      </c>
      <c r="H1433" s="17">
        <v>0.15588637875960201</v>
      </c>
      <c r="I1433" t="s">
        <v>1611</v>
      </c>
      <c r="J1433" s="14">
        <v>994.11903849696102</v>
      </c>
      <c r="K1433" s="14">
        <f t="shared" si="176"/>
        <v>188460.31293696925</v>
      </c>
      <c r="L1433" s="14">
        <f t="shared" si="177"/>
        <v>196</v>
      </c>
      <c r="M1433" s="14" t="str">
        <f t="shared" si="178"/>
        <v>31-01-2025</v>
      </c>
      <c r="N1433" s="14">
        <f t="shared" si="179"/>
        <v>0.15780342577175677</v>
      </c>
      <c r="O1433" s="20">
        <f t="shared" si="180"/>
        <v>2.5106389364791517</v>
      </c>
      <c r="P1433" s="14">
        <f t="shared" si="181"/>
        <v>454.3789630082602</v>
      </c>
      <c r="Q1433" s="14">
        <f t="shared" si="182"/>
        <v>366.45804890949637</v>
      </c>
      <c r="R1433" s="14" t="str">
        <f t="shared" si="183"/>
        <v>Jan</v>
      </c>
    </row>
    <row r="1434" spans="1:18" x14ac:dyDescent="0.3">
      <c r="A1434" t="s">
        <v>3042</v>
      </c>
      <c r="B1434" s="1">
        <v>45591</v>
      </c>
      <c r="C1434" t="s">
        <v>646</v>
      </c>
      <c r="D1434" t="s">
        <v>1407</v>
      </c>
      <c r="E1434" t="s">
        <v>1537</v>
      </c>
      <c r="F1434">
        <v>2.5035512374798898</v>
      </c>
      <c r="G1434" s="14">
        <v>469.001981715905</v>
      </c>
      <c r="H1434" s="17">
        <v>0.15589314083019201</v>
      </c>
      <c r="I1434" t="s">
        <v>1609</v>
      </c>
      <c r="J1434" s="14">
        <v>994.01104203750901</v>
      </c>
      <c r="K1434" s="14">
        <f t="shared" si="176"/>
        <v>188460.31293696925</v>
      </c>
      <c r="L1434" s="14">
        <f t="shared" si="177"/>
        <v>196</v>
      </c>
      <c r="M1434" s="14" t="str">
        <f t="shared" si="178"/>
        <v>26-10-2024</v>
      </c>
      <c r="N1434" s="14">
        <f t="shared" si="179"/>
        <v>0.15780680680705161</v>
      </c>
      <c r="O1434" s="20">
        <f t="shared" si="180"/>
        <v>2.51065148107915</v>
      </c>
      <c r="P1434" s="14">
        <f t="shared" si="181"/>
        <v>454.35308155922019</v>
      </c>
      <c r="Q1434" s="14">
        <f t="shared" si="182"/>
        <v>366.41811703293104</v>
      </c>
      <c r="R1434" s="14" t="str">
        <f t="shared" si="183"/>
        <v>Oct</v>
      </c>
    </row>
    <row r="1435" spans="1:18" x14ac:dyDescent="0.3">
      <c r="A1435" t="s">
        <v>3043</v>
      </c>
      <c r="B1435" s="1">
        <v>45864</v>
      </c>
      <c r="C1435" t="s">
        <v>1199</v>
      </c>
      <c r="D1435" t="s">
        <v>1481</v>
      </c>
      <c r="E1435" t="s">
        <v>1574</v>
      </c>
      <c r="F1435">
        <v>2.5035763266798901</v>
      </c>
      <c r="G1435" s="14">
        <v>468.95021881782498</v>
      </c>
      <c r="H1435" s="17">
        <v>0.15589990290078201</v>
      </c>
      <c r="I1435" t="s">
        <v>1614</v>
      </c>
      <c r="J1435" s="14">
        <v>993.903045578057</v>
      </c>
      <c r="K1435" s="14">
        <f t="shared" si="176"/>
        <v>187466.30189493173</v>
      </c>
      <c r="L1435" s="14">
        <f t="shared" si="177"/>
        <v>195</v>
      </c>
      <c r="M1435" s="14" t="str">
        <f t="shared" si="178"/>
        <v>26-07-2025</v>
      </c>
      <c r="N1435" s="14">
        <f t="shared" si="179"/>
        <v>0.15781018784234638</v>
      </c>
      <c r="O1435" s="20">
        <f t="shared" si="180"/>
        <v>2.5106640256791488</v>
      </c>
      <c r="P1435" s="14">
        <f t="shared" si="181"/>
        <v>454.32720011018006</v>
      </c>
      <c r="Q1435" s="14">
        <f t="shared" si="182"/>
        <v>366.37818515636565</v>
      </c>
      <c r="R1435" s="14" t="str">
        <f t="shared" si="183"/>
        <v>Jul</v>
      </c>
    </row>
    <row r="1436" spans="1:18" x14ac:dyDescent="0.3">
      <c r="A1436" t="s">
        <v>3044</v>
      </c>
      <c r="B1436" s="1">
        <v>45875</v>
      </c>
      <c r="C1436" t="s">
        <v>654</v>
      </c>
      <c r="D1436" t="s">
        <v>1449</v>
      </c>
      <c r="E1436" t="s">
        <v>1589</v>
      </c>
      <c r="F1436">
        <v>2.5036014158798898</v>
      </c>
      <c r="G1436" s="14">
        <v>468.898455919745</v>
      </c>
      <c r="H1436" s="17">
        <v>0.15590666497137101</v>
      </c>
      <c r="I1436" t="s">
        <v>1614</v>
      </c>
      <c r="J1436" s="14">
        <v>993.79504911860499</v>
      </c>
      <c r="K1436" s="14">
        <f t="shared" si="176"/>
        <v>187466.30189493173</v>
      </c>
      <c r="L1436" s="14">
        <f t="shared" si="177"/>
        <v>195</v>
      </c>
      <c r="M1436" s="14" t="str">
        <f t="shared" si="178"/>
        <v>06-08-2025</v>
      </c>
      <c r="N1436" s="14">
        <f t="shared" si="179"/>
        <v>0.15781356887764117</v>
      </c>
      <c r="O1436" s="20">
        <f t="shared" si="180"/>
        <v>2.5106765702791476</v>
      </c>
      <c r="P1436" s="14">
        <f t="shared" si="181"/>
        <v>454.30131866113993</v>
      </c>
      <c r="Q1436" s="14">
        <f t="shared" si="182"/>
        <v>366.33825327980031</v>
      </c>
      <c r="R1436" s="14" t="str">
        <f t="shared" si="183"/>
        <v>Aug</v>
      </c>
    </row>
    <row r="1437" spans="1:18" x14ac:dyDescent="0.3">
      <c r="A1437" t="s">
        <v>3045</v>
      </c>
      <c r="B1437" s="1">
        <v>45797</v>
      </c>
      <c r="C1437" t="s">
        <v>553</v>
      </c>
      <c r="D1437" t="s">
        <v>1495</v>
      </c>
      <c r="E1437" t="s">
        <v>1574</v>
      </c>
      <c r="F1437">
        <v>2.5036265050798798</v>
      </c>
      <c r="G1437" s="14">
        <v>468.84669302166498</v>
      </c>
      <c r="H1437" s="17">
        <v>0.15591342704196101</v>
      </c>
      <c r="I1437" t="s">
        <v>1611</v>
      </c>
      <c r="J1437" s="14">
        <v>993.68705265915401</v>
      </c>
      <c r="K1437" s="14">
        <f t="shared" si="176"/>
        <v>187466.30189493173</v>
      </c>
      <c r="L1437" s="14">
        <f t="shared" si="177"/>
        <v>195</v>
      </c>
      <c r="M1437" s="14" t="str">
        <f t="shared" si="178"/>
        <v>20-05-2025</v>
      </c>
      <c r="N1437" s="14">
        <f t="shared" si="179"/>
        <v>0.15781694991293599</v>
      </c>
      <c r="O1437" s="20">
        <f t="shared" si="180"/>
        <v>2.5106891148791459</v>
      </c>
      <c r="P1437" s="14">
        <f t="shared" si="181"/>
        <v>454.27543721209986</v>
      </c>
      <c r="Q1437" s="14">
        <f t="shared" si="182"/>
        <v>366.29832140323521</v>
      </c>
      <c r="R1437" s="14" t="str">
        <f t="shared" si="183"/>
        <v>May</v>
      </c>
    </row>
    <row r="1438" spans="1:18" x14ac:dyDescent="0.3">
      <c r="A1438" t="s">
        <v>3046</v>
      </c>
      <c r="B1438" s="1">
        <v>45364</v>
      </c>
      <c r="C1438" t="s">
        <v>411</v>
      </c>
      <c r="D1438" t="s">
        <v>1515</v>
      </c>
      <c r="E1438" t="s">
        <v>1558</v>
      </c>
      <c r="F1438">
        <v>2.50365159427988</v>
      </c>
      <c r="G1438" s="14">
        <v>468.79493012358398</v>
      </c>
      <c r="H1438" s="17">
        <v>0.15592018911255001</v>
      </c>
      <c r="I1438" t="s">
        <v>1614</v>
      </c>
      <c r="J1438" s="14">
        <v>993.57905619970199</v>
      </c>
      <c r="K1438" s="14">
        <f t="shared" si="176"/>
        <v>187466.30189493173</v>
      </c>
      <c r="L1438" s="14">
        <f t="shared" si="177"/>
        <v>195</v>
      </c>
      <c r="M1438" s="14" t="str">
        <f t="shared" si="178"/>
        <v>13-03-2024</v>
      </c>
      <c r="N1438" s="14">
        <f t="shared" si="179"/>
        <v>0.15782033094823084</v>
      </c>
      <c r="O1438" s="20">
        <f t="shared" si="180"/>
        <v>2.5107016594791443</v>
      </c>
      <c r="P1438" s="14">
        <f t="shared" si="181"/>
        <v>454.24955576305979</v>
      </c>
      <c r="Q1438" s="14">
        <f t="shared" si="182"/>
        <v>366.25838952666959</v>
      </c>
      <c r="R1438" s="14" t="str">
        <f t="shared" si="183"/>
        <v>Mar</v>
      </c>
    </row>
    <row r="1439" spans="1:18" x14ac:dyDescent="0.3">
      <c r="A1439" t="s">
        <v>3047</v>
      </c>
      <c r="B1439" s="1">
        <v>45700</v>
      </c>
      <c r="C1439" t="s">
        <v>1290</v>
      </c>
      <c r="D1439" t="s">
        <v>1425</v>
      </c>
      <c r="E1439" t="s">
        <v>1592</v>
      </c>
      <c r="F1439">
        <v>2.5036766834798798</v>
      </c>
      <c r="G1439" s="14">
        <v>468.74316722550401</v>
      </c>
      <c r="H1439" s="17">
        <v>0.15592695118314001</v>
      </c>
      <c r="I1439" t="s">
        <v>1609</v>
      </c>
      <c r="J1439" s="14">
        <v>993.47105974024998</v>
      </c>
      <c r="K1439" s="14">
        <f t="shared" si="176"/>
        <v>187466.30189493173</v>
      </c>
      <c r="L1439" s="14">
        <f t="shared" si="177"/>
        <v>195</v>
      </c>
      <c r="M1439" s="14" t="str">
        <f t="shared" si="178"/>
        <v>12-02-2025</v>
      </c>
      <c r="N1439" s="14">
        <f t="shared" si="179"/>
        <v>0.15782371198352563</v>
      </c>
      <c r="O1439" s="20">
        <f t="shared" si="180"/>
        <v>2.510714204079143</v>
      </c>
      <c r="P1439" s="14">
        <f t="shared" si="181"/>
        <v>454.22367431401977</v>
      </c>
      <c r="Q1439" s="14">
        <f t="shared" si="182"/>
        <v>366.21845765010426</v>
      </c>
      <c r="R1439" s="14" t="str">
        <f t="shared" si="183"/>
        <v>Feb</v>
      </c>
    </row>
    <row r="1440" spans="1:18" x14ac:dyDescent="0.3">
      <c r="A1440" t="s">
        <v>3048</v>
      </c>
      <c r="B1440" s="1">
        <v>45924</v>
      </c>
      <c r="C1440" t="s">
        <v>969</v>
      </c>
      <c r="D1440" t="s">
        <v>1393</v>
      </c>
      <c r="E1440" t="s">
        <v>1546</v>
      </c>
      <c r="F1440">
        <v>2.50370177267988</v>
      </c>
      <c r="G1440" s="14">
        <v>468.69140432742398</v>
      </c>
      <c r="H1440" s="17">
        <v>0.15593371325373001</v>
      </c>
      <c r="I1440" t="s">
        <v>1611</v>
      </c>
      <c r="J1440" s="14">
        <v>993.36306328079797</v>
      </c>
      <c r="K1440" s="14">
        <f t="shared" si="176"/>
        <v>186472.83083519147</v>
      </c>
      <c r="L1440" s="14">
        <f t="shared" si="177"/>
        <v>194</v>
      </c>
      <c r="M1440" s="14" t="str">
        <f t="shared" si="178"/>
        <v>24-09-2025</v>
      </c>
      <c r="N1440" s="14">
        <f t="shared" si="179"/>
        <v>0.15782709301882042</v>
      </c>
      <c r="O1440" s="20">
        <f t="shared" si="180"/>
        <v>2.5107267486791418</v>
      </c>
      <c r="P1440" s="14">
        <f t="shared" si="181"/>
        <v>454.19779286497959</v>
      </c>
      <c r="Q1440" s="14">
        <f t="shared" si="182"/>
        <v>366.17852577353892</v>
      </c>
      <c r="R1440" s="14" t="str">
        <f t="shared" si="183"/>
        <v>Sep</v>
      </c>
    </row>
    <row r="1441" spans="1:18" x14ac:dyDescent="0.3">
      <c r="A1441" t="s">
        <v>3049</v>
      </c>
      <c r="B1441" s="1">
        <v>45574</v>
      </c>
      <c r="C1441" t="s">
        <v>1270</v>
      </c>
      <c r="D1441" t="s">
        <v>1363</v>
      </c>
      <c r="E1441" t="s">
        <v>1571</v>
      </c>
      <c r="F1441">
        <v>2.50372686187987</v>
      </c>
      <c r="G1441" s="14">
        <v>468.63964142934401</v>
      </c>
      <c r="H1441" s="17">
        <v>0.15594047532431901</v>
      </c>
      <c r="I1441" t="s">
        <v>1611</v>
      </c>
      <c r="J1441" s="14">
        <v>993.25506682134699</v>
      </c>
      <c r="K1441" s="14">
        <f t="shared" si="176"/>
        <v>186472.83083519147</v>
      </c>
      <c r="L1441" s="14">
        <f t="shared" si="177"/>
        <v>194</v>
      </c>
      <c r="M1441" s="14" t="str">
        <f t="shared" si="178"/>
        <v>09-10-2024</v>
      </c>
      <c r="N1441" s="14">
        <f t="shared" si="179"/>
        <v>0.15783047405411521</v>
      </c>
      <c r="O1441" s="20">
        <f t="shared" si="180"/>
        <v>2.510739293279141</v>
      </c>
      <c r="P1441" s="14">
        <f t="shared" si="181"/>
        <v>454.17191141593958</v>
      </c>
      <c r="Q1441" s="14">
        <f t="shared" si="182"/>
        <v>366.13859389697382</v>
      </c>
      <c r="R1441" s="14" t="str">
        <f t="shared" si="183"/>
        <v>Oct</v>
      </c>
    </row>
    <row r="1442" spans="1:18" x14ac:dyDescent="0.3">
      <c r="A1442" t="s">
        <v>3050</v>
      </c>
      <c r="B1442" s="1">
        <v>45233</v>
      </c>
      <c r="C1442" t="s">
        <v>849</v>
      </c>
      <c r="D1442" t="s">
        <v>1519</v>
      </c>
      <c r="E1442" t="s">
        <v>1584</v>
      </c>
      <c r="F1442">
        <v>2.5037519510798698</v>
      </c>
      <c r="G1442" s="14">
        <v>468.58787853126398</v>
      </c>
      <c r="H1442" s="17">
        <v>0.15594723739490901</v>
      </c>
      <c r="I1442" t="s">
        <v>1614</v>
      </c>
      <c r="J1442" s="14">
        <v>993.14707036189498</v>
      </c>
      <c r="K1442" s="14">
        <f t="shared" si="176"/>
        <v>186472.83083519147</v>
      </c>
      <c r="L1442" s="14">
        <f t="shared" si="177"/>
        <v>194</v>
      </c>
      <c r="M1442" s="14" t="str">
        <f t="shared" si="178"/>
        <v>03-11-2023</v>
      </c>
      <c r="N1442" s="14">
        <f t="shared" si="179"/>
        <v>0.15783385508941</v>
      </c>
      <c r="O1442" s="20">
        <f t="shared" si="180"/>
        <v>2.5107518378791394</v>
      </c>
      <c r="P1442" s="14">
        <f t="shared" si="181"/>
        <v>454.14602996689945</v>
      </c>
      <c r="Q1442" s="14">
        <f t="shared" si="182"/>
        <v>366.09866202040843</v>
      </c>
      <c r="R1442" s="14" t="str">
        <f t="shared" si="183"/>
        <v>Nov</v>
      </c>
    </row>
    <row r="1443" spans="1:18" x14ac:dyDescent="0.3">
      <c r="A1443" t="s">
        <v>3051</v>
      </c>
      <c r="B1443" s="1">
        <v>45745</v>
      </c>
      <c r="C1443" t="s">
        <v>604</v>
      </c>
      <c r="D1443" t="s">
        <v>1389</v>
      </c>
      <c r="E1443" t="s">
        <v>1542</v>
      </c>
      <c r="F1443">
        <v>2.50377704027987</v>
      </c>
      <c r="G1443" s="14">
        <v>468.53611563318401</v>
      </c>
      <c r="H1443" s="17">
        <v>0.15595399946549901</v>
      </c>
      <c r="I1443" t="s">
        <v>1609</v>
      </c>
      <c r="J1443" s="14">
        <v>993.03907390244296</v>
      </c>
      <c r="K1443" s="14">
        <f t="shared" si="176"/>
        <v>186472.83083519147</v>
      </c>
      <c r="L1443" s="14">
        <f t="shared" si="177"/>
        <v>194</v>
      </c>
      <c r="M1443" s="14" t="str">
        <f t="shared" si="178"/>
        <v>29-03-2025</v>
      </c>
      <c r="N1443" s="14">
        <f t="shared" si="179"/>
        <v>0.15783723612470482</v>
      </c>
      <c r="O1443" s="20">
        <f t="shared" si="180"/>
        <v>2.5107643824791377</v>
      </c>
      <c r="P1443" s="14">
        <f t="shared" si="181"/>
        <v>454.12014851785938</v>
      </c>
      <c r="Q1443" s="14">
        <f t="shared" si="182"/>
        <v>366.05873014384309</v>
      </c>
      <c r="R1443" s="14" t="str">
        <f t="shared" si="183"/>
        <v>Mar</v>
      </c>
    </row>
    <row r="1444" spans="1:18" x14ac:dyDescent="0.3">
      <c r="A1444" t="s">
        <v>3052</v>
      </c>
      <c r="B1444" s="1">
        <v>45851</v>
      </c>
      <c r="C1444" t="s">
        <v>1240</v>
      </c>
      <c r="D1444" t="s">
        <v>1391</v>
      </c>
      <c r="E1444" t="s">
        <v>1567</v>
      </c>
      <c r="F1444">
        <v>2.50380212947986</v>
      </c>
      <c r="G1444" s="14">
        <v>468.48435273510302</v>
      </c>
      <c r="H1444" s="17">
        <v>0.15596076153608801</v>
      </c>
      <c r="I1444" t="s">
        <v>1609</v>
      </c>
      <c r="J1444" s="14">
        <v>992.93107744299095</v>
      </c>
      <c r="K1444" s="14">
        <f t="shared" si="176"/>
        <v>185479.79176128906</v>
      </c>
      <c r="L1444" s="14">
        <f t="shared" si="177"/>
        <v>193</v>
      </c>
      <c r="M1444" s="14" t="str">
        <f t="shared" si="178"/>
        <v>13-07-2025</v>
      </c>
      <c r="N1444" s="14">
        <f t="shared" si="179"/>
        <v>0.15784061715999959</v>
      </c>
      <c r="O1444" s="20">
        <f t="shared" si="180"/>
        <v>2.5107769270791365</v>
      </c>
      <c r="P1444" s="14">
        <f t="shared" si="181"/>
        <v>454.09426706881925</v>
      </c>
      <c r="Q1444" s="14">
        <f t="shared" si="182"/>
        <v>366.01879826727748</v>
      </c>
      <c r="R1444" s="14" t="str">
        <f t="shared" si="183"/>
        <v>Jul</v>
      </c>
    </row>
    <row r="1445" spans="1:18" x14ac:dyDescent="0.3">
      <c r="A1445" t="s">
        <v>3053</v>
      </c>
      <c r="B1445" s="1">
        <v>45308</v>
      </c>
      <c r="C1445" t="s">
        <v>172</v>
      </c>
      <c r="D1445" t="s">
        <v>1375</v>
      </c>
      <c r="E1445" t="s">
        <v>1574</v>
      </c>
      <c r="F1445">
        <v>2.5038272186798598</v>
      </c>
      <c r="G1445" s="14">
        <v>468.43258983702299</v>
      </c>
      <c r="H1445" s="17">
        <v>0.15596752360667801</v>
      </c>
      <c r="I1445" t="s">
        <v>1609</v>
      </c>
      <c r="J1445" s="14">
        <v>992.82308098353997</v>
      </c>
      <c r="K1445" s="14">
        <f t="shared" si="176"/>
        <v>184486.86068384605</v>
      </c>
      <c r="L1445" s="14">
        <f t="shared" si="177"/>
        <v>192</v>
      </c>
      <c r="M1445" s="14" t="str">
        <f t="shared" si="178"/>
        <v>17-01-2024</v>
      </c>
      <c r="N1445" s="14">
        <f t="shared" si="179"/>
        <v>0.15784399819529446</v>
      </c>
      <c r="O1445" s="20">
        <f t="shared" si="180"/>
        <v>2.5107894716791357</v>
      </c>
      <c r="P1445" s="14">
        <f t="shared" si="181"/>
        <v>454.06838561977918</v>
      </c>
      <c r="Q1445" s="14">
        <f t="shared" si="182"/>
        <v>365.97886639071237</v>
      </c>
      <c r="R1445" s="14" t="str">
        <f t="shared" si="183"/>
        <v>Jan</v>
      </c>
    </row>
    <row r="1446" spans="1:18" x14ac:dyDescent="0.3">
      <c r="A1446" t="s">
        <v>3054</v>
      </c>
      <c r="B1446" s="1">
        <v>45639</v>
      </c>
      <c r="C1446" t="s">
        <v>1300</v>
      </c>
      <c r="D1446" t="s">
        <v>1465</v>
      </c>
      <c r="E1446" t="s">
        <v>1592</v>
      </c>
      <c r="F1446">
        <v>2.50385230787986</v>
      </c>
      <c r="G1446" s="14">
        <v>468.38082693894302</v>
      </c>
      <c r="H1446" s="17">
        <v>0.15597428567726701</v>
      </c>
      <c r="I1446" t="s">
        <v>1611</v>
      </c>
      <c r="J1446" s="14">
        <v>992.71508452408796</v>
      </c>
      <c r="K1446" s="14">
        <f t="shared" si="176"/>
        <v>183494.03760286252</v>
      </c>
      <c r="L1446" s="14">
        <f t="shared" si="177"/>
        <v>191</v>
      </c>
      <c r="M1446" s="14" t="str">
        <f t="shared" si="178"/>
        <v>13-12-2024</v>
      </c>
      <c r="N1446" s="14">
        <f t="shared" si="179"/>
        <v>0.15784737923058922</v>
      </c>
      <c r="O1446" s="20">
        <f t="shared" si="180"/>
        <v>2.5108020162791345</v>
      </c>
      <c r="P1446" s="14">
        <f t="shared" si="181"/>
        <v>454.04250417073916</v>
      </c>
      <c r="Q1446" s="14">
        <f t="shared" si="182"/>
        <v>365.93893451414704</v>
      </c>
      <c r="R1446" s="14" t="str">
        <f t="shared" si="183"/>
        <v>Dec</v>
      </c>
    </row>
    <row r="1447" spans="1:18" x14ac:dyDescent="0.3">
      <c r="A1447" t="s">
        <v>3055</v>
      </c>
      <c r="B1447" s="1">
        <v>45919</v>
      </c>
      <c r="C1447" t="s">
        <v>181</v>
      </c>
      <c r="D1447" t="s">
        <v>1338</v>
      </c>
      <c r="E1447" t="s">
        <v>1546</v>
      </c>
      <c r="F1447">
        <v>2.5038773970798598</v>
      </c>
      <c r="G1447" s="14">
        <v>468.32906404086299</v>
      </c>
      <c r="H1447" s="17">
        <v>0.15598104774785701</v>
      </c>
      <c r="I1447" t="s">
        <v>1609</v>
      </c>
      <c r="J1447" s="14">
        <v>992.60708806463595</v>
      </c>
      <c r="K1447" s="14">
        <f t="shared" si="176"/>
        <v>183494.03760286252</v>
      </c>
      <c r="L1447" s="14">
        <f t="shared" si="177"/>
        <v>191</v>
      </c>
      <c r="M1447" s="14" t="str">
        <f t="shared" si="178"/>
        <v>19-09-2025</v>
      </c>
      <c r="N1447" s="14">
        <f t="shared" si="179"/>
        <v>0.15785076026588407</v>
      </c>
      <c r="O1447" s="20">
        <f t="shared" si="180"/>
        <v>2.5108145608791332</v>
      </c>
      <c r="P1447" s="14">
        <f t="shared" si="181"/>
        <v>454.01662272169904</v>
      </c>
      <c r="Q1447" s="14">
        <f t="shared" si="182"/>
        <v>365.89900263758165</v>
      </c>
      <c r="R1447" s="14" t="str">
        <f t="shared" si="183"/>
        <v>Sep</v>
      </c>
    </row>
    <row r="1448" spans="1:18" x14ac:dyDescent="0.3">
      <c r="A1448" t="s">
        <v>3056</v>
      </c>
      <c r="B1448" s="1">
        <v>45333</v>
      </c>
      <c r="C1448" t="s">
        <v>1077</v>
      </c>
      <c r="D1448" t="s">
        <v>1409</v>
      </c>
      <c r="E1448" t="s">
        <v>1598</v>
      </c>
      <c r="F1448">
        <v>2.5039024862798498</v>
      </c>
      <c r="G1448" s="14">
        <v>468.27730114278302</v>
      </c>
      <c r="H1448" s="17">
        <v>0.15598780981844701</v>
      </c>
      <c r="I1448" t="s">
        <v>1614</v>
      </c>
      <c r="J1448" s="14">
        <v>992.49909160518496</v>
      </c>
      <c r="K1448" s="14">
        <f t="shared" si="176"/>
        <v>182501.43051479789</v>
      </c>
      <c r="L1448" s="14">
        <f t="shared" si="177"/>
        <v>190</v>
      </c>
      <c r="M1448" s="14" t="str">
        <f t="shared" si="178"/>
        <v>11-02-2024</v>
      </c>
      <c r="N1448" s="14">
        <f t="shared" si="179"/>
        <v>0.15785414130117884</v>
      </c>
      <c r="O1448" s="20">
        <f t="shared" si="180"/>
        <v>2.5108271054791316</v>
      </c>
      <c r="P1448" s="14">
        <f t="shared" si="181"/>
        <v>453.99074127265897</v>
      </c>
      <c r="Q1448" s="14">
        <f t="shared" si="182"/>
        <v>365.8590707610166</v>
      </c>
      <c r="R1448" s="14" t="str">
        <f t="shared" si="183"/>
        <v>Feb</v>
      </c>
    </row>
    <row r="1449" spans="1:18" x14ac:dyDescent="0.3">
      <c r="A1449" t="s">
        <v>3057</v>
      </c>
      <c r="B1449" s="1">
        <v>45811</v>
      </c>
      <c r="C1449" t="s">
        <v>1092</v>
      </c>
      <c r="D1449" t="s">
        <v>1411</v>
      </c>
      <c r="E1449" t="s">
        <v>1564</v>
      </c>
      <c r="F1449">
        <v>2.50392757547985</v>
      </c>
      <c r="G1449" s="14">
        <v>468.22553824470299</v>
      </c>
      <c r="H1449" s="17">
        <v>0.15599457188903601</v>
      </c>
      <c r="I1449" t="s">
        <v>1609</v>
      </c>
      <c r="J1449" s="14">
        <v>992.39109514573295</v>
      </c>
      <c r="K1449" s="14">
        <f t="shared" si="176"/>
        <v>182501.43051479789</v>
      </c>
      <c r="L1449" s="14">
        <f t="shared" si="177"/>
        <v>190</v>
      </c>
      <c r="M1449" s="14" t="str">
        <f t="shared" si="178"/>
        <v>03-06-2025</v>
      </c>
      <c r="N1449" s="14">
        <f t="shared" si="179"/>
        <v>0.15785752233647365</v>
      </c>
      <c r="O1449" s="20">
        <f t="shared" si="180"/>
        <v>2.5108396500791303</v>
      </c>
      <c r="P1449" s="14">
        <f t="shared" si="181"/>
        <v>453.96485982361884</v>
      </c>
      <c r="Q1449" s="14">
        <f t="shared" si="182"/>
        <v>365.81913888445121</v>
      </c>
      <c r="R1449" s="14" t="str">
        <f t="shared" si="183"/>
        <v>Jun</v>
      </c>
    </row>
    <row r="1450" spans="1:18" x14ac:dyDescent="0.3">
      <c r="A1450" t="s">
        <v>3058</v>
      </c>
      <c r="B1450" s="1">
        <v>45726</v>
      </c>
      <c r="C1450" t="s">
        <v>1226</v>
      </c>
      <c r="D1450" t="s">
        <v>1479</v>
      </c>
      <c r="E1450" t="s">
        <v>1582</v>
      </c>
      <c r="F1450">
        <v>2.5039526646798498</v>
      </c>
      <c r="G1450" s="14">
        <v>468.17377534662302</v>
      </c>
      <c r="H1450" s="17">
        <v>0.15600133395962601</v>
      </c>
      <c r="I1450" t="s">
        <v>1609</v>
      </c>
      <c r="J1450" s="14">
        <v>992.28309868628105</v>
      </c>
      <c r="K1450" s="14">
        <f t="shared" si="176"/>
        <v>181509.03941965214</v>
      </c>
      <c r="L1450" s="14">
        <f t="shared" si="177"/>
        <v>189</v>
      </c>
      <c r="M1450" s="14" t="str">
        <f t="shared" si="178"/>
        <v>10-03-2025</v>
      </c>
      <c r="N1450" s="14">
        <f t="shared" si="179"/>
        <v>0.15786090337176845</v>
      </c>
      <c r="O1450" s="20">
        <f t="shared" si="180"/>
        <v>2.5108521946791291</v>
      </c>
      <c r="P1450" s="14">
        <f t="shared" si="181"/>
        <v>453.93897837457877</v>
      </c>
      <c r="Q1450" s="14">
        <f t="shared" si="182"/>
        <v>365.77920700788587</v>
      </c>
      <c r="R1450" s="14" t="str">
        <f t="shared" si="183"/>
        <v>Mar</v>
      </c>
    </row>
    <row r="1451" spans="1:18" x14ac:dyDescent="0.3">
      <c r="A1451" t="s">
        <v>3059</v>
      </c>
      <c r="B1451" s="1">
        <v>45644</v>
      </c>
      <c r="C1451" t="s">
        <v>875</v>
      </c>
      <c r="D1451" t="s">
        <v>1405</v>
      </c>
      <c r="E1451" t="s">
        <v>1561</v>
      </c>
      <c r="F1451">
        <v>2.50397775387985</v>
      </c>
      <c r="G1451" s="14">
        <v>468.12201244854202</v>
      </c>
      <c r="H1451" s="17">
        <v>0.15600809603021501</v>
      </c>
      <c r="I1451" t="s">
        <v>1609</v>
      </c>
      <c r="J1451" s="14">
        <v>992.17510222682904</v>
      </c>
      <c r="K1451" s="14">
        <f t="shared" si="176"/>
        <v>180516.75632096585</v>
      </c>
      <c r="L1451" s="14">
        <f t="shared" si="177"/>
        <v>188</v>
      </c>
      <c r="M1451" s="14" t="str">
        <f t="shared" si="178"/>
        <v>18-12-2024</v>
      </c>
      <c r="N1451" s="14">
        <f t="shared" si="179"/>
        <v>0.15786428440706324</v>
      </c>
      <c r="O1451" s="20">
        <f t="shared" si="180"/>
        <v>2.5108647392791279</v>
      </c>
      <c r="P1451" s="14">
        <f t="shared" si="181"/>
        <v>453.91309692553864</v>
      </c>
      <c r="Q1451" s="14">
        <f t="shared" si="182"/>
        <v>365.73927513132026</v>
      </c>
      <c r="R1451" s="14" t="str">
        <f t="shared" si="183"/>
        <v>Dec</v>
      </c>
    </row>
    <row r="1452" spans="1:18" x14ac:dyDescent="0.3">
      <c r="A1452" t="s">
        <v>3060</v>
      </c>
      <c r="B1452" s="1">
        <v>45371</v>
      </c>
      <c r="C1452" t="s">
        <v>1239</v>
      </c>
      <c r="D1452" t="s">
        <v>1511</v>
      </c>
      <c r="E1452" t="s">
        <v>1595</v>
      </c>
      <c r="F1452">
        <v>2.50400284307984</v>
      </c>
      <c r="G1452" s="14">
        <v>468.07024955046199</v>
      </c>
      <c r="H1452" s="17">
        <v>0.15601485810080501</v>
      </c>
      <c r="I1452" t="s">
        <v>1609</v>
      </c>
      <c r="J1452" s="14">
        <v>992.06710576737805</v>
      </c>
      <c r="K1452" s="14">
        <f t="shared" si="176"/>
        <v>179524.58121873904</v>
      </c>
      <c r="L1452" s="14">
        <f t="shared" si="177"/>
        <v>187</v>
      </c>
      <c r="M1452" s="14" t="str">
        <f t="shared" si="178"/>
        <v>20-03-2024</v>
      </c>
      <c r="N1452" s="14">
        <f t="shared" si="179"/>
        <v>0.15786766544235806</v>
      </c>
      <c r="O1452" s="20">
        <f t="shared" si="180"/>
        <v>2.5108772838791262</v>
      </c>
      <c r="P1452" s="14">
        <f t="shared" si="181"/>
        <v>453.88721547649862</v>
      </c>
      <c r="Q1452" s="14">
        <f t="shared" si="182"/>
        <v>365.69934325475515</v>
      </c>
      <c r="R1452" s="14" t="str">
        <f t="shared" si="183"/>
        <v>Mar</v>
      </c>
    </row>
    <row r="1453" spans="1:18" x14ac:dyDescent="0.3">
      <c r="A1453" t="s">
        <v>3061</v>
      </c>
      <c r="B1453" s="1">
        <v>45462</v>
      </c>
      <c r="C1453" t="s">
        <v>722</v>
      </c>
      <c r="D1453" t="s">
        <v>1477</v>
      </c>
      <c r="E1453" t="s">
        <v>1546</v>
      </c>
      <c r="F1453">
        <v>2.5040279322798402</v>
      </c>
      <c r="G1453" s="14">
        <v>468.01848665238202</v>
      </c>
      <c r="H1453" s="17">
        <v>0.15602162017139501</v>
      </c>
      <c r="I1453" t="s">
        <v>1609</v>
      </c>
      <c r="J1453" s="14">
        <v>991.95910930792604</v>
      </c>
      <c r="K1453" s="14">
        <f t="shared" si="176"/>
        <v>178532.51411297166</v>
      </c>
      <c r="L1453" s="14">
        <f t="shared" si="177"/>
        <v>186</v>
      </c>
      <c r="M1453" s="14" t="str">
        <f t="shared" si="178"/>
        <v>19-06-2024</v>
      </c>
      <c r="N1453" s="14">
        <f t="shared" si="179"/>
        <v>0.15787104647765288</v>
      </c>
      <c r="O1453" s="20">
        <f t="shared" si="180"/>
        <v>2.510889828479125</v>
      </c>
      <c r="P1453" s="14">
        <f t="shared" si="181"/>
        <v>453.86133402745855</v>
      </c>
      <c r="Q1453" s="14">
        <f t="shared" si="182"/>
        <v>365.65941137818982</v>
      </c>
      <c r="R1453" s="14" t="str">
        <f t="shared" si="183"/>
        <v>Jun</v>
      </c>
    </row>
    <row r="1454" spans="1:18" x14ac:dyDescent="0.3">
      <c r="A1454" t="s">
        <v>3062</v>
      </c>
      <c r="B1454" s="1">
        <v>45632</v>
      </c>
      <c r="C1454" t="s">
        <v>523</v>
      </c>
      <c r="D1454" t="s">
        <v>1431</v>
      </c>
      <c r="E1454" t="s">
        <v>1564</v>
      </c>
      <c r="F1454">
        <v>2.50405302147984</v>
      </c>
      <c r="G1454" s="14">
        <v>467.966723754302</v>
      </c>
      <c r="H1454" s="17">
        <v>0.15602838224198401</v>
      </c>
      <c r="I1454" t="s">
        <v>1614</v>
      </c>
      <c r="J1454" s="14">
        <v>991.85111284847403</v>
      </c>
      <c r="K1454" s="14">
        <f t="shared" si="176"/>
        <v>177540.5550036637</v>
      </c>
      <c r="L1454" s="14">
        <f t="shared" si="177"/>
        <v>185</v>
      </c>
      <c r="M1454" s="14" t="str">
        <f t="shared" si="178"/>
        <v>06-12-2024</v>
      </c>
      <c r="N1454" s="14">
        <f t="shared" si="179"/>
        <v>0.15787442751294767</v>
      </c>
      <c r="O1454" s="20">
        <f t="shared" si="180"/>
        <v>2.5109023730791238</v>
      </c>
      <c r="P1454" s="14">
        <f t="shared" si="181"/>
        <v>453.83545257841854</v>
      </c>
      <c r="Q1454" s="14">
        <f t="shared" si="182"/>
        <v>365.61947950162448</v>
      </c>
      <c r="R1454" s="14" t="str">
        <f t="shared" si="183"/>
        <v>Dec</v>
      </c>
    </row>
    <row r="1455" spans="1:18" x14ac:dyDescent="0.3">
      <c r="A1455" t="s">
        <v>3063</v>
      </c>
      <c r="B1455" s="1">
        <v>45863</v>
      </c>
      <c r="C1455" t="s">
        <v>1272</v>
      </c>
      <c r="D1455" t="s">
        <v>1477</v>
      </c>
      <c r="E1455" t="s">
        <v>1537</v>
      </c>
      <c r="F1455">
        <v>2.5040781106798402</v>
      </c>
      <c r="G1455" s="14">
        <v>467.91496085622202</v>
      </c>
      <c r="H1455" s="17">
        <v>0.15603514431257401</v>
      </c>
      <c r="I1455" t="s">
        <v>1611</v>
      </c>
      <c r="J1455" s="14">
        <v>991.74311638902202</v>
      </c>
      <c r="K1455" s="14">
        <f t="shared" si="176"/>
        <v>177540.5550036637</v>
      </c>
      <c r="L1455" s="14">
        <f t="shared" si="177"/>
        <v>185</v>
      </c>
      <c r="M1455" s="14" t="str">
        <f t="shared" si="178"/>
        <v>25-07-2025</v>
      </c>
      <c r="N1455" s="14">
        <f t="shared" si="179"/>
        <v>0.15787780854824243</v>
      </c>
      <c r="O1455" s="20">
        <f t="shared" si="180"/>
        <v>2.510914917679123</v>
      </c>
      <c r="P1455" s="14">
        <f t="shared" si="181"/>
        <v>453.80957112937847</v>
      </c>
      <c r="Q1455" s="14">
        <f t="shared" si="182"/>
        <v>365.57954762505909</v>
      </c>
      <c r="R1455" s="14" t="str">
        <f t="shared" si="183"/>
        <v>Jul</v>
      </c>
    </row>
    <row r="1456" spans="1:18" x14ac:dyDescent="0.3">
      <c r="A1456" t="s">
        <v>3064</v>
      </c>
      <c r="B1456" s="1">
        <v>45501</v>
      </c>
      <c r="C1456" t="s">
        <v>770</v>
      </c>
      <c r="D1456" t="s">
        <v>1369</v>
      </c>
      <c r="E1456" t="s">
        <v>1537</v>
      </c>
      <c r="F1456">
        <v>2.5041031998798302</v>
      </c>
      <c r="G1456" s="14">
        <v>467.863197958142</v>
      </c>
      <c r="H1456" s="17">
        <v>0.15604190638316301</v>
      </c>
      <c r="I1456" t="s">
        <v>1614</v>
      </c>
      <c r="J1456" s="14">
        <v>991.63511992957103</v>
      </c>
      <c r="K1456" s="14">
        <f t="shared" si="176"/>
        <v>177540.5550036637</v>
      </c>
      <c r="L1456" s="14">
        <f t="shared" si="177"/>
        <v>185</v>
      </c>
      <c r="M1456" s="14" t="str">
        <f t="shared" si="178"/>
        <v>28-07-2024</v>
      </c>
      <c r="N1456" s="14">
        <f t="shared" si="179"/>
        <v>0.15788118958353725</v>
      </c>
      <c r="O1456" s="20">
        <f t="shared" si="180"/>
        <v>2.5109274622791218</v>
      </c>
      <c r="P1456" s="14">
        <f t="shared" si="181"/>
        <v>453.78368968033834</v>
      </c>
      <c r="Q1456" s="14">
        <f t="shared" si="182"/>
        <v>365.53961574849399</v>
      </c>
      <c r="R1456" s="14" t="str">
        <f t="shared" si="183"/>
        <v>Jul</v>
      </c>
    </row>
    <row r="1457" spans="1:18" x14ac:dyDescent="0.3">
      <c r="A1457" t="s">
        <v>3065</v>
      </c>
      <c r="B1457" s="1">
        <v>45568</v>
      </c>
      <c r="C1457" t="s">
        <v>1020</v>
      </c>
      <c r="D1457" t="s">
        <v>1347</v>
      </c>
      <c r="E1457" t="s">
        <v>1558</v>
      </c>
      <c r="F1457">
        <v>2.50412828907983</v>
      </c>
      <c r="G1457" s="14">
        <v>467.811435060061</v>
      </c>
      <c r="H1457" s="17">
        <v>0.15604866845375301</v>
      </c>
      <c r="I1457" t="s">
        <v>1611</v>
      </c>
      <c r="J1457" s="14">
        <v>991.52712347011902</v>
      </c>
      <c r="K1457" s="14">
        <f t="shared" si="176"/>
        <v>177540.5550036637</v>
      </c>
      <c r="L1457" s="14">
        <f t="shared" si="177"/>
        <v>185</v>
      </c>
      <c r="M1457" s="14" t="str">
        <f t="shared" si="178"/>
        <v>03-10-2024</v>
      </c>
      <c r="N1457" s="14">
        <f t="shared" si="179"/>
        <v>0.15788457061883207</v>
      </c>
      <c r="O1457" s="20">
        <f t="shared" si="180"/>
        <v>2.5109400068791206</v>
      </c>
      <c r="P1457" s="14">
        <f t="shared" si="181"/>
        <v>453.75780823129833</v>
      </c>
      <c r="Q1457" s="14">
        <f t="shared" si="182"/>
        <v>365.49968387192837</v>
      </c>
      <c r="R1457" s="14" t="str">
        <f t="shared" si="183"/>
        <v>Oct</v>
      </c>
    </row>
    <row r="1458" spans="1:18" x14ac:dyDescent="0.3">
      <c r="A1458" t="s">
        <v>3066</v>
      </c>
      <c r="B1458" s="1">
        <v>45238</v>
      </c>
      <c r="C1458" t="s">
        <v>746</v>
      </c>
      <c r="D1458" t="s">
        <v>1523</v>
      </c>
      <c r="E1458" t="s">
        <v>1537</v>
      </c>
      <c r="F1458">
        <v>2.5041533782798302</v>
      </c>
      <c r="G1458" s="14">
        <v>467.75967216198097</v>
      </c>
      <c r="H1458" s="17">
        <v>0.15605543052434301</v>
      </c>
      <c r="I1458" t="s">
        <v>1614</v>
      </c>
      <c r="J1458" s="14">
        <v>991.41912701066701</v>
      </c>
      <c r="K1458" s="14">
        <f t="shared" si="176"/>
        <v>177540.5550036637</v>
      </c>
      <c r="L1458" s="14">
        <f t="shared" si="177"/>
        <v>185</v>
      </c>
      <c r="M1458" s="14" t="str">
        <f t="shared" si="178"/>
        <v>08-11-2023</v>
      </c>
      <c r="N1458" s="14">
        <f t="shared" si="179"/>
        <v>0.15788795165412689</v>
      </c>
      <c r="O1458" s="20">
        <f t="shared" si="180"/>
        <v>2.5109525514791193</v>
      </c>
      <c r="P1458" s="14">
        <f t="shared" si="181"/>
        <v>453.73192678225814</v>
      </c>
      <c r="Q1458" s="14">
        <f t="shared" si="182"/>
        <v>365.45975199536304</v>
      </c>
      <c r="R1458" s="14" t="str">
        <f t="shared" si="183"/>
        <v>Nov</v>
      </c>
    </row>
    <row r="1459" spans="1:18" x14ac:dyDescent="0.3">
      <c r="A1459" t="s">
        <v>3067</v>
      </c>
      <c r="B1459" s="1">
        <v>45754</v>
      </c>
      <c r="C1459" t="s">
        <v>628</v>
      </c>
      <c r="D1459" t="s">
        <v>1469</v>
      </c>
      <c r="E1459" t="s">
        <v>1589</v>
      </c>
      <c r="F1459">
        <v>2.50417846747983</v>
      </c>
      <c r="G1459" s="14">
        <v>467.707909263901</v>
      </c>
      <c r="H1459" s="17">
        <v>0.15606219259493201</v>
      </c>
      <c r="I1459" t="s">
        <v>1611</v>
      </c>
      <c r="J1459" s="14">
        <v>991.311130551215</v>
      </c>
      <c r="K1459" s="14">
        <f t="shared" si="176"/>
        <v>177540.5550036637</v>
      </c>
      <c r="L1459" s="14">
        <f t="shared" si="177"/>
        <v>185</v>
      </c>
      <c r="M1459" s="14" t="str">
        <f t="shared" si="178"/>
        <v>07-04-2025</v>
      </c>
      <c r="N1459" s="14">
        <f t="shared" si="179"/>
        <v>0.15789133268942171</v>
      </c>
      <c r="O1459" s="20">
        <f t="shared" si="180"/>
        <v>2.5109650960791181</v>
      </c>
      <c r="P1459" s="14">
        <f t="shared" si="181"/>
        <v>453.70604533321813</v>
      </c>
      <c r="Q1459" s="14">
        <f t="shared" si="182"/>
        <v>365.4198201187977</v>
      </c>
      <c r="R1459" s="14" t="str">
        <f t="shared" si="183"/>
        <v>Apr</v>
      </c>
    </row>
    <row r="1460" spans="1:18" x14ac:dyDescent="0.3">
      <c r="A1460" t="s">
        <v>3068</v>
      </c>
      <c r="B1460" s="1">
        <v>45280</v>
      </c>
      <c r="C1460" t="s">
        <v>493</v>
      </c>
      <c r="D1460" t="s">
        <v>1383</v>
      </c>
      <c r="E1460" t="s">
        <v>1579</v>
      </c>
      <c r="F1460">
        <v>2.50420355667982</v>
      </c>
      <c r="G1460" s="14">
        <v>467.65614636582097</v>
      </c>
      <c r="H1460" s="17">
        <v>0.15606895466552201</v>
      </c>
      <c r="I1460" t="s">
        <v>1614</v>
      </c>
      <c r="J1460" s="14">
        <v>991.20313409176401</v>
      </c>
      <c r="K1460" s="14">
        <f t="shared" si="176"/>
        <v>177540.5550036637</v>
      </c>
      <c r="L1460" s="14">
        <f t="shared" si="177"/>
        <v>185</v>
      </c>
      <c r="M1460" s="14" t="str">
        <f t="shared" si="178"/>
        <v>20-12-2023</v>
      </c>
      <c r="N1460" s="14">
        <f t="shared" si="179"/>
        <v>0.15789471372471653</v>
      </c>
      <c r="O1460" s="20">
        <f t="shared" si="180"/>
        <v>2.5109776406791169</v>
      </c>
      <c r="P1460" s="14">
        <f t="shared" si="181"/>
        <v>453.68016388417806</v>
      </c>
      <c r="Q1460" s="14">
        <f t="shared" si="182"/>
        <v>365.3798882422326</v>
      </c>
      <c r="R1460" s="14" t="str">
        <f t="shared" si="183"/>
        <v>Dec</v>
      </c>
    </row>
    <row r="1461" spans="1:18" x14ac:dyDescent="0.3">
      <c r="A1461" t="s">
        <v>3069</v>
      </c>
      <c r="B1461" s="1">
        <v>45911</v>
      </c>
      <c r="C1461" t="s">
        <v>55</v>
      </c>
      <c r="D1461" t="s">
        <v>1395</v>
      </c>
      <c r="E1461" t="s">
        <v>1592</v>
      </c>
      <c r="F1461">
        <v>2.5042286458798202</v>
      </c>
      <c r="G1461" s="14">
        <v>467.604383467741</v>
      </c>
      <c r="H1461" s="17">
        <v>0.15607571673611201</v>
      </c>
      <c r="I1461" t="s">
        <v>1611</v>
      </c>
      <c r="J1461" s="14">
        <v>991.095137632312</v>
      </c>
      <c r="K1461" s="14">
        <f t="shared" si="176"/>
        <v>177540.5550036637</v>
      </c>
      <c r="L1461" s="14">
        <f t="shared" si="177"/>
        <v>185</v>
      </c>
      <c r="M1461" s="14" t="str">
        <f t="shared" si="178"/>
        <v>11-09-2025</v>
      </c>
      <c r="N1461" s="14">
        <f t="shared" si="179"/>
        <v>0.15789809476001132</v>
      </c>
      <c r="O1461" s="20">
        <f t="shared" si="180"/>
        <v>2.5109901852791152</v>
      </c>
      <c r="P1461" s="14">
        <f t="shared" si="181"/>
        <v>453.65428243513804</v>
      </c>
      <c r="Q1461" s="14">
        <f t="shared" si="182"/>
        <v>365.33995636566726</v>
      </c>
      <c r="R1461" s="14" t="str">
        <f t="shared" si="183"/>
        <v>Sep</v>
      </c>
    </row>
    <row r="1462" spans="1:18" x14ac:dyDescent="0.3">
      <c r="A1462" t="s">
        <v>3070</v>
      </c>
      <c r="B1462" s="1">
        <v>45627</v>
      </c>
      <c r="C1462" t="s">
        <v>1266</v>
      </c>
      <c r="D1462" t="s">
        <v>1334</v>
      </c>
      <c r="E1462" t="s">
        <v>1554</v>
      </c>
      <c r="F1462">
        <v>2.50425373507982</v>
      </c>
      <c r="G1462" s="14">
        <v>467.55262056966097</v>
      </c>
      <c r="H1462" s="17">
        <v>0.15608247880670101</v>
      </c>
      <c r="I1462" t="s">
        <v>1614</v>
      </c>
      <c r="J1462" s="14">
        <v>990.98714117285999</v>
      </c>
      <c r="K1462" s="14">
        <f t="shared" si="176"/>
        <v>177540.5550036637</v>
      </c>
      <c r="L1462" s="14">
        <f t="shared" si="177"/>
        <v>185</v>
      </c>
      <c r="M1462" s="14" t="str">
        <f t="shared" si="178"/>
        <v>01-12-2024</v>
      </c>
      <c r="N1462" s="14">
        <f t="shared" si="179"/>
        <v>0.15790147579530611</v>
      </c>
      <c r="O1462" s="20">
        <f t="shared" si="180"/>
        <v>2.5110027298791149</v>
      </c>
      <c r="P1462" s="14">
        <f t="shared" si="181"/>
        <v>453.62840098609792</v>
      </c>
      <c r="Q1462" s="14">
        <f t="shared" si="182"/>
        <v>365.30002448910187</v>
      </c>
      <c r="R1462" s="14" t="str">
        <f t="shared" si="183"/>
        <v>Dec</v>
      </c>
    </row>
    <row r="1463" spans="1:18" x14ac:dyDescent="0.3">
      <c r="A1463" t="s">
        <v>3071</v>
      </c>
      <c r="B1463" s="1">
        <v>45617</v>
      </c>
      <c r="C1463" t="s">
        <v>544</v>
      </c>
      <c r="D1463" t="s">
        <v>1353</v>
      </c>
      <c r="E1463" t="s">
        <v>1558</v>
      </c>
      <c r="F1463">
        <v>2.50427882427981</v>
      </c>
      <c r="G1463" s="14">
        <v>467.50085767157998</v>
      </c>
      <c r="H1463" s="17">
        <v>0.15608924087729101</v>
      </c>
      <c r="I1463" t="s">
        <v>1611</v>
      </c>
      <c r="J1463" s="14">
        <v>990.879144713409</v>
      </c>
      <c r="K1463" s="14">
        <f t="shared" si="176"/>
        <v>177540.5550036637</v>
      </c>
      <c r="L1463" s="14">
        <f t="shared" si="177"/>
        <v>185</v>
      </c>
      <c r="M1463" s="14" t="str">
        <f t="shared" si="178"/>
        <v>21-11-2024</v>
      </c>
      <c r="N1463" s="14">
        <f t="shared" si="179"/>
        <v>0.1579048568306009</v>
      </c>
      <c r="O1463" s="20">
        <f t="shared" si="180"/>
        <v>2.5110152744791128</v>
      </c>
      <c r="P1463" s="14">
        <f t="shared" si="181"/>
        <v>453.60251953705784</v>
      </c>
      <c r="Q1463" s="14">
        <f t="shared" si="182"/>
        <v>365.26009261253654</v>
      </c>
      <c r="R1463" s="14" t="str">
        <f t="shared" si="183"/>
        <v>Nov</v>
      </c>
    </row>
    <row r="1464" spans="1:18" x14ac:dyDescent="0.3">
      <c r="A1464" t="s">
        <v>3072</v>
      </c>
      <c r="B1464" s="1">
        <v>45899</v>
      </c>
      <c r="C1464" t="s">
        <v>1309</v>
      </c>
      <c r="D1464" t="s">
        <v>1421</v>
      </c>
      <c r="E1464" t="s">
        <v>1546</v>
      </c>
      <c r="F1464">
        <v>2.5043039134798102</v>
      </c>
      <c r="G1464" s="14">
        <v>467.44909477350001</v>
      </c>
      <c r="H1464" s="17">
        <v>0.15609600294788001</v>
      </c>
      <c r="I1464" t="s">
        <v>1614</v>
      </c>
      <c r="J1464" s="14">
        <v>990.77114825395699</v>
      </c>
      <c r="K1464" s="14">
        <f t="shared" si="176"/>
        <v>177540.5550036637</v>
      </c>
      <c r="L1464" s="14">
        <f t="shared" si="177"/>
        <v>185</v>
      </c>
      <c r="M1464" s="14" t="str">
        <f t="shared" si="178"/>
        <v>30-08-2025</v>
      </c>
      <c r="N1464" s="14">
        <f t="shared" si="179"/>
        <v>0.15790823786589572</v>
      </c>
      <c r="O1464" s="20">
        <f t="shared" si="180"/>
        <v>2.5110278190791115</v>
      </c>
      <c r="P1464" s="14">
        <f t="shared" si="181"/>
        <v>453.57663808801783</v>
      </c>
      <c r="Q1464" s="14">
        <f t="shared" si="182"/>
        <v>365.22016073597115</v>
      </c>
      <c r="R1464" s="14" t="str">
        <f t="shared" si="183"/>
        <v>Aug</v>
      </c>
    </row>
    <row r="1465" spans="1:18" x14ac:dyDescent="0.3">
      <c r="A1465" t="s">
        <v>3073</v>
      </c>
      <c r="B1465" s="1">
        <v>45889</v>
      </c>
      <c r="C1465" t="s">
        <v>40</v>
      </c>
      <c r="D1465" t="s">
        <v>1441</v>
      </c>
      <c r="E1465" t="s">
        <v>1542</v>
      </c>
      <c r="F1465">
        <v>2.50432900267981</v>
      </c>
      <c r="G1465" s="14">
        <v>467.39733187541998</v>
      </c>
      <c r="H1465" s="17">
        <v>0.15610276501847001</v>
      </c>
      <c r="I1465" t="s">
        <v>1614</v>
      </c>
      <c r="J1465" s="14">
        <v>990.66315179450498</v>
      </c>
      <c r="K1465" s="14">
        <f t="shared" si="176"/>
        <v>177540.5550036637</v>
      </c>
      <c r="L1465" s="14">
        <f t="shared" si="177"/>
        <v>185</v>
      </c>
      <c r="M1465" s="14" t="str">
        <f t="shared" si="178"/>
        <v>20-08-2025</v>
      </c>
      <c r="N1465" s="14">
        <f t="shared" si="179"/>
        <v>0.15791161890119051</v>
      </c>
      <c r="O1465" s="20">
        <f t="shared" si="180"/>
        <v>2.5110403636791099</v>
      </c>
      <c r="P1465" s="14">
        <f t="shared" si="181"/>
        <v>453.55075663897765</v>
      </c>
      <c r="Q1465" s="14">
        <f t="shared" si="182"/>
        <v>365.18022885940582</v>
      </c>
      <c r="R1465" s="14" t="str">
        <f t="shared" si="183"/>
        <v>Aug</v>
      </c>
    </row>
    <row r="1466" spans="1:18" x14ac:dyDescent="0.3">
      <c r="A1466" t="s">
        <v>3074</v>
      </c>
      <c r="B1466" s="1">
        <v>45943</v>
      </c>
      <c r="C1466" t="s">
        <v>556</v>
      </c>
      <c r="D1466" t="s">
        <v>1427</v>
      </c>
      <c r="E1466" t="s">
        <v>1546</v>
      </c>
      <c r="F1466">
        <v>2.5043540918798102</v>
      </c>
      <c r="G1466" s="14">
        <v>467.34556897734001</v>
      </c>
      <c r="H1466" s="17">
        <v>0.15610952708906001</v>
      </c>
      <c r="I1466" t="s">
        <v>1609</v>
      </c>
      <c r="J1466" s="14">
        <v>990.55515533505297</v>
      </c>
      <c r="K1466" s="14">
        <f t="shared" si="176"/>
        <v>177540.5550036637</v>
      </c>
      <c r="L1466" s="14">
        <f t="shared" si="177"/>
        <v>185</v>
      </c>
      <c r="M1466" s="14" t="str">
        <f t="shared" si="178"/>
        <v>13-10-2025</v>
      </c>
      <c r="N1466" s="14">
        <f t="shared" si="179"/>
        <v>0.15791499993648533</v>
      </c>
      <c r="O1466" s="20">
        <f t="shared" si="180"/>
        <v>2.5110529082791091</v>
      </c>
      <c r="P1466" s="14">
        <f t="shared" si="181"/>
        <v>453.52487518993757</v>
      </c>
      <c r="Q1466" s="14">
        <f t="shared" si="182"/>
        <v>365.14029698284048</v>
      </c>
      <c r="R1466" s="14" t="str">
        <f t="shared" si="183"/>
        <v>Oct</v>
      </c>
    </row>
    <row r="1467" spans="1:18" x14ac:dyDescent="0.3">
      <c r="A1467" t="s">
        <v>3075</v>
      </c>
      <c r="B1467" s="1">
        <v>45306</v>
      </c>
      <c r="C1467" t="s">
        <v>544</v>
      </c>
      <c r="D1467" t="s">
        <v>1523</v>
      </c>
      <c r="E1467" t="s">
        <v>1542</v>
      </c>
      <c r="F1467">
        <v>2.5043791810798002</v>
      </c>
      <c r="G1467" s="14">
        <v>467.29380607925998</v>
      </c>
      <c r="H1467" s="17">
        <v>0.15611628915964901</v>
      </c>
      <c r="I1467" t="s">
        <v>1609</v>
      </c>
      <c r="J1467" s="14">
        <v>990.44715887560199</v>
      </c>
      <c r="K1467" s="14">
        <f t="shared" si="176"/>
        <v>176549.99984832868</v>
      </c>
      <c r="L1467" s="14">
        <f t="shared" si="177"/>
        <v>184</v>
      </c>
      <c r="M1467" s="14" t="str">
        <f t="shared" si="178"/>
        <v>15-01-2024</v>
      </c>
      <c r="N1467" s="14">
        <f t="shared" si="179"/>
        <v>0.15791838097178013</v>
      </c>
      <c r="O1467" s="20">
        <f t="shared" si="180"/>
        <v>2.5110654528791074</v>
      </c>
      <c r="P1467" s="14">
        <f t="shared" si="181"/>
        <v>453.4989937408975</v>
      </c>
      <c r="Q1467" s="14">
        <f t="shared" si="182"/>
        <v>365.10036510627538</v>
      </c>
      <c r="R1467" s="14" t="str">
        <f t="shared" si="183"/>
        <v>Jan</v>
      </c>
    </row>
    <row r="1468" spans="1:18" x14ac:dyDescent="0.3">
      <c r="A1468" t="s">
        <v>3076</v>
      </c>
      <c r="B1468" s="1">
        <v>45772</v>
      </c>
      <c r="C1468" t="s">
        <v>164</v>
      </c>
      <c r="D1468" t="s">
        <v>1511</v>
      </c>
      <c r="E1468" t="s">
        <v>1546</v>
      </c>
      <c r="F1468">
        <v>2.5044042702797999</v>
      </c>
      <c r="G1468" s="14">
        <v>467.24204318118001</v>
      </c>
      <c r="H1468" s="17">
        <v>0.15612305123023901</v>
      </c>
      <c r="I1468" t="s">
        <v>1614</v>
      </c>
      <c r="J1468" s="14">
        <v>990.33916241614997</v>
      </c>
      <c r="K1468" s="14">
        <f t="shared" si="176"/>
        <v>175559.55268945306</v>
      </c>
      <c r="L1468" s="14">
        <f t="shared" si="177"/>
        <v>183</v>
      </c>
      <c r="M1468" s="14" t="str">
        <f t="shared" si="178"/>
        <v>25-04-2025</v>
      </c>
      <c r="N1468" s="14">
        <f t="shared" si="179"/>
        <v>0.15792176200707497</v>
      </c>
      <c r="O1468" s="20">
        <f t="shared" si="180"/>
        <v>2.5110779974791058</v>
      </c>
      <c r="P1468" s="14">
        <f t="shared" si="181"/>
        <v>453.47311229185743</v>
      </c>
      <c r="Q1468" s="14">
        <f t="shared" si="182"/>
        <v>365.06043322970999</v>
      </c>
      <c r="R1468" s="14" t="str">
        <f t="shared" si="183"/>
        <v>Apr</v>
      </c>
    </row>
    <row r="1469" spans="1:18" x14ac:dyDescent="0.3">
      <c r="A1469" t="s">
        <v>3077</v>
      </c>
      <c r="B1469" s="1">
        <v>45346</v>
      </c>
      <c r="C1469" t="s">
        <v>690</v>
      </c>
      <c r="D1469" t="s">
        <v>1359</v>
      </c>
      <c r="E1469" t="s">
        <v>1546</v>
      </c>
      <c r="F1469">
        <v>2.5044293594798002</v>
      </c>
      <c r="G1469" s="14">
        <v>467.19028028309998</v>
      </c>
      <c r="H1469" s="17">
        <v>0.15612981330082801</v>
      </c>
      <c r="I1469" t="s">
        <v>1609</v>
      </c>
      <c r="J1469" s="14">
        <v>990.23116595669796</v>
      </c>
      <c r="K1469" s="14">
        <f t="shared" si="176"/>
        <v>175559.55268945306</v>
      </c>
      <c r="L1469" s="14">
        <f t="shared" si="177"/>
        <v>183</v>
      </c>
      <c r="M1469" s="14" t="str">
        <f t="shared" si="178"/>
        <v>24-02-2024</v>
      </c>
      <c r="N1469" s="14">
        <f t="shared" si="179"/>
        <v>0.15792514304236976</v>
      </c>
      <c r="O1469" s="20">
        <f t="shared" si="180"/>
        <v>2.5110905420791045</v>
      </c>
      <c r="P1469" s="14">
        <f t="shared" si="181"/>
        <v>453.44723084281731</v>
      </c>
      <c r="Q1469" s="14">
        <f t="shared" si="182"/>
        <v>365.02050135314465</v>
      </c>
      <c r="R1469" s="14" t="str">
        <f t="shared" si="183"/>
        <v>Feb</v>
      </c>
    </row>
    <row r="1470" spans="1:18" x14ac:dyDescent="0.3">
      <c r="A1470" t="s">
        <v>3078</v>
      </c>
      <c r="B1470" s="1">
        <v>45656</v>
      </c>
      <c r="C1470" t="s">
        <v>1151</v>
      </c>
      <c r="D1470" t="s">
        <v>1340</v>
      </c>
      <c r="E1470" t="s">
        <v>1571</v>
      </c>
      <c r="F1470">
        <v>2.5044544486797999</v>
      </c>
      <c r="G1470" s="14">
        <v>467.13851738501899</v>
      </c>
      <c r="H1470" s="17">
        <v>0.15613657537141801</v>
      </c>
      <c r="I1470" t="s">
        <v>1611</v>
      </c>
      <c r="J1470" s="14">
        <v>990.12316949724595</v>
      </c>
      <c r="K1470" s="14">
        <f t="shared" si="176"/>
        <v>174569.32152349636</v>
      </c>
      <c r="L1470" s="14">
        <f t="shared" si="177"/>
        <v>182</v>
      </c>
      <c r="M1470" s="14" t="str">
        <f t="shared" si="178"/>
        <v>30-12-2024</v>
      </c>
      <c r="N1470" s="14">
        <f t="shared" si="179"/>
        <v>0.15792852407766458</v>
      </c>
      <c r="O1470" s="20">
        <f t="shared" si="180"/>
        <v>2.5111030866791033</v>
      </c>
      <c r="P1470" s="14">
        <f t="shared" si="181"/>
        <v>453.42134939377723</v>
      </c>
      <c r="Q1470" s="14">
        <f t="shared" si="182"/>
        <v>364.98056947657903</v>
      </c>
      <c r="R1470" s="14" t="str">
        <f t="shared" si="183"/>
        <v>Dec</v>
      </c>
    </row>
    <row r="1471" spans="1:18" x14ac:dyDescent="0.3">
      <c r="A1471" t="s">
        <v>3079</v>
      </c>
      <c r="B1471" s="1">
        <v>45762</v>
      </c>
      <c r="C1471" t="s">
        <v>981</v>
      </c>
      <c r="D1471" t="s">
        <v>1489</v>
      </c>
      <c r="E1471" t="s">
        <v>1579</v>
      </c>
      <c r="F1471">
        <v>2.5044795378797899</v>
      </c>
      <c r="G1471" s="14">
        <v>467.08675448693901</v>
      </c>
      <c r="H1471" s="17">
        <v>0.15614333744200801</v>
      </c>
      <c r="I1471" t="s">
        <v>1609</v>
      </c>
      <c r="J1471" s="14">
        <v>990.01517303779497</v>
      </c>
      <c r="K1471" s="14">
        <f t="shared" si="176"/>
        <v>174569.32152349636</v>
      </c>
      <c r="L1471" s="14">
        <f t="shared" si="177"/>
        <v>182</v>
      </c>
      <c r="M1471" s="14" t="str">
        <f t="shared" si="178"/>
        <v>15-04-2025</v>
      </c>
      <c r="N1471" s="14">
        <f t="shared" si="179"/>
        <v>0.15793190511295938</v>
      </c>
      <c r="O1471" s="20">
        <f t="shared" si="180"/>
        <v>2.5111156312791016</v>
      </c>
      <c r="P1471" s="14">
        <f t="shared" si="181"/>
        <v>453.39546794473716</v>
      </c>
      <c r="Q1471" s="14">
        <f t="shared" si="182"/>
        <v>364.94063760001393</v>
      </c>
      <c r="R1471" s="14" t="str">
        <f t="shared" si="183"/>
        <v>Apr</v>
      </c>
    </row>
    <row r="1472" spans="1:18" x14ac:dyDescent="0.3">
      <c r="A1472" t="s">
        <v>3080</v>
      </c>
      <c r="B1472" s="1">
        <v>45580</v>
      </c>
      <c r="C1472" t="s">
        <v>559</v>
      </c>
      <c r="D1472" t="s">
        <v>1389</v>
      </c>
      <c r="E1472" t="s">
        <v>1574</v>
      </c>
      <c r="F1472">
        <v>2.5045046270797902</v>
      </c>
      <c r="G1472" s="14">
        <v>467.03499158885899</v>
      </c>
      <c r="H1472" s="17">
        <v>0.15615009951259701</v>
      </c>
      <c r="I1472" t="s">
        <v>1614</v>
      </c>
      <c r="J1472" s="14">
        <v>989.90717657834296</v>
      </c>
      <c r="K1472" s="14">
        <f t="shared" si="176"/>
        <v>173579.30635045856</v>
      </c>
      <c r="L1472" s="14">
        <f t="shared" si="177"/>
        <v>181</v>
      </c>
      <c r="M1472" s="14" t="str">
        <f t="shared" si="178"/>
        <v>15-10-2024</v>
      </c>
      <c r="N1472" s="14">
        <f t="shared" si="179"/>
        <v>0.15793528614825417</v>
      </c>
      <c r="O1472" s="20">
        <f t="shared" si="180"/>
        <v>2.5111281758791004</v>
      </c>
      <c r="P1472" s="14">
        <f t="shared" si="181"/>
        <v>453.36958649569715</v>
      </c>
      <c r="Q1472" s="14">
        <f t="shared" si="182"/>
        <v>364.9007057234486</v>
      </c>
      <c r="R1472" s="14" t="str">
        <f t="shared" si="183"/>
        <v>Oct</v>
      </c>
    </row>
    <row r="1473" spans="1:18" x14ac:dyDescent="0.3">
      <c r="A1473" t="s">
        <v>3081</v>
      </c>
      <c r="B1473" s="1">
        <v>45676</v>
      </c>
      <c r="C1473" t="s">
        <v>1104</v>
      </c>
      <c r="D1473" t="s">
        <v>1419</v>
      </c>
      <c r="E1473" t="s">
        <v>1554</v>
      </c>
      <c r="F1473">
        <v>2.5045297162797899</v>
      </c>
      <c r="G1473" s="14">
        <v>466.98322869077901</v>
      </c>
      <c r="H1473" s="17">
        <v>0.15615686158318701</v>
      </c>
      <c r="I1473" t="s">
        <v>1609</v>
      </c>
      <c r="J1473" s="14">
        <v>989.79918011889094</v>
      </c>
      <c r="K1473" s="14">
        <f t="shared" si="176"/>
        <v>173579.30635045856</v>
      </c>
      <c r="L1473" s="14">
        <f t="shared" si="177"/>
        <v>181</v>
      </c>
      <c r="M1473" s="14" t="str">
        <f t="shared" si="178"/>
        <v>19-01-2025</v>
      </c>
      <c r="N1473" s="14">
        <f t="shared" si="179"/>
        <v>0.15793866718354899</v>
      </c>
      <c r="O1473" s="20">
        <f t="shared" si="180"/>
        <v>2.5111407204790992</v>
      </c>
      <c r="P1473" s="14">
        <f t="shared" si="181"/>
        <v>453.34370504665713</v>
      </c>
      <c r="Q1473" s="14">
        <f t="shared" si="182"/>
        <v>364.86077384688326</v>
      </c>
      <c r="R1473" s="14" t="str">
        <f t="shared" si="183"/>
        <v>Jan</v>
      </c>
    </row>
    <row r="1474" spans="1:18" x14ac:dyDescent="0.3">
      <c r="A1474" t="s">
        <v>3082</v>
      </c>
      <c r="B1474" s="1">
        <v>45495</v>
      </c>
      <c r="C1474" t="s">
        <v>942</v>
      </c>
      <c r="D1474" t="s">
        <v>1334</v>
      </c>
      <c r="E1474" t="s">
        <v>1598</v>
      </c>
      <c r="F1474">
        <v>2.5045548054797901</v>
      </c>
      <c r="G1474" s="14">
        <v>466.93146579269899</v>
      </c>
      <c r="H1474" s="17">
        <v>0.15616362365377601</v>
      </c>
      <c r="I1474" t="s">
        <v>1609</v>
      </c>
      <c r="J1474" s="14">
        <v>989.69118365943905</v>
      </c>
      <c r="K1474" s="14">
        <f t="shared" ref="K1474:K1537" si="184">SUMIF(I1474:I3473,"Credit Card",J1474:J3473)</f>
        <v>172589.50717033964</v>
      </c>
      <c r="L1474" s="14">
        <f t="shared" ref="L1474:L1537" si="185">COUNTIF(I1474:I3473,"Credit Card")</f>
        <v>180</v>
      </c>
      <c r="M1474" s="14" t="str">
        <f t="shared" ref="M1474:M1537" si="186">TEXT(B1474:B3473,"dd-mm-yyyy")</f>
        <v>22-07-2024</v>
      </c>
      <c r="N1474" s="14">
        <f t="shared" ref="N1474:N1537" si="187">AVERAGE(H1474:H3473)</f>
        <v>0.15794204821884381</v>
      </c>
      <c r="O1474" s="20">
        <f t="shared" ref="O1474:O1537" si="188">AVERAGE(F1474:F3473)</f>
        <v>2.511153265079098</v>
      </c>
      <c r="P1474" s="14">
        <f t="shared" ref="P1474:P1537" si="189">AVERAGE(G1474:G3473)</f>
        <v>453.31782359761701</v>
      </c>
      <c r="Q1474" s="14">
        <f t="shared" ref="Q1474:Q1537" si="190">AVERAGE(F1474,G1474,H1474,J1474)</f>
        <v>364.82084197031793</v>
      </c>
      <c r="R1474" s="14" t="str">
        <f t="shared" ref="R1474:R1537" si="191">TEXT(M1474,"mmm")</f>
        <v>Jul</v>
      </c>
    </row>
    <row r="1475" spans="1:18" x14ac:dyDescent="0.3">
      <c r="A1475" t="s">
        <v>3083</v>
      </c>
      <c r="B1475" s="1">
        <v>45735</v>
      </c>
      <c r="C1475" t="s">
        <v>1142</v>
      </c>
      <c r="D1475" t="s">
        <v>1423</v>
      </c>
      <c r="E1475" t="s">
        <v>1589</v>
      </c>
      <c r="F1475">
        <v>2.5045798946797801</v>
      </c>
      <c r="G1475" s="14">
        <v>466.87970289461902</v>
      </c>
      <c r="H1475" s="17">
        <v>0.15617038572436601</v>
      </c>
      <c r="I1475" t="s">
        <v>1614</v>
      </c>
      <c r="J1475" s="14">
        <v>989.58318719998795</v>
      </c>
      <c r="K1475" s="14">
        <f t="shared" si="184"/>
        <v>171599.81598668022</v>
      </c>
      <c r="L1475" s="14">
        <f t="shared" si="185"/>
        <v>179</v>
      </c>
      <c r="M1475" s="14" t="str">
        <f t="shared" si="186"/>
        <v>19-03-2025</v>
      </c>
      <c r="N1475" s="14">
        <f t="shared" si="187"/>
        <v>0.15794542925413865</v>
      </c>
      <c r="O1475" s="20">
        <f t="shared" si="188"/>
        <v>2.5111658096790963</v>
      </c>
      <c r="P1475" s="14">
        <f t="shared" si="189"/>
        <v>453.29194214857688</v>
      </c>
      <c r="Q1475" s="14">
        <f t="shared" si="190"/>
        <v>364.78091009375277</v>
      </c>
      <c r="R1475" s="14" t="str">
        <f t="shared" si="191"/>
        <v>Mar</v>
      </c>
    </row>
    <row r="1476" spans="1:18" x14ac:dyDescent="0.3">
      <c r="A1476" t="s">
        <v>3084</v>
      </c>
      <c r="B1476" s="1">
        <v>45312</v>
      </c>
      <c r="C1476" t="s">
        <v>444</v>
      </c>
      <c r="D1476" t="s">
        <v>1328</v>
      </c>
      <c r="E1476" t="s">
        <v>1564</v>
      </c>
      <c r="F1476">
        <v>2.5046049838797799</v>
      </c>
      <c r="G1476" s="14">
        <v>466.82793999653802</v>
      </c>
      <c r="H1476" s="17">
        <v>0.15617714779495601</v>
      </c>
      <c r="I1476" t="s">
        <v>1611</v>
      </c>
      <c r="J1476" s="14">
        <v>989.47519074053605</v>
      </c>
      <c r="K1476" s="14">
        <f t="shared" si="184"/>
        <v>171599.81598668022</v>
      </c>
      <c r="L1476" s="14">
        <f t="shared" si="185"/>
        <v>179</v>
      </c>
      <c r="M1476" s="14" t="str">
        <f t="shared" si="186"/>
        <v>21-01-2024</v>
      </c>
      <c r="N1476" s="14">
        <f t="shared" si="187"/>
        <v>0.15794881028943342</v>
      </c>
      <c r="O1476" s="20">
        <f t="shared" si="188"/>
        <v>2.5111783542790951</v>
      </c>
      <c r="P1476" s="14">
        <f t="shared" si="189"/>
        <v>453.26606069953675</v>
      </c>
      <c r="Q1476" s="14">
        <f t="shared" si="190"/>
        <v>364.74097821718721</v>
      </c>
      <c r="R1476" s="14" t="str">
        <f t="shared" si="191"/>
        <v>Jan</v>
      </c>
    </row>
    <row r="1477" spans="1:18" x14ac:dyDescent="0.3">
      <c r="A1477" t="s">
        <v>3085</v>
      </c>
      <c r="B1477" s="1">
        <v>45286</v>
      </c>
      <c r="C1477" t="s">
        <v>535</v>
      </c>
      <c r="D1477" t="s">
        <v>1427</v>
      </c>
      <c r="E1477" t="s">
        <v>1551</v>
      </c>
      <c r="F1477">
        <v>2.5046300730797801</v>
      </c>
      <c r="G1477" s="14">
        <v>466.77617709845799</v>
      </c>
      <c r="H1477" s="17">
        <v>0.15618390986554501</v>
      </c>
      <c r="I1477" t="s">
        <v>1609</v>
      </c>
      <c r="J1477" s="14">
        <v>989.36719428108404</v>
      </c>
      <c r="K1477" s="14">
        <f t="shared" si="184"/>
        <v>171599.81598668022</v>
      </c>
      <c r="L1477" s="14">
        <f t="shared" si="185"/>
        <v>179</v>
      </c>
      <c r="M1477" s="14" t="str">
        <f t="shared" si="186"/>
        <v>26-12-2023</v>
      </c>
      <c r="N1477" s="14">
        <f t="shared" si="187"/>
        <v>0.15795219132472824</v>
      </c>
      <c r="O1477" s="20">
        <f t="shared" si="188"/>
        <v>2.5111908988790939</v>
      </c>
      <c r="P1477" s="14">
        <f t="shared" si="189"/>
        <v>453.24017925049674</v>
      </c>
      <c r="Q1477" s="14">
        <f t="shared" si="190"/>
        <v>364.70104634062182</v>
      </c>
      <c r="R1477" s="14" t="str">
        <f t="shared" si="191"/>
        <v>Dec</v>
      </c>
    </row>
    <row r="1478" spans="1:18" x14ac:dyDescent="0.3">
      <c r="A1478" t="s">
        <v>3086</v>
      </c>
      <c r="B1478" s="1">
        <v>45372</v>
      </c>
      <c r="C1478" t="s">
        <v>579</v>
      </c>
      <c r="D1478" t="s">
        <v>1457</v>
      </c>
      <c r="E1478" t="s">
        <v>1584</v>
      </c>
      <c r="F1478">
        <v>2.5046551622797799</v>
      </c>
      <c r="G1478" s="14">
        <v>466.72441420037802</v>
      </c>
      <c r="H1478" s="17">
        <v>0.15619067193613501</v>
      </c>
      <c r="I1478" t="s">
        <v>1609</v>
      </c>
      <c r="J1478" s="14">
        <v>989.25919782163305</v>
      </c>
      <c r="K1478" s="14">
        <f t="shared" si="184"/>
        <v>170610.44879239911</v>
      </c>
      <c r="L1478" s="14">
        <f t="shared" si="185"/>
        <v>178</v>
      </c>
      <c r="M1478" s="14" t="str">
        <f t="shared" si="186"/>
        <v>21-03-2024</v>
      </c>
      <c r="N1478" s="14">
        <f t="shared" si="187"/>
        <v>0.15795557236002303</v>
      </c>
      <c r="O1478" s="20">
        <f t="shared" si="188"/>
        <v>2.5112034434790926</v>
      </c>
      <c r="P1478" s="14">
        <f t="shared" si="189"/>
        <v>453.21429780145667</v>
      </c>
      <c r="Q1478" s="14">
        <f t="shared" si="190"/>
        <v>364.66111446405677</v>
      </c>
      <c r="R1478" s="14" t="str">
        <f t="shared" si="191"/>
        <v>Mar</v>
      </c>
    </row>
    <row r="1479" spans="1:18" x14ac:dyDescent="0.3">
      <c r="A1479" t="s">
        <v>3087</v>
      </c>
      <c r="B1479" s="1">
        <v>45633</v>
      </c>
      <c r="C1479" t="s">
        <v>304</v>
      </c>
      <c r="D1479" t="s">
        <v>1519</v>
      </c>
      <c r="E1479" t="s">
        <v>1579</v>
      </c>
      <c r="F1479">
        <v>2.5046802514797699</v>
      </c>
      <c r="G1479" s="14">
        <v>466.67265130229799</v>
      </c>
      <c r="H1479" s="17">
        <v>0.15619743400672401</v>
      </c>
      <c r="I1479" t="s">
        <v>1609</v>
      </c>
      <c r="J1479" s="14">
        <v>989.15120136218104</v>
      </c>
      <c r="K1479" s="14">
        <f t="shared" si="184"/>
        <v>169621.1895945775</v>
      </c>
      <c r="L1479" s="14">
        <f t="shared" si="185"/>
        <v>177</v>
      </c>
      <c r="M1479" s="14" t="str">
        <f t="shared" si="186"/>
        <v>07-12-2024</v>
      </c>
      <c r="N1479" s="14">
        <f t="shared" si="187"/>
        <v>0.15795895339531782</v>
      </c>
      <c r="O1479" s="20">
        <f t="shared" si="188"/>
        <v>2.5112159880790914</v>
      </c>
      <c r="P1479" s="14">
        <f t="shared" si="189"/>
        <v>453.18841635241654</v>
      </c>
      <c r="Q1479" s="14">
        <f t="shared" si="190"/>
        <v>364.62118258749138</v>
      </c>
      <c r="R1479" s="14" t="str">
        <f t="shared" si="191"/>
        <v>Dec</v>
      </c>
    </row>
    <row r="1480" spans="1:18" x14ac:dyDescent="0.3">
      <c r="A1480" t="s">
        <v>3088</v>
      </c>
      <c r="B1480" s="1">
        <v>45598</v>
      </c>
      <c r="C1480" t="s">
        <v>1133</v>
      </c>
      <c r="D1480" t="s">
        <v>1523</v>
      </c>
      <c r="E1480" t="s">
        <v>1564</v>
      </c>
      <c r="F1480">
        <v>2.5047053406797701</v>
      </c>
      <c r="G1480" s="14">
        <v>466.62088840421802</v>
      </c>
      <c r="H1480" s="17">
        <v>0.15620419607731401</v>
      </c>
      <c r="I1480" t="s">
        <v>1611</v>
      </c>
      <c r="J1480" s="14">
        <v>989.04320490272903</v>
      </c>
      <c r="K1480" s="14">
        <f t="shared" si="184"/>
        <v>168632.03839321533</v>
      </c>
      <c r="L1480" s="14">
        <f t="shared" si="185"/>
        <v>176</v>
      </c>
      <c r="M1480" s="14" t="str">
        <f t="shared" si="186"/>
        <v>02-11-2024</v>
      </c>
      <c r="N1480" s="14">
        <f t="shared" si="187"/>
        <v>0.15796233443061261</v>
      </c>
      <c r="O1480" s="20">
        <f t="shared" si="188"/>
        <v>2.5112285326790902</v>
      </c>
      <c r="P1480" s="14">
        <f t="shared" si="189"/>
        <v>453.16253490337647</v>
      </c>
      <c r="Q1480" s="14">
        <f t="shared" si="190"/>
        <v>364.58125071092604</v>
      </c>
      <c r="R1480" s="14" t="str">
        <f t="shared" si="191"/>
        <v>Nov</v>
      </c>
    </row>
    <row r="1481" spans="1:18" x14ac:dyDescent="0.3">
      <c r="A1481" t="s">
        <v>3089</v>
      </c>
      <c r="B1481" s="1">
        <v>45495</v>
      </c>
      <c r="C1481" t="s">
        <v>749</v>
      </c>
      <c r="D1481" t="s">
        <v>1509</v>
      </c>
      <c r="E1481" t="s">
        <v>1537</v>
      </c>
      <c r="F1481">
        <v>2.5047304298797699</v>
      </c>
      <c r="G1481" s="14">
        <v>466.56912550613799</v>
      </c>
      <c r="H1481" s="17">
        <v>0.15621095814790401</v>
      </c>
      <c r="I1481" t="s">
        <v>1614</v>
      </c>
      <c r="J1481" s="14">
        <v>988.93520844327702</v>
      </c>
      <c r="K1481" s="14">
        <f t="shared" si="184"/>
        <v>168632.03839321533</v>
      </c>
      <c r="L1481" s="14">
        <f t="shared" si="185"/>
        <v>176</v>
      </c>
      <c r="M1481" s="14" t="str">
        <f t="shared" si="186"/>
        <v>22-07-2024</v>
      </c>
      <c r="N1481" s="14">
        <f t="shared" si="187"/>
        <v>0.1579657154659074</v>
      </c>
      <c r="O1481" s="20">
        <f t="shared" si="188"/>
        <v>2.511241077279089</v>
      </c>
      <c r="P1481" s="14">
        <f t="shared" si="189"/>
        <v>453.1366534543364</v>
      </c>
      <c r="Q1481" s="14">
        <f t="shared" si="190"/>
        <v>364.54131883436065</v>
      </c>
      <c r="R1481" s="14" t="str">
        <f t="shared" si="191"/>
        <v>Jul</v>
      </c>
    </row>
    <row r="1482" spans="1:18" x14ac:dyDescent="0.3">
      <c r="A1482" t="s">
        <v>3090</v>
      </c>
      <c r="B1482" s="1">
        <v>45229</v>
      </c>
      <c r="C1482" t="s">
        <v>809</v>
      </c>
      <c r="D1482" t="s">
        <v>1489</v>
      </c>
      <c r="E1482" t="s">
        <v>1561</v>
      </c>
      <c r="F1482">
        <v>2.5047555190797701</v>
      </c>
      <c r="G1482" s="14">
        <v>466.517362608057</v>
      </c>
      <c r="H1482" s="17">
        <v>0.15621772021849301</v>
      </c>
      <c r="I1482" t="s">
        <v>1611</v>
      </c>
      <c r="J1482" s="14">
        <v>988.82721198382603</v>
      </c>
      <c r="K1482" s="14">
        <f t="shared" si="184"/>
        <v>168632.03839321533</v>
      </c>
      <c r="L1482" s="14">
        <f t="shared" si="185"/>
        <v>176</v>
      </c>
      <c r="M1482" s="14" t="str">
        <f t="shared" si="186"/>
        <v>30-10-2023</v>
      </c>
      <c r="N1482" s="14">
        <f t="shared" si="187"/>
        <v>0.15796909650120225</v>
      </c>
      <c r="O1482" s="20">
        <f t="shared" si="188"/>
        <v>2.5112536218790877</v>
      </c>
      <c r="P1482" s="14">
        <f t="shared" si="189"/>
        <v>453.11077200529644</v>
      </c>
      <c r="Q1482" s="14">
        <f t="shared" si="190"/>
        <v>364.50138695779532</v>
      </c>
      <c r="R1482" s="14" t="str">
        <f t="shared" si="191"/>
        <v>Oct</v>
      </c>
    </row>
    <row r="1483" spans="1:18" x14ac:dyDescent="0.3">
      <c r="A1483" t="s">
        <v>3091</v>
      </c>
      <c r="B1483" s="1">
        <v>45433</v>
      </c>
      <c r="C1483" t="s">
        <v>1166</v>
      </c>
      <c r="D1483" t="s">
        <v>1479</v>
      </c>
      <c r="E1483" t="s">
        <v>1537</v>
      </c>
      <c r="F1483">
        <v>2.5047806082797601</v>
      </c>
      <c r="G1483" s="14">
        <v>466.46559970997703</v>
      </c>
      <c r="H1483" s="17">
        <v>0.15622448228908301</v>
      </c>
      <c r="I1483" t="s">
        <v>1614</v>
      </c>
      <c r="J1483" s="14">
        <v>988.71921552437402</v>
      </c>
      <c r="K1483" s="14">
        <f t="shared" si="184"/>
        <v>168632.03839321533</v>
      </c>
      <c r="L1483" s="14">
        <f t="shared" si="185"/>
        <v>176</v>
      </c>
      <c r="M1483" s="14" t="str">
        <f t="shared" si="186"/>
        <v>21-05-2024</v>
      </c>
      <c r="N1483" s="14">
        <f t="shared" si="187"/>
        <v>0.15797247753649704</v>
      </c>
      <c r="O1483" s="20">
        <f t="shared" si="188"/>
        <v>2.5112661664790861</v>
      </c>
      <c r="P1483" s="14">
        <f t="shared" si="189"/>
        <v>453.08489055625625</v>
      </c>
      <c r="Q1483" s="14">
        <f t="shared" si="190"/>
        <v>364.46145508122999</v>
      </c>
      <c r="R1483" s="14" t="str">
        <f t="shared" si="191"/>
        <v>May</v>
      </c>
    </row>
    <row r="1484" spans="1:18" x14ac:dyDescent="0.3">
      <c r="A1484" t="s">
        <v>3092</v>
      </c>
      <c r="B1484" s="1">
        <v>45766</v>
      </c>
      <c r="C1484" t="s">
        <v>833</v>
      </c>
      <c r="D1484" t="s">
        <v>1417</v>
      </c>
      <c r="E1484" t="s">
        <v>1546</v>
      </c>
      <c r="F1484">
        <v>2.5048056974797599</v>
      </c>
      <c r="G1484" s="14">
        <v>466.413836811897</v>
      </c>
      <c r="H1484" s="17">
        <v>0.156231244359673</v>
      </c>
      <c r="I1484" t="s">
        <v>1611</v>
      </c>
      <c r="J1484" s="14">
        <v>988.61121906492201</v>
      </c>
      <c r="K1484" s="14">
        <f t="shared" si="184"/>
        <v>168632.03839321533</v>
      </c>
      <c r="L1484" s="14">
        <f t="shared" si="185"/>
        <v>176</v>
      </c>
      <c r="M1484" s="14" t="str">
        <f t="shared" si="186"/>
        <v>19-04-2025</v>
      </c>
      <c r="N1484" s="14">
        <f t="shared" si="187"/>
        <v>0.15797585857179186</v>
      </c>
      <c r="O1484" s="20">
        <f t="shared" si="188"/>
        <v>2.5112787110790848</v>
      </c>
      <c r="P1484" s="14">
        <f t="shared" si="189"/>
        <v>453.05900910721613</v>
      </c>
      <c r="Q1484" s="14">
        <f t="shared" si="190"/>
        <v>364.4215232046646</v>
      </c>
      <c r="R1484" s="14" t="str">
        <f t="shared" si="191"/>
        <v>Apr</v>
      </c>
    </row>
    <row r="1485" spans="1:18" x14ac:dyDescent="0.3">
      <c r="A1485" t="s">
        <v>3093</v>
      </c>
      <c r="B1485" s="1">
        <v>45639</v>
      </c>
      <c r="C1485" t="s">
        <v>908</v>
      </c>
      <c r="D1485" t="s">
        <v>1497</v>
      </c>
      <c r="E1485" t="s">
        <v>1537</v>
      </c>
      <c r="F1485">
        <v>2.5048307866797601</v>
      </c>
      <c r="G1485" s="14">
        <v>466.36207391381703</v>
      </c>
      <c r="H1485" s="17">
        <v>0.15623800643026201</v>
      </c>
      <c r="I1485" t="s">
        <v>1611</v>
      </c>
      <c r="J1485" s="14">
        <v>988.50322260547</v>
      </c>
      <c r="K1485" s="14">
        <f t="shared" si="184"/>
        <v>168632.03839321533</v>
      </c>
      <c r="L1485" s="14">
        <f t="shared" si="185"/>
        <v>176</v>
      </c>
      <c r="M1485" s="14" t="str">
        <f t="shared" si="186"/>
        <v>13-12-2024</v>
      </c>
      <c r="N1485" s="14">
        <f t="shared" si="187"/>
        <v>0.15797923960708665</v>
      </c>
      <c r="O1485" s="20">
        <f t="shared" si="188"/>
        <v>2.5112912556790836</v>
      </c>
      <c r="P1485" s="14">
        <f t="shared" si="189"/>
        <v>453.033127658176</v>
      </c>
      <c r="Q1485" s="14">
        <f t="shared" si="190"/>
        <v>364.38159132809926</v>
      </c>
      <c r="R1485" s="14" t="str">
        <f t="shared" si="191"/>
        <v>Dec</v>
      </c>
    </row>
    <row r="1486" spans="1:18" x14ac:dyDescent="0.3">
      <c r="A1486" t="s">
        <v>3094</v>
      </c>
      <c r="B1486" s="1">
        <v>45774</v>
      </c>
      <c r="C1486" t="s">
        <v>356</v>
      </c>
      <c r="D1486" t="s">
        <v>1381</v>
      </c>
      <c r="E1486" t="s">
        <v>1589</v>
      </c>
      <c r="F1486">
        <v>2.5048558758797501</v>
      </c>
      <c r="G1486" s="14">
        <v>466.310311015737</v>
      </c>
      <c r="H1486" s="17">
        <v>0.156244768500852</v>
      </c>
      <c r="I1486" t="s">
        <v>1614</v>
      </c>
      <c r="J1486" s="14">
        <v>988.39522614601901</v>
      </c>
      <c r="K1486" s="14">
        <f t="shared" si="184"/>
        <v>168632.03839321533</v>
      </c>
      <c r="L1486" s="14">
        <f t="shared" si="185"/>
        <v>176</v>
      </c>
      <c r="M1486" s="14" t="str">
        <f t="shared" si="186"/>
        <v>27-04-2025</v>
      </c>
      <c r="N1486" s="14">
        <f t="shared" si="187"/>
        <v>0.15798262064238144</v>
      </c>
      <c r="O1486" s="20">
        <f t="shared" si="188"/>
        <v>2.5113038002790824</v>
      </c>
      <c r="P1486" s="14">
        <f t="shared" si="189"/>
        <v>453.00724620913599</v>
      </c>
      <c r="Q1486" s="14">
        <f t="shared" si="190"/>
        <v>364.34165945153416</v>
      </c>
      <c r="R1486" s="14" t="str">
        <f t="shared" si="191"/>
        <v>Apr</v>
      </c>
    </row>
    <row r="1487" spans="1:18" x14ac:dyDescent="0.3">
      <c r="A1487" t="s">
        <v>3095</v>
      </c>
      <c r="B1487" s="1">
        <v>45569</v>
      </c>
      <c r="C1487" t="s">
        <v>547</v>
      </c>
      <c r="D1487" t="s">
        <v>1481</v>
      </c>
      <c r="E1487" t="s">
        <v>1574</v>
      </c>
      <c r="F1487">
        <v>2.5048809650797499</v>
      </c>
      <c r="G1487" s="14">
        <v>466.25854811765703</v>
      </c>
      <c r="H1487" s="17">
        <v>0.15625153057144101</v>
      </c>
      <c r="I1487" t="s">
        <v>1609</v>
      </c>
      <c r="J1487" s="14">
        <v>988.287229686567</v>
      </c>
      <c r="K1487" s="14">
        <f t="shared" si="184"/>
        <v>168632.03839321533</v>
      </c>
      <c r="L1487" s="14">
        <f t="shared" si="185"/>
        <v>176</v>
      </c>
      <c r="M1487" s="14" t="str">
        <f t="shared" si="186"/>
        <v>04-10-2024</v>
      </c>
      <c r="N1487" s="14">
        <f t="shared" si="187"/>
        <v>0.15798600167767626</v>
      </c>
      <c r="O1487" s="20">
        <f t="shared" si="188"/>
        <v>2.5113163448790812</v>
      </c>
      <c r="P1487" s="14">
        <f t="shared" si="189"/>
        <v>452.98136476009597</v>
      </c>
      <c r="Q1487" s="14">
        <f t="shared" si="190"/>
        <v>364.30172757496882</v>
      </c>
      <c r="R1487" s="14" t="str">
        <f t="shared" si="191"/>
        <v>Oct</v>
      </c>
    </row>
    <row r="1488" spans="1:18" x14ac:dyDescent="0.3">
      <c r="A1488" t="s">
        <v>3096</v>
      </c>
      <c r="B1488" s="1">
        <v>45856</v>
      </c>
      <c r="C1488" t="s">
        <v>735</v>
      </c>
      <c r="D1488" t="s">
        <v>1338</v>
      </c>
      <c r="E1488" t="s">
        <v>1567</v>
      </c>
      <c r="F1488">
        <v>2.5049060542797501</v>
      </c>
      <c r="G1488" s="14">
        <v>466.20678521957598</v>
      </c>
      <c r="H1488" s="17">
        <v>0.156258292642031</v>
      </c>
      <c r="I1488" t="s">
        <v>1611</v>
      </c>
      <c r="J1488" s="14">
        <v>988.17923322711499</v>
      </c>
      <c r="K1488" s="14">
        <f t="shared" si="184"/>
        <v>167643.75116352877</v>
      </c>
      <c r="L1488" s="14">
        <f t="shared" si="185"/>
        <v>175</v>
      </c>
      <c r="M1488" s="14" t="str">
        <f t="shared" si="186"/>
        <v>18-07-2025</v>
      </c>
      <c r="N1488" s="14">
        <f t="shared" si="187"/>
        <v>0.15798938271297108</v>
      </c>
      <c r="O1488" s="20">
        <f t="shared" si="188"/>
        <v>2.51132888947908</v>
      </c>
      <c r="P1488" s="14">
        <f t="shared" si="189"/>
        <v>452.95548331105579</v>
      </c>
      <c r="Q1488" s="14">
        <f t="shared" si="190"/>
        <v>364.26179569840315</v>
      </c>
      <c r="R1488" s="14" t="str">
        <f t="shared" si="191"/>
        <v>Jul</v>
      </c>
    </row>
    <row r="1489" spans="1:18" x14ac:dyDescent="0.3">
      <c r="A1489" t="s">
        <v>3097</v>
      </c>
      <c r="B1489" s="1">
        <v>45362</v>
      </c>
      <c r="C1489" t="s">
        <v>1274</v>
      </c>
      <c r="D1489" t="s">
        <v>1489</v>
      </c>
      <c r="E1489" t="s">
        <v>1561</v>
      </c>
      <c r="F1489">
        <v>2.5049311434797499</v>
      </c>
      <c r="G1489" s="14">
        <v>466.15502232149601</v>
      </c>
      <c r="H1489" s="17">
        <v>0.156265054712621</v>
      </c>
      <c r="I1489" t="s">
        <v>1611</v>
      </c>
      <c r="J1489" s="14">
        <v>988.07123676766298</v>
      </c>
      <c r="K1489" s="14">
        <f t="shared" si="184"/>
        <v>167643.75116352877</v>
      </c>
      <c r="L1489" s="14">
        <f t="shared" si="185"/>
        <v>175</v>
      </c>
      <c r="M1489" s="14" t="str">
        <f t="shared" si="186"/>
        <v>11-03-2024</v>
      </c>
      <c r="N1489" s="14">
        <f t="shared" si="187"/>
        <v>0.15799276374826587</v>
      </c>
      <c r="O1489" s="20">
        <f t="shared" si="188"/>
        <v>2.5113414340790792</v>
      </c>
      <c r="P1489" s="14">
        <f t="shared" si="189"/>
        <v>452.92960186201577</v>
      </c>
      <c r="Q1489" s="14">
        <f t="shared" si="190"/>
        <v>364.22186382183781</v>
      </c>
      <c r="R1489" s="14" t="str">
        <f t="shared" si="191"/>
        <v>Mar</v>
      </c>
    </row>
    <row r="1490" spans="1:18" x14ac:dyDescent="0.3">
      <c r="A1490" t="s">
        <v>3098</v>
      </c>
      <c r="B1490" s="1">
        <v>45457</v>
      </c>
      <c r="C1490" t="s">
        <v>332</v>
      </c>
      <c r="D1490" t="s">
        <v>1353</v>
      </c>
      <c r="E1490" t="s">
        <v>1577</v>
      </c>
      <c r="F1490">
        <v>2.5049562326797399</v>
      </c>
      <c r="G1490" s="14">
        <v>466.10325942341598</v>
      </c>
      <c r="H1490" s="17">
        <v>0.15627181678321</v>
      </c>
      <c r="I1490" t="s">
        <v>1611</v>
      </c>
      <c r="J1490" s="14">
        <v>987.96324030821199</v>
      </c>
      <c r="K1490" s="14">
        <f t="shared" si="184"/>
        <v>167643.75116352877</v>
      </c>
      <c r="L1490" s="14">
        <f t="shared" si="185"/>
        <v>175</v>
      </c>
      <c r="M1490" s="14" t="str">
        <f t="shared" si="186"/>
        <v>14-06-2024</v>
      </c>
      <c r="N1490" s="14">
        <f t="shared" si="187"/>
        <v>0.15799614478356072</v>
      </c>
      <c r="O1490" s="20">
        <f t="shared" si="188"/>
        <v>2.5113539786790779</v>
      </c>
      <c r="P1490" s="14">
        <f t="shared" si="189"/>
        <v>452.9037204129757</v>
      </c>
      <c r="Q1490" s="14">
        <f t="shared" si="190"/>
        <v>364.18193194527271</v>
      </c>
      <c r="R1490" s="14" t="str">
        <f t="shared" si="191"/>
        <v>Jun</v>
      </c>
    </row>
    <row r="1491" spans="1:18" x14ac:dyDescent="0.3">
      <c r="A1491" t="s">
        <v>3099</v>
      </c>
      <c r="B1491" s="1">
        <v>45338</v>
      </c>
      <c r="C1491" t="s">
        <v>1080</v>
      </c>
      <c r="D1491" t="s">
        <v>1431</v>
      </c>
      <c r="E1491" t="s">
        <v>1592</v>
      </c>
      <c r="F1491">
        <v>2.5049813218797401</v>
      </c>
      <c r="G1491" s="14">
        <v>466.05149652533601</v>
      </c>
      <c r="H1491" s="17">
        <v>0.1562785788538</v>
      </c>
      <c r="I1491" t="s">
        <v>1609</v>
      </c>
      <c r="J1491" s="14">
        <v>987.85524384875998</v>
      </c>
      <c r="K1491" s="14">
        <f t="shared" si="184"/>
        <v>167643.75116352877</v>
      </c>
      <c r="L1491" s="14">
        <f t="shared" si="185"/>
        <v>175</v>
      </c>
      <c r="M1491" s="14" t="str">
        <f t="shared" si="186"/>
        <v>16-02-2024</v>
      </c>
      <c r="N1491" s="14">
        <f t="shared" si="187"/>
        <v>0.15799952581885554</v>
      </c>
      <c r="O1491" s="20">
        <f t="shared" si="188"/>
        <v>2.5113665232790763</v>
      </c>
      <c r="P1491" s="14">
        <f t="shared" si="189"/>
        <v>452.87783896393552</v>
      </c>
      <c r="Q1491" s="14">
        <f t="shared" si="190"/>
        <v>364.14200006870738</v>
      </c>
      <c r="R1491" s="14" t="str">
        <f t="shared" si="191"/>
        <v>Feb</v>
      </c>
    </row>
    <row r="1492" spans="1:18" x14ac:dyDescent="0.3">
      <c r="A1492" t="s">
        <v>3100</v>
      </c>
      <c r="B1492" s="1">
        <v>45552</v>
      </c>
      <c r="C1492" t="s">
        <v>281</v>
      </c>
      <c r="D1492" t="s">
        <v>1347</v>
      </c>
      <c r="E1492" t="s">
        <v>1598</v>
      </c>
      <c r="F1492">
        <v>2.5050064110797399</v>
      </c>
      <c r="G1492" s="14">
        <v>465.99973362725598</v>
      </c>
      <c r="H1492" s="17">
        <v>0.156285340924389</v>
      </c>
      <c r="I1492" t="s">
        <v>1614</v>
      </c>
      <c r="J1492" s="14">
        <v>987.74724738930797</v>
      </c>
      <c r="K1492" s="14">
        <f t="shared" si="184"/>
        <v>166655.89591968001</v>
      </c>
      <c r="L1492" s="14">
        <f t="shared" si="185"/>
        <v>174</v>
      </c>
      <c r="M1492" s="14" t="str">
        <f t="shared" si="186"/>
        <v>17-09-2024</v>
      </c>
      <c r="N1492" s="14">
        <f t="shared" si="187"/>
        <v>0.15800290685415028</v>
      </c>
      <c r="O1492" s="20">
        <f t="shared" si="188"/>
        <v>2.5113790678790751</v>
      </c>
      <c r="P1492" s="14">
        <f t="shared" si="189"/>
        <v>452.8519575148955</v>
      </c>
      <c r="Q1492" s="14">
        <f t="shared" si="190"/>
        <v>364.10206819214204</v>
      </c>
      <c r="R1492" s="14" t="str">
        <f t="shared" si="191"/>
        <v>Sep</v>
      </c>
    </row>
    <row r="1493" spans="1:18" x14ac:dyDescent="0.3">
      <c r="A1493" t="s">
        <v>3101</v>
      </c>
      <c r="B1493" s="1">
        <v>45895</v>
      </c>
      <c r="C1493" t="s">
        <v>589</v>
      </c>
      <c r="D1493" t="s">
        <v>1417</v>
      </c>
      <c r="E1493" t="s">
        <v>1567</v>
      </c>
      <c r="F1493">
        <v>2.5050315002797401</v>
      </c>
      <c r="G1493" s="14">
        <v>465.94797072917601</v>
      </c>
      <c r="H1493" s="17">
        <v>0.156292102994979</v>
      </c>
      <c r="I1493" t="s">
        <v>1609</v>
      </c>
      <c r="J1493" s="14">
        <v>987.63925092985596</v>
      </c>
      <c r="K1493" s="14">
        <f t="shared" si="184"/>
        <v>166655.89591968001</v>
      </c>
      <c r="L1493" s="14">
        <f t="shared" si="185"/>
        <v>174</v>
      </c>
      <c r="M1493" s="14" t="str">
        <f t="shared" si="186"/>
        <v>26-08-2025</v>
      </c>
      <c r="N1493" s="14">
        <f t="shared" si="187"/>
        <v>0.15800628788944507</v>
      </c>
      <c r="O1493" s="20">
        <f t="shared" si="188"/>
        <v>2.5113916124790743</v>
      </c>
      <c r="P1493" s="14">
        <f t="shared" si="189"/>
        <v>452.82607606585543</v>
      </c>
      <c r="Q1493" s="14">
        <f t="shared" si="190"/>
        <v>364.06213631557671</v>
      </c>
      <c r="R1493" s="14" t="str">
        <f t="shared" si="191"/>
        <v>Aug</v>
      </c>
    </row>
    <row r="1494" spans="1:18" x14ac:dyDescent="0.3">
      <c r="A1494" t="s">
        <v>3102</v>
      </c>
      <c r="B1494" s="1">
        <v>45447</v>
      </c>
      <c r="C1494" t="s">
        <v>568</v>
      </c>
      <c r="D1494" t="s">
        <v>1505</v>
      </c>
      <c r="E1494" t="s">
        <v>1582</v>
      </c>
      <c r="F1494">
        <v>2.5050565894797301</v>
      </c>
      <c r="G1494" s="14">
        <v>465.89620783109598</v>
      </c>
      <c r="H1494" s="17">
        <v>0.156298865065569</v>
      </c>
      <c r="I1494" t="s">
        <v>1609</v>
      </c>
      <c r="J1494" s="14">
        <v>987.53125447040497</v>
      </c>
      <c r="K1494" s="14">
        <f t="shared" si="184"/>
        <v>165668.25666875014</v>
      </c>
      <c r="L1494" s="14">
        <f t="shared" si="185"/>
        <v>173</v>
      </c>
      <c r="M1494" s="14" t="str">
        <f t="shared" si="186"/>
        <v>04-06-2024</v>
      </c>
      <c r="N1494" s="14">
        <f t="shared" si="187"/>
        <v>0.15800966892473989</v>
      </c>
      <c r="O1494" s="20">
        <f t="shared" si="188"/>
        <v>2.5114041570790726</v>
      </c>
      <c r="P1494" s="14">
        <f t="shared" si="189"/>
        <v>452.8001946168153</v>
      </c>
      <c r="Q1494" s="14">
        <f t="shared" si="190"/>
        <v>364.0222044390116</v>
      </c>
      <c r="R1494" s="14" t="str">
        <f t="shared" si="191"/>
        <v>Jun</v>
      </c>
    </row>
    <row r="1495" spans="1:18" x14ac:dyDescent="0.3">
      <c r="A1495" t="s">
        <v>3103</v>
      </c>
      <c r="B1495" s="1">
        <v>45578</v>
      </c>
      <c r="C1495" t="s">
        <v>1023</v>
      </c>
      <c r="D1495" t="s">
        <v>1409</v>
      </c>
      <c r="E1495" t="s">
        <v>1564</v>
      </c>
      <c r="F1495">
        <v>2.5050816786797299</v>
      </c>
      <c r="G1495" s="14">
        <v>465.84444493301498</v>
      </c>
      <c r="H1495" s="17">
        <v>0.156305627136158</v>
      </c>
      <c r="I1495" t="s">
        <v>1614</v>
      </c>
      <c r="J1495" s="14">
        <v>987.42325801095296</v>
      </c>
      <c r="K1495" s="14">
        <f t="shared" si="184"/>
        <v>164680.72541427976</v>
      </c>
      <c r="L1495" s="14">
        <f t="shared" si="185"/>
        <v>172</v>
      </c>
      <c r="M1495" s="14" t="str">
        <f t="shared" si="186"/>
        <v>13-10-2024</v>
      </c>
      <c r="N1495" s="14">
        <f t="shared" si="187"/>
        <v>0.15801304996003471</v>
      </c>
      <c r="O1495" s="20">
        <f t="shared" si="188"/>
        <v>2.5114167016790714</v>
      </c>
      <c r="P1495" s="14">
        <f t="shared" si="189"/>
        <v>452.77431316777523</v>
      </c>
      <c r="Q1495" s="14">
        <f t="shared" si="190"/>
        <v>363.98227256244593</v>
      </c>
      <c r="R1495" s="14" t="str">
        <f t="shared" si="191"/>
        <v>Oct</v>
      </c>
    </row>
    <row r="1496" spans="1:18" x14ac:dyDescent="0.3">
      <c r="A1496" t="s">
        <v>3104</v>
      </c>
      <c r="B1496" s="1">
        <v>45697</v>
      </c>
      <c r="C1496" t="s">
        <v>657</v>
      </c>
      <c r="D1496" t="s">
        <v>1507</v>
      </c>
      <c r="E1496" t="s">
        <v>1571</v>
      </c>
      <c r="F1496">
        <v>2.5051067678797301</v>
      </c>
      <c r="G1496" s="14">
        <v>465.79268203493501</v>
      </c>
      <c r="H1496" s="17">
        <v>0.156312389206748</v>
      </c>
      <c r="I1496" t="s">
        <v>1614</v>
      </c>
      <c r="J1496" s="14">
        <v>987.31526155150095</v>
      </c>
      <c r="K1496" s="14">
        <f t="shared" si="184"/>
        <v>164680.72541427976</v>
      </c>
      <c r="L1496" s="14">
        <f t="shared" si="185"/>
        <v>172</v>
      </c>
      <c r="M1496" s="14" t="str">
        <f t="shared" si="186"/>
        <v>09-02-2025</v>
      </c>
      <c r="N1496" s="14">
        <f t="shared" si="187"/>
        <v>0.1580164309953295</v>
      </c>
      <c r="O1496" s="20">
        <f t="shared" si="188"/>
        <v>2.5114292462790702</v>
      </c>
      <c r="P1496" s="14">
        <f t="shared" si="189"/>
        <v>452.74843171873516</v>
      </c>
      <c r="Q1496" s="14">
        <f t="shared" si="190"/>
        <v>363.94234068588059</v>
      </c>
      <c r="R1496" s="14" t="str">
        <f t="shared" si="191"/>
        <v>Feb</v>
      </c>
    </row>
    <row r="1497" spans="1:18" x14ac:dyDescent="0.3">
      <c r="A1497" t="s">
        <v>3105</v>
      </c>
      <c r="B1497" s="1">
        <v>45281</v>
      </c>
      <c r="C1497" t="s">
        <v>130</v>
      </c>
      <c r="D1497" t="s">
        <v>1365</v>
      </c>
      <c r="E1497" t="s">
        <v>1537</v>
      </c>
      <c r="F1497">
        <v>2.5051318570797299</v>
      </c>
      <c r="G1497" s="14">
        <v>465.74091913685498</v>
      </c>
      <c r="H1497" s="17">
        <v>0.156319151277337</v>
      </c>
      <c r="I1497" t="s">
        <v>1611</v>
      </c>
      <c r="J1497" s="14">
        <v>987.20726509204997</v>
      </c>
      <c r="K1497" s="14">
        <f t="shared" si="184"/>
        <v>164680.72541427976</v>
      </c>
      <c r="L1497" s="14">
        <f t="shared" si="185"/>
        <v>172</v>
      </c>
      <c r="M1497" s="14" t="str">
        <f t="shared" si="186"/>
        <v>21-12-2023</v>
      </c>
      <c r="N1497" s="14">
        <f t="shared" si="187"/>
        <v>0.15801981203062432</v>
      </c>
      <c r="O1497" s="20">
        <f t="shared" si="188"/>
        <v>2.5114417908790685</v>
      </c>
      <c r="P1497" s="14">
        <f t="shared" si="189"/>
        <v>452.72255026969509</v>
      </c>
      <c r="Q1497" s="14">
        <f t="shared" si="190"/>
        <v>363.90240880931549</v>
      </c>
      <c r="R1497" s="14" t="str">
        <f t="shared" si="191"/>
        <v>Dec</v>
      </c>
    </row>
    <row r="1498" spans="1:18" x14ac:dyDescent="0.3">
      <c r="A1498" t="s">
        <v>3106</v>
      </c>
      <c r="B1498" s="1">
        <v>45855</v>
      </c>
      <c r="C1498" t="s">
        <v>990</v>
      </c>
      <c r="D1498" t="s">
        <v>1461</v>
      </c>
      <c r="E1498" t="s">
        <v>1558</v>
      </c>
      <c r="F1498">
        <v>2.5051569462797199</v>
      </c>
      <c r="G1498" s="14">
        <v>465.68915623877501</v>
      </c>
      <c r="H1498" s="17">
        <v>0.156325913347927</v>
      </c>
      <c r="I1498" t="s">
        <v>1614</v>
      </c>
      <c r="J1498" s="14">
        <v>987.09926863259795</v>
      </c>
      <c r="K1498" s="14">
        <f t="shared" si="184"/>
        <v>164680.72541427976</v>
      </c>
      <c r="L1498" s="14">
        <f t="shared" si="185"/>
        <v>172</v>
      </c>
      <c r="M1498" s="14" t="str">
        <f t="shared" si="186"/>
        <v>17-07-2025</v>
      </c>
      <c r="N1498" s="14">
        <f t="shared" si="187"/>
        <v>0.15802319306591908</v>
      </c>
      <c r="O1498" s="20">
        <f t="shared" si="188"/>
        <v>2.5114543354790673</v>
      </c>
      <c r="P1498" s="14">
        <f t="shared" si="189"/>
        <v>452.69666882065502</v>
      </c>
      <c r="Q1498" s="14">
        <f t="shared" si="190"/>
        <v>363.86247693275016</v>
      </c>
      <c r="R1498" s="14" t="str">
        <f t="shared" si="191"/>
        <v>Jul</v>
      </c>
    </row>
    <row r="1499" spans="1:18" x14ac:dyDescent="0.3">
      <c r="A1499" t="s">
        <v>3107</v>
      </c>
      <c r="B1499" s="1">
        <v>45793</v>
      </c>
      <c r="C1499" t="s">
        <v>815</v>
      </c>
      <c r="D1499" t="s">
        <v>1477</v>
      </c>
      <c r="E1499" t="s">
        <v>1546</v>
      </c>
      <c r="F1499">
        <v>2.5051820354797201</v>
      </c>
      <c r="G1499" s="14">
        <v>465.63739334069498</v>
      </c>
      <c r="H1499" s="17">
        <v>0.156332675418517</v>
      </c>
      <c r="I1499" t="s">
        <v>1614</v>
      </c>
      <c r="J1499" s="14">
        <v>986.99127217314594</v>
      </c>
      <c r="K1499" s="14">
        <f t="shared" si="184"/>
        <v>164680.72541427976</v>
      </c>
      <c r="L1499" s="14">
        <f t="shared" si="185"/>
        <v>172</v>
      </c>
      <c r="M1499" s="14" t="str">
        <f t="shared" si="186"/>
        <v>16-05-2025</v>
      </c>
      <c r="N1499" s="14">
        <f t="shared" si="187"/>
        <v>0.1580265741012139</v>
      </c>
      <c r="O1499" s="20">
        <f t="shared" si="188"/>
        <v>2.511466880079066</v>
      </c>
      <c r="P1499" s="14">
        <f t="shared" si="189"/>
        <v>452.67078737161484</v>
      </c>
      <c r="Q1499" s="14">
        <f t="shared" si="190"/>
        <v>363.82254505618482</v>
      </c>
      <c r="R1499" s="14" t="str">
        <f t="shared" si="191"/>
        <v>May</v>
      </c>
    </row>
    <row r="1500" spans="1:18" x14ac:dyDescent="0.3">
      <c r="A1500" t="s">
        <v>3108</v>
      </c>
      <c r="B1500" s="1">
        <v>45881</v>
      </c>
      <c r="C1500" t="s">
        <v>1209</v>
      </c>
      <c r="D1500" t="s">
        <v>1497</v>
      </c>
      <c r="E1500" t="s">
        <v>1567</v>
      </c>
      <c r="F1500">
        <v>2.5052071246797198</v>
      </c>
      <c r="G1500" s="14">
        <v>465.58563044261501</v>
      </c>
      <c r="H1500" s="17">
        <v>0.156339437489106</v>
      </c>
      <c r="I1500" t="s">
        <v>1611</v>
      </c>
      <c r="J1500" s="14">
        <v>986.88327571369405</v>
      </c>
      <c r="K1500" s="14">
        <f t="shared" si="184"/>
        <v>164680.72541427976</v>
      </c>
      <c r="L1500" s="14">
        <f t="shared" si="185"/>
        <v>172</v>
      </c>
      <c r="M1500" s="14" t="str">
        <f t="shared" si="186"/>
        <v>12-08-2025</v>
      </c>
      <c r="N1500" s="14">
        <f t="shared" si="187"/>
        <v>0.15802995513650869</v>
      </c>
      <c r="O1500" s="20">
        <f t="shared" si="188"/>
        <v>2.5114794246790648</v>
      </c>
      <c r="P1500" s="14">
        <f t="shared" si="189"/>
        <v>452.64490592257476</v>
      </c>
      <c r="Q1500" s="14">
        <f t="shared" si="190"/>
        <v>363.78261317961949</v>
      </c>
      <c r="R1500" s="14" t="str">
        <f t="shared" si="191"/>
        <v>Aug</v>
      </c>
    </row>
    <row r="1501" spans="1:18" x14ac:dyDescent="0.3">
      <c r="A1501" t="s">
        <v>3109</v>
      </c>
      <c r="B1501" s="1">
        <v>45890</v>
      </c>
      <c r="C1501" t="s">
        <v>202</v>
      </c>
      <c r="D1501" t="s">
        <v>1483</v>
      </c>
      <c r="E1501" t="s">
        <v>1554</v>
      </c>
      <c r="F1501">
        <v>2.5052322138797201</v>
      </c>
      <c r="G1501" s="14">
        <v>465.53386754453402</v>
      </c>
      <c r="H1501" s="17">
        <v>0.156346199559696</v>
      </c>
      <c r="I1501" t="s">
        <v>1609</v>
      </c>
      <c r="J1501" s="14">
        <v>986.77527925424295</v>
      </c>
      <c r="K1501" s="14">
        <f t="shared" si="184"/>
        <v>164680.72541427976</v>
      </c>
      <c r="L1501" s="14">
        <f t="shared" si="185"/>
        <v>172</v>
      </c>
      <c r="M1501" s="14" t="str">
        <f t="shared" si="186"/>
        <v>21-08-2025</v>
      </c>
      <c r="N1501" s="14">
        <f t="shared" si="187"/>
        <v>0.15803333617180351</v>
      </c>
      <c r="O1501" s="20">
        <f t="shared" si="188"/>
        <v>2.5114919692790627</v>
      </c>
      <c r="P1501" s="14">
        <f t="shared" si="189"/>
        <v>452.61902447353475</v>
      </c>
      <c r="Q1501" s="14">
        <f t="shared" si="190"/>
        <v>363.7426813030541</v>
      </c>
      <c r="R1501" s="14" t="str">
        <f t="shared" si="191"/>
        <v>Aug</v>
      </c>
    </row>
    <row r="1502" spans="1:18" x14ac:dyDescent="0.3">
      <c r="A1502" t="s">
        <v>3110</v>
      </c>
      <c r="B1502" s="1">
        <v>45251</v>
      </c>
      <c r="C1502" t="s">
        <v>755</v>
      </c>
      <c r="D1502" t="s">
        <v>1515</v>
      </c>
      <c r="E1502" t="s">
        <v>1564</v>
      </c>
      <c r="F1502">
        <v>2.5052573030797101</v>
      </c>
      <c r="G1502" s="14">
        <v>465.48210464645399</v>
      </c>
      <c r="H1502" s="17">
        <v>0.156352961630286</v>
      </c>
      <c r="I1502" t="s">
        <v>1609</v>
      </c>
      <c r="J1502" s="14">
        <v>986.66728279479105</v>
      </c>
      <c r="K1502" s="14">
        <f t="shared" si="184"/>
        <v>163693.95013502549</v>
      </c>
      <c r="L1502" s="14">
        <f t="shared" si="185"/>
        <v>171</v>
      </c>
      <c r="M1502" s="14" t="str">
        <f t="shared" si="186"/>
        <v>21-11-2023</v>
      </c>
      <c r="N1502" s="14">
        <f t="shared" si="187"/>
        <v>0.15803671720709833</v>
      </c>
      <c r="O1502" s="20">
        <f t="shared" si="188"/>
        <v>2.5115045138790615</v>
      </c>
      <c r="P1502" s="14">
        <f t="shared" si="189"/>
        <v>452.59314302449462</v>
      </c>
      <c r="Q1502" s="14">
        <f t="shared" si="190"/>
        <v>363.70274942648877</v>
      </c>
      <c r="R1502" s="14" t="str">
        <f t="shared" si="191"/>
        <v>Nov</v>
      </c>
    </row>
    <row r="1503" spans="1:18" x14ac:dyDescent="0.3">
      <c r="A1503" t="s">
        <v>3111</v>
      </c>
      <c r="B1503" s="1">
        <v>45695</v>
      </c>
      <c r="C1503" t="s">
        <v>1313</v>
      </c>
      <c r="D1503" t="s">
        <v>1417</v>
      </c>
      <c r="E1503" t="s">
        <v>1537</v>
      </c>
      <c r="F1503">
        <v>2.5052823922797098</v>
      </c>
      <c r="G1503" s="14">
        <v>465.43034174837402</v>
      </c>
      <c r="H1503" s="17">
        <v>0.156359723700875</v>
      </c>
      <c r="I1503" t="s">
        <v>1614</v>
      </c>
      <c r="J1503" s="14">
        <v>986.55928633533904</v>
      </c>
      <c r="K1503" s="14">
        <f t="shared" si="184"/>
        <v>162707.28285223071</v>
      </c>
      <c r="L1503" s="14">
        <f t="shared" si="185"/>
        <v>170</v>
      </c>
      <c r="M1503" s="14" t="str">
        <f t="shared" si="186"/>
        <v>07-02-2025</v>
      </c>
      <c r="N1503" s="14">
        <f t="shared" si="187"/>
        <v>0.15804009824239312</v>
      </c>
      <c r="O1503" s="20">
        <f t="shared" si="188"/>
        <v>2.5115170584790603</v>
      </c>
      <c r="P1503" s="14">
        <f t="shared" si="189"/>
        <v>452.56726157545455</v>
      </c>
      <c r="Q1503" s="14">
        <f t="shared" si="190"/>
        <v>363.66281754992337</v>
      </c>
      <c r="R1503" s="14" t="str">
        <f t="shared" si="191"/>
        <v>Feb</v>
      </c>
    </row>
    <row r="1504" spans="1:18" x14ac:dyDescent="0.3">
      <c r="A1504" t="s">
        <v>3112</v>
      </c>
      <c r="B1504" s="1">
        <v>45287</v>
      </c>
      <c r="C1504" t="s">
        <v>666</v>
      </c>
      <c r="D1504" t="s">
        <v>1421</v>
      </c>
      <c r="E1504" t="s">
        <v>1589</v>
      </c>
      <c r="F1504">
        <v>2.5053074814797101</v>
      </c>
      <c r="G1504" s="14">
        <v>465.37857885029399</v>
      </c>
      <c r="H1504" s="17">
        <v>0.156366485771465</v>
      </c>
      <c r="I1504" t="s">
        <v>1609</v>
      </c>
      <c r="J1504" s="14">
        <v>986.45128987588703</v>
      </c>
      <c r="K1504" s="14">
        <f t="shared" si="184"/>
        <v>162707.28285223071</v>
      </c>
      <c r="L1504" s="14">
        <f t="shared" si="185"/>
        <v>170</v>
      </c>
      <c r="M1504" s="14" t="str">
        <f t="shared" si="186"/>
        <v>27-12-2023</v>
      </c>
      <c r="N1504" s="14">
        <f t="shared" si="187"/>
        <v>0.15804347927768794</v>
      </c>
      <c r="O1504" s="20">
        <f t="shared" si="188"/>
        <v>2.511529603079059</v>
      </c>
      <c r="P1504" s="14">
        <f t="shared" si="189"/>
        <v>452.54138012641454</v>
      </c>
      <c r="Q1504" s="14">
        <f t="shared" si="190"/>
        <v>363.62288567335804</v>
      </c>
      <c r="R1504" s="14" t="str">
        <f t="shared" si="191"/>
        <v>Dec</v>
      </c>
    </row>
    <row r="1505" spans="1:18" x14ac:dyDescent="0.3">
      <c r="A1505" t="s">
        <v>3113</v>
      </c>
      <c r="B1505" s="1">
        <v>45711</v>
      </c>
      <c r="C1505" t="s">
        <v>1047</v>
      </c>
      <c r="D1505" t="s">
        <v>1403</v>
      </c>
      <c r="E1505" t="s">
        <v>1561</v>
      </c>
      <c r="F1505">
        <v>2.5053325706797098</v>
      </c>
      <c r="G1505" s="14">
        <v>465.32681595221402</v>
      </c>
      <c r="H1505" s="17">
        <v>0.156373247842054</v>
      </c>
      <c r="I1505" t="s">
        <v>1614</v>
      </c>
      <c r="J1505" s="14">
        <v>986.34329341643604</v>
      </c>
      <c r="K1505" s="14">
        <f t="shared" si="184"/>
        <v>161720.83156235481</v>
      </c>
      <c r="L1505" s="14">
        <f t="shared" si="185"/>
        <v>169</v>
      </c>
      <c r="M1505" s="14" t="str">
        <f t="shared" si="186"/>
        <v>23-02-2025</v>
      </c>
      <c r="N1505" s="14">
        <f t="shared" si="187"/>
        <v>0.15804686031298279</v>
      </c>
      <c r="O1505" s="20">
        <f t="shared" si="188"/>
        <v>2.5115421476790569</v>
      </c>
      <c r="P1505" s="14">
        <f t="shared" si="189"/>
        <v>452.51549867737441</v>
      </c>
      <c r="Q1505" s="14">
        <f t="shared" si="190"/>
        <v>363.58295379679294</v>
      </c>
      <c r="R1505" s="14" t="str">
        <f t="shared" si="191"/>
        <v>Feb</v>
      </c>
    </row>
    <row r="1506" spans="1:18" x14ac:dyDescent="0.3">
      <c r="A1506" t="s">
        <v>3114</v>
      </c>
      <c r="B1506" s="1">
        <v>45842</v>
      </c>
      <c r="C1506" t="s">
        <v>553</v>
      </c>
      <c r="D1506" t="s">
        <v>1451</v>
      </c>
      <c r="E1506" t="s">
        <v>1595</v>
      </c>
      <c r="F1506">
        <v>2.5053576598796998</v>
      </c>
      <c r="G1506" s="14">
        <v>465.27505305413399</v>
      </c>
      <c r="H1506" s="17">
        <v>0.156380009912644</v>
      </c>
      <c r="I1506" t="s">
        <v>1614</v>
      </c>
      <c r="J1506" s="14">
        <v>986.23529695698403</v>
      </c>
      <c r="K1506" s="14">
        <f t="shared" si="184"/>
        <v>161720.83156235481</v>
      </c>
      <c r="L1506" s="14">
        <f t="shared" si="185"/>
        <v>169</v>
      </c>
      <c r="M1506" s="14" t="str">
        <f t="shared" si="186"/>
        <v>04-07-2025</v>
      </c>
      <c r="N1506" s="14">
        <f t="shared" si="187"/>
        <v>0.15805024134827758</v>
      </c>
      <c r="O1506" s="20">
        <f t="shared" si="188"/>
        <v>2.5115546922790557</v>
      </c>
      <c r="P1506" s="14">
        <f t="shared" si="189"/>
        <v>452.4896172283344</v>
      </c>
      <c r="Q1506" s="14">
        <f t="shared" si="190"/>
        <v>363.5430219202276</v>
      </c>
      <c r="R1506" s="14" t="str">
        <f t="shared" si="191"/>
        <v>Jul</v>
      </c>
    </row>
    <row r="1507" spans="1:18" x14ac:dyDescent="0.3">
      <c r="A1507" t="s">
        <v>3115</v>
      </c>
      <c r="B1507" s="1">
        <v>45255</v>
      </c>
      <c r="C1507" t="s">
        <v>366</v>
      </c>
      <c r="D1507" t="s">
        <v>1385</v>
      </c>
      <c r="E1507" t="s">
        <v>1542</v>
      </c>
      <c r="F1507">
        <v>2.5053827490797</v>
      </c>
      <c r="G1507" s="14">
        <v>465.223290156053</v>
      </c>
      <c r="H1507" s="17">
        <v>0.156386771983234</v>
      </c>
      <c r="I1507" t="s">
        <v>1611</v>
      </c>
      <c r="J1507" s="14">
        <v>986.12730049753202</v>
      </c>
      <c r="K1507" s="14">
        <f t="shared" si="184"/>
        <v>161720.83156235481</v>
      </c>
      <c r="L1507" s="14">
        <f t="shared" si="185"/>
        <v>169</v>
      </c>
      <c r="M1507" s="14" t="str">
        <f t="shared" si="186"/>
        <v>25-11-2023</v>
      </c>
      <c r="N1507" s="14">
        <f t="shared" si="187"/>
        <v>0.15805362238357232</v>
      </c>
      <c r="O1507" s="20">
        <f t="shared" si="188"/>
        <v>2.5115672368790549</v>
      </c>
      <c r="P1507" s="14">
        <f t="shared" si="189"/>
        <v>452.46373577929427</v>
      </c>
      <c r="Q1507" s="14">
        <f t="shared" si="190"/>
        <v>363.50309004366198</v>
      </c>
      <c r="R1507" s="14" t="str">
        <f t="shared" si="191"/>
        <v>Nov</v>
      </c>
    </row>
    <row r="1508" spans="1:18" x14ac:dyDescent="0.3">
      <c r="A1508" t="s">
        <v>3116</v>
      </c>
      <c r="B1508" s="1">
        <v>45695</v>
      </c>
      <c r="C1508" t="s">
        <v>1181</v>
      </c>
      <c r="D1508" t="s">
        <v>1353</v>
      </c>
      <c r="E1508" t="s">
        <v>1561</v>
      </c>
      <c r="F1508">
        <v>2.5054078382796998</v>
      </c>
      <c r="G1508" s="14">
        <v>465.17152725797303</v>
      </c>
      <c r="H1508" s="17">
        <v>0.156393534053823</v>
      </c>
      <c r="I1508" t="s">
        <v>1609</v>
      </c>
      <c r="J1508" s="14">
        <v>986.01930403808001</v>
      </c>
      <c r="K1508" s="14">
        <f t="shared" si="184"/>
        <v>161720.83156235481</v>
      </c>
      <c r="L1508" s="14">
        <f t="shared" si="185"/>
        <v>169</v>
      </c>
      <c r="M1508" s="14" t="str">
        <f t="shared" si="186"/>
        <v>07-02-2025</v>
      </c>
      <c r="N1508" s="14">
        <f t="shared" si="187"/>
        <v>0.15805700341886714</v>
      </c>
      <c r="O1508" s="20">
        <f t="shared" si="188"/>
        <v>2.5115797814790537</v>
      </c>
      <c r="P1508" s="14">
        <f t="shared" si="189"/>
        <v>452.4378543302542</v>
      </c>
      <c r="Q1508" s="14">
        <f t="shared" si="190"/>
        <v>363.46315816709665</v>
      </c>
      <c r="R1508" s="14" t="str">
        <f t="shared" si="191"/>
        <v>Feb</v>
      </c>
    </row>
    <row r="1509" spans="1:18" x14ac:dyDescent="0.3">
      <c r="A1509" t="s">
        <v>3117</v>
      </c>
      <c r="B1509" s="1">
        <v>45281</v>
      </c>
      <c r="C1509" t="s">
        <v>178</v>
      </c>
      <c r="D1509" t="s">
        <v>1379</v>
      </c>
      <c r="E1509" t="s">
        <v>1586</v>
      </c>
      <c r="F1509">
        <v>2.5054329274796898</v>
      </c>
      <c r="G1509" s="14">
        <v>465.119764359893</v>
      </c>
      <c r="H1509" s="17">
        <v>0.156400296124413</v>
      </c>
      <c r="I1509" t="s">
        <v>1611</v>
      </c>
      <c r="J1509" s="14">
        <v>985.91130757862902</v>
      </c>
      <c r="K1509" s="14">
        <f t="shared" si="184"/>
        <v>160734.81225831676</v>
      </c>
      <c r="L1509" s="14">
        <f t="shared" si="185"/>
        <v>168</v>
      </c>
      <c r="M1509" s="14" t="str">
        <f t="shared" si="186"/>
        <v>21-12-2023</v>
      </c>
      <c r="N1509" s="14">
        <f t="shared" si="187"/>
        <v>0.15806038445416196</v>
      </c>
      <c r="O1509" s="20">
        <f t="shared" si="188"/>
        <v>2.5115923260790516</v>
      </c>
      <c r="P1509" s="14">
        <f t="shared" si="189"/>
        <v>452.41197288121418</v>
      </c>
      <c r="Q1509" s="14">
        <f t="shared" si="190"/>
        <v>363.42322629053155</v>
      </c>
      <c r="R1509" s="14" t="str">
        <f t="shared" si="191"/>
        <v>Dec</v>
      </c>
    </row>
    <row r="1510" spans="1:18" x14ac:dyDescent="0.3">
      <c r="A1510" t="s">
        <v>3118</v>
      </c>
      <c r="B1510" s="1">
        <v>45295</v>
      </c>
      <c r="C1510" t="s">
        <v>425</v>
      </c>
      <c r="D1510" t="s">
        <v>1357</v>
      </c>
      <c r="E1510" t="s">
        <v>1586</v>
      </c>
      <c r="F1510">
        <v>2.50545801667969</v>
      </c>
      <c r="G1510" s="14">
        <v>465.06800146181303</v>
      </c>
      <c r="H1510" s="17">
        <v>0.156407058195002</v>
      </c>
      <c r="I1510" t="s">
        <v>1609</v>
      </c>
      <c r="J1510" s="14">
        <v>985.80331111917701</v>
      </c>
      <c r="K1510" s="14">
        <f t="shared" si="184"/>
        <v>160734.81225831676</v>
      </c>
      <c r="L1510" s="14">
        <f t="shared" si="185"/>
        <v>168</v>
      </c>
      <c r="M1510" s="14" t="str">
        <f t="shared" si="186"/>
        <v>04-01-2024</v>
      </c>
      <c r="N1510" s="14">
        <f t="shared" si="187"/>
        <v>0.15806376548945675</v>
      </c>
      <c r="O1510" s="20">
        <f t="shared" si="188"/>
        <v>2.5116048706790504</v>
      </c>
      <c r="P1510" s="14">
        <f t="shared" si="189"/>
        <v>452.38609143217406</v>
      </c>
      <c r="Q1510" s="14">
        <f t="shared" si="190"/>
        <v>363.38329441396615</v>
      </c>
      <c r="R1510" s="14" t="str">
        <f t="shared" si="191"/>
        <v>Jan</v>
      </c>
    </row>
    <row r="1511" spans="1:18" x14ac:dyDescent="0.3">
      <c r="A1511" t="s">
        <v>3119</v>
      </c>
      <c r="B1511" s="1">
        <v>45260</v>
      </c>
      <c r="C1511" t="s">
        <v>526</v>
      </c>
      <c r="D1511" t="s">
        <v>1443</v>
      </c>
      <c r="E1511" t="s">
        <v>1564</v>
      </c>
      <c r="F1511">
        <v>2.5054831058796898</v>
      </c>
      <c r="G1511" s="14">
        <v>465.016238563733</v>
      </c>
      <c r="H1511" s="17">
        <v>0.156413820265592</v>
      </c>
      <c r="I1511" t="s">
        <v>1611</v>
      </c>
      <c r="J1511" s="14">
        <v>985.695314659725</v>
      </c>
      <c r="K1511" s="14">
        <f t="shared" si="184"/>
        <v>159749.00894719758</v>
      </c>
      <c r="L1511" s="14">
        <f t="shared" si="185"/>
        <v>167</v>
      </c>
      <c r="M1511" s="14" t="str">
        <f t="shared" si="186"/>
        <v>30-11-2023</v>
      </c>
      <c r="N1511" s="14">
        <f t="shared" si="187"/>
        <v>0.15806714652475159</v>
      </c>
      <c r="O1511" s="20">
        <f t="shared" si="188"/>
        <v>2.5116174152790496</v>
      </c>
      <c r="P1511" s="14">
        <f t="shared" si="189"/>
        <v>452.36020998313404</v>
      </c>
      <c r="Q1511" s="14">
        <f t="shared" si="190"/>
        <v>363.34336253740082</v>
      </c>
      <c r="R1511" s="14" t="str">
        <f t="shared" si="191"/>
        <v>Nov</v>
      </c>
    </row>
    <row r="1512" spans="1:18" x14ac:dyDescent="0.3">
      <c r="A1512" t="s">
        <v>3120</v>
      </c>
      <c r="B1512" s="1">
        <v>45851</v>
      </c>
      <c r="C1512" t="s">
        <v>1095</v>
      </c>
      <c r="D1512" t="s">
        <v>1375</v>
      </c>
      <c r="E1512" t="s">
        <v>1589</v>
      </c>
      <c r="F1512">
        <v>2.50550819507969</v>
      </c>
      <c r="G1512" s="14">
        <v>464.96447566565303</v>
      </c>
      <c r="H1512" s="17">
        <v>0.156420582336182</v>
      </c>
      <c r="I1512" t="s">
        <v>1609</v>
      </c>
      <c r="J1512" s="14">
        <v>985.58731820027401</v>
      </c>
      <c r="K1512" s="14">
        <f t="shared" si="184"/>
        <v>159749.00894719758</v>
      </c>
      <c r="L1512" s="14">
        <f t="shared" si="185"/>
        <v>167</v>
      </c>
      <c r="M1512" s="14" t="str">
        <f t="shared" si="186"/>
        <v>13-07-2025</v>
      </c>
      <c r="N1512" s="14">
        <f t="shared" si="187"/>
        <v>0.15807052756004641</v>
      </c>
      <c r="O1512" s="20">
        <f t="shared" si="188"/>
        <v>2.5116299598790484</v>
      </c>
      <c r="P1512" s="14">
        <f t="shared" si="189"/>
        <v>452.33432853409391</v>
      </c>
      <c r="Q1512" s="14">
        <f t="shared" si="190"/>
        <v>363.30343066083572</v>
      </c>
      <c r="R1512" s="14" t="str">
        <f t="shared" si="191"/>
        <v>Jul</v>
      </c>
    </row>
    <row r="1513" spans="1:18" x14ac:dyDescent="0.3">
      <c r="A1513" t="s">
        <v>3121</v>
      </c>
      <c r="B1513" s="1">
        <v>45222</v>
      </c>
      <c r="C1513" t="s">
        <v>616</v>
      </c>
      <c r="D1513" t="s">
        <v>1419</v>
      </c>
      <c r="E1513" t="s">
        <v>1546</v>
      </c>
      <c r="F1513">
        <v>2.50553328427968</v>
      </c>
      <c r="G1513" s="14">
        <v>464.912712767573</v>
      </c>
      <c r="H1513" s="17">
        <v>0.156427344406771</v>
      </c>
      <c r="I1513" t="s">
        <v>1611</v>
      </c>
      <c r="J1513" s="14">
        <v>985.479321740822</v>
      </c>
      <c r="K1513" s="14">
        <f t="shared" si="184"/>
        <v>158763.42162899731</v>
      </c>
      <c r="L1513" s="14">
        <f t="shared" si="185"/>
        <v>166</v>
      </c>
      <c r="M1513" s="14" t="str">
        <f t="shared" si="186"/>
        <v>23-10-2023</v>
      </c>
      <c r="N1513" s="14">
        <f t="shared" si="187"/>
        <v>0.15807390859534121</v>
      </c>
      <c r="O1513" s="20">
        <f t="shared" si="188"/>
        <v>2.5116425044790471</v>
      </c>
      <c r="P1513" s="14">
        <f t="shared" si="189"/>
        <v>452.30844708505384</v>
      </c>
      <c r="Q1513" s="14">
        <f t="shared" si="190"/>
        <v>363.26349878427038</v>
      </c>
      <c r="R1513" s="14" t="str">
        <f t="shared" si="191"/>
        <v>Oct</v>
      </c>
    </row>
    <row r="1514" spans="1:18" x14ac:dyDescent="0.3">
      <c r="A1514" t="s">
        <v>3122</v>
      </c>
      <c r="B1514" s="1">
        <v>45940</v>
      </c>
      <c r="C1514" t="s">
        <v>114</v>
      </c>
      <c r="D1514" t="s">
        <v>1517</v>
      </c>
      <c r="E1514" t="s">
        <v>1577</v>
      </c>
      <c r="F1514">
        <v>2.5055583734796798</v>
      </c>
      <c r="G1514" s="14">
        <v>464.860949869492</v>
      </c>
      <c r="H1514" s="17">
        <v>0.156434106477361</v>
      </c>
      <c r="I1514" t="s">
        <v>1611</v>
      </c>
      <c r="J1514" s="14">
        <v>985.37132528136999</v>
      </c>
      <c r="K1514" s="14">
        <f t="shared" si="184"/>
        <v>158763.42162899731</v>
      </c>
      <c r="L1514" s="14">
        <f t="shared" si="185"/>
        <v>166</v>
      </c>
      <c r="M1514" s="14" t="str">
        <f t="shared" si="186"/>
        <v>10-10-2025</v>
      </c>
      <c r="N1514" s="14">
        <f t="shared" si="187"/>
        <v>0.158077289630636</v>
      </c>
      <c r="O1514" s="20">
        <f t="shared" si="188"/>
        <v>2.5116550490790455</v>
      </c>
      <c r="P1514" s="14">
        <f t="shared" si="189"/>
        <v>452.28256563601366</v>
      </c>
      <c r="Q1514" s="14">
        <f t="shared" si="190"/>
        <v>363.22356690770476</v>
      </c>
      <c r="R1514" s="14" t="str">
        <f t="shared" si="191"/>
        <v>Oct</v>
      </c>
    </row>
    <row r="1515" spans="1:18" x14ac:dyDescent="0.3">
      <c r="A1515" t="s">
        <v>3123</v>
      </c>
      <c r="B1515" s="1">
        <v>45822</v>
      </c>
      <c r="C1515" t="s">
        <v>214</v>
      </c>
      <c r="D1515" t="s">
        <v>1409</v>
      </c>
      <c r="E1515" t="s">
        <v>1584</v>
      </c>
      <c r="F1515">
        <v>2.50558346267968</v>
      </c>
      <c r="G1515" s="14">
        <v>464.80918697141198</v>
      </c>
      <c r="H1515" s="17">
        <v>0.15644086854795</v>
      </c>
      <c r="I1515" t="s">
        <v>1611</v>
      </c>
      <c r="J1515" s="14">
        <v>985.26332882191798</v>
      </c>
      <c r="K1515" s="14">
        <f t="shared" si="184"/>
        <v>158763.42162899731</v>
      </c>
      <c r="L1515" s="14">
        <f t="shared" si="185"/>
        <v>166</v>
      </c>
      <c r="M1515" s="14" t="str">
        <f t="shared" si="186"/>
        <v>14-06-2025</v>
      </c>
      <c r="N1515" s="14">
        <f t="shared" si="187"/>
        <v>0.15808067066593076</v>
      </c>
      <c r="O1515" s="20">
        <f t="shared" si="188"/>
        <v>2.5116675936790442</v>
      </c>
      <c r="P1515" s="14">
        <f t="shared" si="189"/>
        <v>452.2566841869737</v>
      </c>
      <c r="Q1515" s="14">
        <f t="shared" si="190"/>
        <v>363.18363503113937</v>
      </c>
      <c r="R1515" s="14" t="str">
        <f t="shared" si="191"/>
        <v>Jun</v>
      </c>
    </row>
    <row r="1516" spans="1:18" x14ac:dyDescent="0.3">
      <c r="A1516" t="s">
        <v>3124</v>
      </c>
      <c r="B1516" s="1">
        <v>45752</v>
      </c>
      <c r="C1516" t="s">
        <v>860</v>
      </c>
      <c r="D1516" t="s">
        <v>1371</v>
      </c>
      <c r="E1516" t="s">
        <v>1586</v>
      </c>
      <c r="F1516">
        <v>2.5056085518796798</v>
      </c>
      <c r="G1516" s="14">
        <v>464.757424073332</v>
      </c>
      <c r="H1516" s="17">
        <v>0.15644763061854</v>
      </c>
      <c r="I1516" t="s">
        <v>1614</v>
      </c>
      <c r="J1516" s="14">
        <v>985.15533236246699</v>
      </c>
      <c r="K1516" s="14">
        <f t="shared" si="184"/>
        <v>158763.42162899731</v>
      </c>
      <c r="L1516" s="14">
        <f t="shared" si="185"/>
        <v>166</v>
      </c>
      <c r="M1516" s="14" t="str">
        <f t="shared" si="186"/>
        <v>05-04-2025</v>
      </c>
      <c r="N1516" s="14">
        <f t="shared" si="187"/>
        <v>0.15808405170122558</v>
      </c>
      <c r="O1516" s="20">
        <f t="shared" si="188"/>
        <v>2.5116801382790435</v>
      </c>
      <c r="P1516" s="14">
        <f t="shared" si="189"/>
        <v>452.23080273793369</v>
      </c>
      <c r="Q1516" s="14">
        <f t="shared" si="190"/>
        <v>363.14370315457427</v>
      </c>
      <c r="R1516" s="14" t="str">
        <f t="shared" si="191"/>
        <v>Apr</v>
      </c>
    </row>
    <row r="1517" spans="1:18" x14ac:dyDescent="0.3">
      <c r="A1517" t="s">
        <v>3125</v>
      </c>
      <c r="B1517" s="1">
        <v>45677</v>
      </c>
      <c r="C1517" t="s">
        <v>884</v>
      </c>
      <c r="D1517" t="s">
        <v>1509</v>
      </c>
      <c r="E1517" t="s">
        <v>1546</v>
      </c>
      <c r="F1517">
        <v>2.5056336410796698</v>
      </c>
      <c r="G1517" s="14">
        <v>464.70566117525198</v>
      </c>
      <c r="H1517" s="17">
        <v>0.15645439268913</v>
      </c>
      <c r="I1517" t="s">
        <v>1614</v>
      </c>
      <c r="J1517" s="14">
        <v>985.04733590301498</v>
      </c>
      <c r="K1517" s="14">
        <f t="shared" si="184"/>
        <v>158763.42162899731</v>
      </c>
      <c r="L1517" s="14">
        <f t="shared" si="185"/>
        <v>166</v>
      </c>
      <c r="M1517" s="14" t="str">
        <f t="shared" si="186"/>
        <v>20-01-2025</v>
      </c>
      <c r="N1517" s="14">
        <f t="shared" si="187"/>
        <v>0.15808743273652037</v>
      </c>
      <c r="O1517" s="20">
        <f t="shared" si="188"/>
        <v>2.5116926828790418</v>
      </c>
      <c r="P1517" s="14">
        <f t="shared" si="189"/>
        <v>452.20492128889356</v>
      </c>
      <c r="Q1517" s="14">
        <f t="shared" si="190"/>
        <v>363.10377127800894</v>
      </c>
      <c r="R1517" s="14" t="str">
        <f t="shared" si="191"/>
        <v>Jan</v>
      </c>
    </row>
    <row r="1518" spans="1:18" x14ac:dyDescent="0.3">
      <c r="A1518" t="s">
        <v>3126</v>
      </c>
      <c r="B1518" s="1">
        <v>45253</v>
      </c>
      <c r="C1518" t="s">
        <v>314</v>
      </c>
      <c r="D1518" t="s">
        <v>1505</v>
      </c>
      <c r="E1518" t="s">
        <v>1592</v>
      </c>
      <c r="F1518">
        <v>2.50565873027967</v>
      </c>
      <c r="G1518" s="14">
        <v>464.653898277172</v>
      </c>
      <c r="H1518" s="17">
        <v>0.156461154759719</v>
      </c>
      <c r="I1518" t="s">
        <v>1609</v>
      </c>
      <c r="J1518" s="14">
        <v>984.93933944356297</v>
      </c>
      <c r="K1518" s="14">
        <f t="shared" si="184"/>
        <v>158763.42162899731</v>
      </c>
      <c r="L1518" s="14">
        <f t="shared" si="185"/>
        <v>166</v>
      </c>
      <c r="M1518" s="14" t="str">
        <f t="shared" si="186"/>
        <v>23-11-2023</v>
      </c>
      <c r="N1518" s="14">
        <f t="shared" si="187"/>
        <v>0.15809081377181522</v>
      </c>
      <c r="O1518" s="20">
        <f t="shared" si="188"/>
        <v>2.5117052274790401</v>
      </c>
      <c r="P1518" s="14">
        <f t="shared" si="189"/>
        <v>452.17903983985349</v>
      </c>
      <c r="Q1518" s="14">
        <f t="shared" si="190"/>
        <v>363.0638394014436</v>
      </c>
      <c r="R1518" s="14" t="str">
        <f t="shared" si="191"/>
        <v>Nov</v>
      </c>
    </row>
    <row r="1519" spans="1:18" x14ac:dyDescent="0.3">
      <c r="A1519" t="s">
        <v>3127</v>
      </c>
      <c r="B1519" s="1">
        <v>45389</v>
      </c>
      <c r="C1519" t="s">
        <v>230</v>
      </c>
      <c r="D1519" t="s">
        <v>1501</v>
      </c>
      <c r="E1519" t="s">
        <v>1589</v>
      </c>
      <c r="F1519">
        <v>2.5056838194796698</v>
      </c>
      <c r="G1519" s="14">
        <v>464.60213537909198</v>
      </c>
      <c r="H1519" s="17">
        <v>0.156467916830309</v>
      </c>
      <c r="I1519" t="s">
        <v>1609</v>
      </c>
      <c r="J1519" s="14">
        <v>984.83134298411096</v>
      </c>
      <c r="K1519" s="14">
        <f t="shared" si="184"/>
        <v>157778.48228955374</v>
      </c>
      <c r="L1519" s="14">
        <f t="shared" si="185"/>
        <v>165</v>
      </c>
      <c r="M1519" s="14" t="str">
        <f t="shared" si="186"/>
        <v>07-04-2024</v>
      </c>
      <c r="N1519" s="14">
        <f t="shared" si="187"/>
        <v>0.15809419480711004</v>
      </c>
      <c r="O1519" s="20">
        <f t="shared" si="188"/>
        <v>2.5117177720790389</v>
      </c>
      <c r="P1519" s="14">
        <f t="shared" si="189"/>
        <v>452.15315839081342</v>
      </c>
      <c r="Q1519" s="14">
        <f t="shared" si="190"/>
        <v>363.02390752487821</v>
      </c>
      <c r="R1519" s="14" t="str">
        <f t="shared" si="191"/>
        <v>Apr</v>
      </c>
    </row>
    <row r="1520" spans="1:18" x14ac:dyDescent="0.3">
      <c r="A1520" t="s">
        <v>3128</v>
      </c>
      <c r="B1520" s="1">
        <v>45840</v>
      </c>
      <c r="C1520" t="s">
        <v>372</v>
      </c>
      <c r="D1520" t="s">
        <v>1359</v>
      </c>
      <c r="E1520" t="s">
        <v>1582</v>
      </c>
      <c r="F1520">
        <v>2.50570890867967</v>
      </c>
      <c r="G1520" s="14">
        <v>464.55037248101098</v>
      </c>
      <c r="H1520" s="17">
        <v>0.156474678900899</v>
      </c>
      <c r="I1520" t="s">
        <v>1614</v>
      </c>
      <c r="J1520" s="14">
        <v>984.72334652465997</v>
      </c>
      <c r="K1520" s="14">
        <f t="shared" si="184"/>
        <v>156793.65094656963</v>
      </c>
      <c r="L1520" s="14">
        <f t="shared" si="185"/>
        <v>164</v>
      </c>
      <c r="M1520" s="14" t="str">
        <f t="shared" si="186"/>
        <v>02-07-2025</v>
      </c>
      <c r="N1520" s="14">
        <f t="shared" si="187"/>
        <v>0.15809757584240486</v>
      </c>
      <c r="O1520" s="20">
        <f t="shared" si="188"/>
        <v>2.5117303166790381</v>
      </c>
      <c r="P1520" s="14">
        <f t="shared" si="189"/>
        <v>452.12727694177335</v>
      </c>
      <c r="Q1520" s="14">
        <f t="shared" si="190"/>
        <v>362.98397564831288</v>
      </c>
      <c r="R1520" s="14" t="str">
        <f t="shared" si="191"/>
        <v>Jul</v>
      </c>
    </row>
    <row r="1521" spans="1:18" x14ac:dyDescent="0.3">
      <c r="A1521" t="s">
        <v>3129</v>
      </c>
      <c r="B1521" s="1">
        <v>45256</v>
      </c>
      <c r="C1521" t="s">
        <v>1210</v>
      </c>
      <c r="D1521" t="s">
        <v>1515</v>
      </c>
      <c r="E1521" t="s">
        <v>1589</v>
      </c>
      <c r="F1521">
        <v>2.50573399787966</v>
      </c>
      <c r="G1521" s="14">
        <v>464.49860958293101</v>
      </c>
      <c r="H1521" s="17">
        <v>0.156481440971488</v>
      </c>
      <c r="I1521" t="s">
        <v>1614</v>
      </c>
      <c r="J1521" s="14">
        <v>984.61535006520796</v>
      </c>
      <c r="K1521" s="14">
        <f t="shared" si="184"/>
        <v>156793.65094656963</v>
      </c>
      <c r="L1521" s="14">
        <f t="shared" si="185"/>
        <v>164</v>
      </c>
      <c r="M1521" s="14" t="str">
        <f t="shared" si="186"/>
        <v>26-11-2023</v>
      </c>
      <c r="N1521" s="14">
        <f t="shared" si="187"/>
        <v>0.15810095687769962</v>
      </c>
      <c r="O1521" s="20">
        <f t="shared" si="188"/>
        <v>2.5117428612790369</v>
      </c>
      <c r="P1521" s="14">
        <f t="shared" si="189"/>
        <v>452.10139549273316</v>
      </c>
      <c r="Q1521" s="14">
        <f t="shared" si="190"/>
        <v>362.94404377174754</v>
      </c>
      <c r="R1521" s="14" t="str">
        <f t="shared" si="191"/>
        <v>Nov</v>
      </c>
    </row>
    <row r="1522" spans="1:18" x14ac:dyDescent="0.3">
      <c r="A1522" t="s">
        <v>3130</v>
      </c>
      <c r="B1522" s="1">
        <v>45326</v>
      </c>
      <c r="C1522" t="s">
        <v>619</v>
      </c>
      <c r="D1522" t="s">
        <v>1393</v>
      </c>
      <c r="E1522" t="s">
        <v>1567</v>
      </c>
      <c r="F1522">
        <v>2.5057590870796602</v>
      </c>
      <c r="G1522" s="14">
        <v>464.44684668485098</v>
      </c>
      <c r="H1522" s="17">
        <v>0.156488203042078</v>
      </c>
      <c r="I1522" t="s">
        <v>1609</v>
      </c>
      <c r="J1522" s="14">
        <v>984.50735360575595</v>
      </c>
      <c r="K1522" s="14">
        <f t="shared" si="184"/>
        <v>156793.65094656963</v>
      </c>
      <c r="L1522" s="14">
        <f t="shared" si="185"/>
        <v>164</v>
      </c>
      <c r="M1522" s="14" t="str">
        <f t="shared" si="186"/>
        <v>04-02-2024</v>
      </c>
      <c r="N1522" s="14">
        <f t="shared" si="187"/>
        <v>0.15810433791299447</v>
      </c>
      <c r="O1522" s="20">
        <f t="shared" si="188"/>
        <v>2.5117554058790352</v>
      </c>
      <c r="P1522" s="14">
        <f t="shared" si="189"/>
        <v>452.07551404369315</v>
      </c>
      <c r="Q1522" s="14">
        <f t="shared" si="190"/>
        <v>362.90411189518215</v>
      </c>
      <c r="R1522" s="14" t="str">
        <f t="shared" si="191"/>
        <v>Feb</v>
      </c>
    </row>
    <row r="1523" spans="1:18" x14ac:dyDescent="0.3">
      <c r="A1523" t="s">
        <v>3131</v>
      </c>
      <c r="B1523" s="1">
        <v>45459</v>
      </c>
      <c r="C1523" t="s">
        <v>601</v>
      </c>
      <c r="D1523" t="s">
        <v>1355</v>
      </c>
      <c r="E1523" t="s">
        <v>1592</v>
      </c>
      <c r="F1523">
        <v>2.50578417627966</v>
      </c>
      <c r="G1523" s="14">
        <v>464.39508378677101</v>
      </c>
      <c r="H1523" s="17">
        <v>0.156494965112667</v>
      </c>
      <c r="I1523" t="s">
        <v>1611</v>
      </c>
      <c r="J1523" s="14">
        <v>984.39935714630406</v>
      </c>
      <c r="K1523" s="14">
        <f t="shared" si="184"/>
        <v>155809.14359296387</v>
      </c>
      <c r="L1523" s="14">
        <f t="shared" si="185"/>
        <v>163</v>
      </c>
      <c r="M1523" s="14" t="str">
        <f t="shared" si="186"/>
        <v>16-06-2024</v>
      </c>
      <c r="N1523" s="14">
        <f t="shared" si="187"/>
        <v>0.15810771894828929</v>
      </c>
      <c r="O1523" s="20">
        <f t="shared" si="188"/>
        <v>2.511767950479034</v>
      </c>
      <c r="P1523" s="14">
        <f t="shared" si="189"/>
        <v>452.04963259465308</v>
      </c>
      <c r="Q1523" s="14">
        <f t="shared" si="190"/>
        <v>362.86418001861682</v>
      </c>
      <c r="R1523" s="14" t="str">
        <f t="shared" si="191"/>
        <v>Jun</v>
      </c>
    </row>
    <row r="1524" spans="1:18" x14ac:dyDescent="0.3">
      <c r="A1524" t="s">
        <v>3132</v>
      </c>
      <c r="B1524" s="1">
        <v>45715</v>
      </c>
      <c r="C1524" t="s">
        <v>110</v>
      </c>
      <c r="D1524" t="s">
        <v>1331</v>
      </c>
      <c r="E1524" t="s">
        <v>1546</v>
      </c>
      <c r="F1524">
        <v>2.5058092654796602</v>
      </c>
      <c r="G1524" s="14">
        <v>464.34332088869098</v>
      </c>
      <c r="H1524" s="17">
        <v>0.156501727183257</v>
      </c>
      <c r="I1524" t="s">
        <v>1611</v>
      </c>
      <c r="J1524" s="14">
        <v>984.29136068685295</v>
      </c>
      <c r="K1524" s="14">
        <f t="shared" si="184"/>
        <v>155809.14359296387</v>
      </c>
      <c r="L1524" s="14">
        <f t="shared" si="185"/>
        <v>163</v>
      </c>
      <c r="M1524" s="14" t="str">
        <f t="shared" si="186"/>
        <v>27-02-2025</v>
      </c>
      <c r="N1524" s="14">
        <f t="shared" si="187"/>
        <v>0.15811109998358402</v>
      </c>
      <c r="O1524" s="20">
        <f t="shared" si="188"/>
        <v>2.5117804950790332</v>
      </c>
      <c r="P1524" s="14">
        <f t="shared" si="189"/>
        <v>452.02375114561295</v>
      </c>
      <c r="Q1524" s="14">
        <f t="shared" si="190"/>
        <v>362.82424814205172</v>
      </c>
      <c r="R1524" s="14" t="str">
        <f t="shared" si="191"/>
        <v>Feb</v>
      </c>
    </row>
    <row r="1525" spans="1:18" x14ac:dyDescent="0.3">
      <c r="A1525" t="s">
        <v>3133</v>
      </c>
      <c r="B1525" s="1">
        <v>45223</v>
      </c>
      <c r="C1525" t="s">
        <v>55</v>
      </c>
      <c r="D1525" t="s">
        <v>1336</v>
      </c>
      <c r="E1525" t="s">
        <v>1551</v>
      </c>
      <c r="F1525">
        <v>2.5058343546796502</v>
      </c>
      <c r="G1525" s="14">
        <v>464.29155799061101</v>
      </c>
      <c r="H1525" s="17">
        <v>0.156508489253847</v>
      </c>
      <c r="I1525" t="s">
        <v>1609</v>
      </c>
      <c r="J1525" s="14">
        <v>984.18336422740094</v>
      </c>
      <c r="K1525" s="14">
        <f t="shared" si="184"/>
        <v>155809.14359296387</v>
      </c>
      <c r="L1525" s="14">
        <f t="shared" si="185"/>
        <v>163</v>
      </c>
      <c r="M1525" s="14" t="str">
        <f t="shared" si="186"/>
        <v>24-10-2023</v>
      </c>
      <c r="N1525" s="14">
        <f t="shared" si="187"/>
        <v>0.15811448101887884</v>
      </c>
      <c r="O1525" s="20">
        <f t="shared" si="188"/>
        <v>2.5117930396790316</v>
      </c>
      <c r="P1525" s="14">
        <f t="shared" si="189"/>
        <v>451.99786969657299</v>
      </c>
      <c r="Q1525" s="14">
        <f t="shared" si="190"/>
        <v>362.78431626548638</v>
      </c>
      <c r="R1525" s="14" t="str">
        <f t="shared" si="191"/>
        <v>Oct</v>
      </c>
    </row>
    <row r="1526" spans="1:18" x14ac:dyDescent="0.3">
      <c r="A1526" t="s">
        <v>3134</v>
      </c>
      <c r="B1526" s="1">
        <v>45507</v>
      </c>
      <c r="C1526" t="s">
        <v>1273</v>
      </c>
      <c r="D1526" t="s">
        <v>1451</v>
      </c>
      <c r="E1526" t="s">
        <v>1564</v>
      </c>
      <c r="F1526">
        <v>2.50585944387965</v>
      </c>
      <c r="G1526" s="14">
        <v>464.23979509253002</v>
      </c>
      <c r="H1526" s="17">
        <v>0.156515251324436</v>
      </c>
      <c r="I1526" t="s">
        <v>1609</v>
      </c>
      <c r="J1526" s="14">
        <v>984.07536776794905</v>
      </c>
      <c r="K1526" s="14">
        <f t="shared" si="184"/>
        <v>154824.96022873648</v>
      </c>
      <c r="L1526" s="14">
        <f t="shared" si="185"/>
        <v>162</v>
      </c>
      <c r="M1526" s="14" t="str">
        <f t="shared" si="186"/>
        <v>03-08-2024</v>
      </c>
      <c r="N1526" s="14">
        <f t="shared" si="187"/>
        <v>0.15811786205417369</v>
      </c>
      <c r="O1526" s="20">
        <f t="shared" si="188"/>
        <v>2.5118055842790308</v>
      </c>
      <c r="P1526" s="14">
        <f t="shared" si="189"/>
        <v>451.97198824753281</v>
      </c>
      <c r="Q1526" s="14">
        <f t="shared" si="190"/>
        <v>362.74438438892082</v>
      </c>
      <c r="R1526" s="14" t="str">
        <f t="shared" si="191"/>
        <v>Aug</v>
      </c>
    </row>
    <row r="1527" spans="1:18" x14ac:dyDescent="0.3">
      <c r="A1527" t="s">
        <v>3135</v>
      </c>
      <c r="B1527" s="1">
        <v>45843</v>
      </c>
      <c r="C1527" t="s">
        <v>502</v>
      </c>
      <c r="D1527" t="s">
        <v>1513</v>
      </c>
      <c r="E1527" t="s">
        <v>1579</v>
      </c>
      <c r="F1527">
        <v>2.5058845330796502</v>
      </c>
      <c r="G1527" s="14">
        <v>464.18803219444999</v>
      </c>
      <c r="H1527" s="17">
        <v>0.156522013395026</v>
      </c>
      <c r="I1527" t="s">
        <v>1614</v>
      </c>
      <c r="J1527" s="14">
        <v>983.96737130849795</v>
      </c>
      <c r="K1527" s="14">
        <f t="shared" si="184"/>
        <v>153840.88486096854</v>
      </c>
      <c r="L1527" s="14">
        <f t="shared" si="185"/>
        <v>161</v>
      </c>
      <c r="M1527" s="14" t="str">
        <f t="shared" si="186"/>
        <v>05-07-2025</v>
      </c>
      <c r="N1527" s="14">
        <f t="shared" si="187"/>
        <v>0.15812124308946848</v>
      </c>
      <c r="O1527" s="20">
        <f t="shared" si="188"/>
        <v>2.5118181288790291</v>
      </c>
      <c r="P1527" s="14">
        <f t="shared" si="189"/>
        <v>451.94610679849268</v>
      </c>
      <c r="Q1527" s="14">
        <f t="shared" si="190"/>
        <v>362.70445251235566</v>
      </c>
      <c r="R1527" s="14" t="str">
        <f t="shared" si="191"/>
        <v>Jul</v>
      </c>
    </row>
    <row r="1528" spans="1:18" x14ac:dyDescent="0.3">
      <c r="A1528" t="s">
        <v>3136</v>
      </c>
      <c r="B1528" s="1">
        <v>45804</v>
      </c>
      <c r="C1528" t="s">
        <v>1291</v>
      </c>
      <c r="D1528" t="s">
        <v>1425</v>
      </c>
      <c r="E1528" t="s">
        <v>1582</v>
      </c>
      <c r="F1528">
        <v>2.50590962227965</v>
      </c>
      <c r="G1528" s="14">
        <v>464.13626929637002</v>
      </c>
      <c r="H1528" s="17">
        <v>0.156528775465615</v>
      </c>
      <c r="I1528" t="s">
        <v>1611</v>
      </c>
      <c r="J1528" s="14">
        <v>983.85937484904605</v>
      </c>
      <c r="K1528" s="14">
        <f t="shared" si="184"/>
        <v>153840.88486096854</v>
      </c>
      <c r="L1528" s="14">
        <f t="shared" si="185"/>
        <v>161</v>
      </c>
      <c r="M1528" s="14" t="str">
        <f t="shared" si="186"/>
        <v>27-05-2025</v>
      </c>
      <c r="N1528" s="14">
        <f t="shared" si="187"/>
        <v>0.15812462412476327</v>
      </c>
      <c r="O1528" s="20">
        <f t="shared" si="188"/>
        <v>2.5118306734790283</v>
      </c>
      <c r="P1528" s="14">
        <f t="shared" si="189"/>
        <v>451.92022534945261</v>
      </c>
      <c r="Q1528" s="14">
        <f t="shared" si="190"/>
        <v>362.66452063579032</v>
      </c>
      <c r="R1528" s="14" t="str">
        <f t="shared" si="191"/>
        <v>May</v>
      </c>
    </row>
    <row r="1529" spans="1:18" x14ac:dyDescent="0.3">
      <c r="A1529" t="s">
        <v>3137</v>
      </c>
      <c r="B1529" s="1">
        <v>45602</v>
      </c>
      <c r="C1529" t="s">
        <v>1273</v>
      </c>
      <c r="D1529" t="s">
        <v>1459</v>
      </c>
      <c r="E1529" t="s">
        <v>1546</v>
      </c>
      <c r="F1529">
        <v>2.50593471147964</v>
      </c>
      <c r="G1529" s="14">
        <v>464.08450639828999</v>
      </c>
      <c r="H1529" s="17">
        <v>0.156535537536205</v>
      </c>
      <c r="I1529" t="s">
        <v>1611</v>
      </c>
      <c r="J1529" s="14">
        <v>983.75137838959404</v>
      </c>
      <c r="K1529" s="14">
        <f t="shared" si="184"/>
        <v>153840.88486096854</v>
      </c>
      <c r="L1529" s="14">
        <f t="shared" si="185"/>
        <v>161</v>
      </c>
      <c r="M1529" s="14" t="str">
        <f t="shared" si="186"/>
        <v>06-11-2024</v>
      </c>
      <c r="N1529" s="14">
        <f t="shared" si="187"/>
        <v>0.15812800516005809</v>
      </c>
      <c r="O1529" s="20">
        <f t="shared" si="188"/>
        <v>2.5118432180790267</v>
      </c>
      <c r="P1529" s="14">
        <f t="shared" si="189"/>
        <v>451.89434390041259</v>
      </c>
      <c r="Q1529" s="14">
        <f t="shared" si="190"/>
        <v>362.62458875922499</v>
      </c>
      <c r="R1529" s="14" t="str">
        <f t="shared" si="191"/>
        <v>Nov</v>
      </c>
    </row>
    <row r="1530" spans="1:18" x14ac:dyDescent="0.3">
      <c r="A1530" t="s">
        <v>3138</v>
      </c>
      <c r="B1530" s="1">
        <v>45446</v>
      </c>
      <c r="C1530" t="s">
        <v>1032</v>
      </c>
      <c r="D1530" t="s">
        <v>1373</v>
      </c>
      <c r="E1530" t="s">
        <v>1561</v>
      </c>
      <c r="F1530">
        <v>2.5059598006796402</v>
      </c>
      <c r="G1530" s="14">
        <v>464.03274350021002</v>
      </c>
      <c r="H1530" s="17">
        <v>0.156542299606795</v>
      </c>
      <c r="I1530" t="s">
        <v>1611</v>
      </c>
      <c r="J1530" s="14">
        <v>983.64338193014203</v>
      </c>
      <c r="K1530" s="14">
        <f t="shared" si="184"/>
        <v>153840.88486096854</v>
      </c>
      <c r="L1530" s="14">
        <f t="shared" si="185"/>
        <v>161</v>
      </c>
      <c r="M1530" s="14" t="str">
        <f t="shared" si="186"/>
        <v>03-06-2024</v>
      </c>
      <c r="N1530" s="14">
        <f t="shared" si="187"/>
        <v>0.15813138619535286</v>
      </c>
      <c r="O1530" s="20">
        <f t="shared" si="188"/>
        <v>2.5118557626790259</v>
      </c>
      <c r="P1530" s="14">
        <f t="shared" si="189"/>
        <v>451.86846245137247</v>
      </c>
      <c r="Q1530" s="14">
        <f t="shared" si="190"/>
        <v>362.5846568826596</v>
      </c>
      <c r="R1530" s="14" t="str">
        <f t="shared" si="191"/>
        <v>Jun</v>
      </c>
    </row>
    <row r="1531" spans="1:18" x14ac:dyDescent="0.3">
      <c r="A1531" t="s">
        <v>3139</v>
      </c>
      <c r="B1531" s="1">
        <v>45384</v>
      </c>
      <c r="C1531" t="s">
        <v>372</v>
      </c>
      <c r="D1531" t="s">
        <v>1445</v>
      </c>
      <c r="E1531" t="s">
        <v>1571</v>
      </c>
      <c r="F1531">
        <v>2.50598488987964</v>
      </c>
      <c r="G1531" s="14">
        <v>463.98098060212999</v>
      </c>
      <c r="H1531" s="17">
        <v>0.156549061677384</v>
      </c>
      <c r="I1531" t="s">
        <v>1614</v>
      </c>
      <c r="J1531" s="14">
        <v>983.53538547069104</v>
      </c>
      <c r="K1531" s="14">
        <f t="shared" si="184"/>
        <v>153840.88486096854</v>
      </c>
      <c r="L1531" s="14">
        <f t="shared" si="185"/>
        <v>161</v>
      </c>
      <c r="M1531" s="14" t="str">
        <f t="shared" si="186"/>
        <v>02-04-2024</v>
      </c>
      <c r="N1531" s="14">
        <f t="shared" si="187"/>
        <v>0.15813476723064765</v>
      </c>
      <c r="O1531" s="20">
        <f t="shared" si="188"/>
        <v>2.5118683072790242</v>
      </c>
      <c r="P1531" s="14">
        <f t="shared" si="189"/>
        <v>451.84258100233245</v>
      </c>
      <c r="Q1531" s="14">
        <f t="shared" si="190"/>
        <v>362.5447250060945</v>
      </c>
      <c r="R1531" s="14" t="str">
        <f t="shared" si="191"/>
        <v>Apr</v>
      </c>
    </row>
    <row r="1532" spans="1:18" x14ac:dyDescent="0.3">
      <c r="A1532" t="s">
        <v>3140</v>
      </c>
      <c r="B1532" s="1">
        <v>45348</v>
      </c>
      <c r="C1532" t="s">
        <v>1282</v>
      </c>
      <c r="D1532" t="s">
        <v>1463</v>
      </c>
      <c r="E1532" t="s">
        <v>1551</v>
      </c>
      <c r="F1532">
        <v>2.50600997907963</v>
      </c>
      <c r="G1532" s="14">
        <v>463.92921770404899</v>
      </c>
      <c r="H1532" s="17">
        <v>0.156555823747974</v>
      </c>
      <c r="I1532" t="s">
        <v>1609</v>
      </c>
      <c r="J1532" s="14">
        <v>983.42738901123903</v>
      </c>
      <c r="K1532" s="14">
        <f t="shared" si="184"/>
        <v>153840.88486096854</v>
      </c>
      <c r="L1532" s="14">
        <f t="shared" si="185"/>
        <v>161</v>
      </c>
      <c r="M1532" s="14" t="str">
        <f t="shared" si="186"/>
        <v>26-02-2024</v>
      </c>
      <c r="N1532" s="14">
        <f t="shared" si="187"/>
        <v>0.1581381482659425</v>
      </c>
      <c r="O1532" s="20">
        <f t="shared" si="188"/>
        <v>2.511880851879023</v>
      </c>
      <c r="P1532" s="14">
        <f t="shared" si="189"/>
        <v>451.81669955329232</v>
      </c>
      <c r="Q1532" s="14">
        <f t="shared" si="190"/>
        <v>362.50479312952893</v>
      </c>
      <c r="R1532" s="14" t="str">
        <f t="shared" si="191"/>
        <v>Feb</v>
      </c>
    </row>
    <row r="1533" spans="1:18" x14ac:dyDescent="0.3">
      <c r="A1533" t="s">
        <v>3141</v>
      </c>
      <c r="B1533" s="1">
        <v>45688</v>
      </c>
      <c r="C1533" t="s">
        <v>902</v>
      </c>
      <c r="D1533" t="s">
        <v>1369</v>
      </c>
      <c r="E1533" t="s">
        <v>1577</v>
      </c>
      <c r="F1533">
        <v>2.5060350682796302</v>
      </c>
      <c r="G1533" s="14">
        <v>463.87745480596902</v>
      </c>
      <c r="H1533" s="17">
        <v>0.156562585818563</v>
      </c>
      <c r="I1533" t="s">
        <v>1611</v>
      </c>
      <c r="J1533" s="14">
        <v>983.31939255178702</v>
      </c>
      <c r="K1533" s="14">
        <f t="shared" si="184"/>
        <v>152857.45747195728</v>
      </c>
      <c r="L1533" s="14">
        <f t="shared" si="185"/>
        <v>160</v>
      </c>
      <c r="M1533" s="14" t="str">
        <f t="shared" si="186"/>
        <v>31-01-2025</v>
      </c>
      <c r="N1533" s="14">
        <f t="shared" si="187"/>
        <v>0.15814152930123726</v>
      </c>
      <c r="O1533" s="20">
        <f t="shared" si="188"/>
        <v>2.5118933964790213</v>
      </c>
      <c r="P1533" s="14">
        <f t="shared" si="189"/>
        <v>451.79081810425225</v>
      </c>
      <c r="Q1533" s="14">
        <f t="shared" si="190"/>
        <v>362.46486125296354</v>
      </c>
      <c r="R1533" s="14" t="str">
        <f t="shared" si="191"/>
        <v>Jan</v>
      </c>
    </row>
    <row r="1534" spans="1:18" x14ac:dyDescent="0.3">
      <c r="A1534" t="s">
        <v>3142</v>
      </c>
      <c r="B1534" s="1">
        <v>45249</v>
      </c>
      <c r="C1534" t="s">
        <v>157</v>
      </c>
      <c r="D1534" t="s">
        <v>1367</v>
      </c>
      <c r="E1534" t="s">
        <v>1542</v>
      </c>
      <c r="F1534">
        <v>2.50606015747963</v>
      </c>
      <c r="G1534" s="14">
        <v>463.825691907889</v>
      </c>
      <c r="H1534" s="17">
        <v>0.156569347889153</v>
      </c>
      <c r="I1534" t="s">
        <v>1609</v>
      </c>
      <c r="J1534" s="14">
        <v>983.21139609233501</v>
      </c>
      <c r="K1534" s="14">
        <f t="shared" si="184"/>
        <v>152857.45747195728</v>
      </c>
      <c r="L1534" s="14">
        <f t="shared" si="185"/>
        <v>160</v>
      </c>
      <c r="M1534" s="14" t="str">
        <f t="shared" si="186"/>
        <v>19-11-2023</v>
      </c>
      <c r="N1534" s="14">
        <f t="shared" si="187"/>
        <v>0.15814491033653214</v>
      </c>
      <c r="O1534" s="20">
        <f t="shared" si="188"/>
        <v>2.5119059410790201</v>
      </c>
      <c r="P1534" s="14">
        <f t="shared" si="189"/>
        <v>451.76493665521218</v>
      </c>
      <c r="Q1534" s="14">
        <f t="shared" si="190"/>
        <v>362.42492937639821</v>
      </c>
      <c r="R1534" s="14" t="str">
        <f t="shared" si="191"/>
        <v>Nov</v>
      </c>
    </row>
    <row r="1535" spans="1:18" x14ac:dyDescent="0.3">
      <c r="A1535" t="s">
        <v>3143</v>
      </c>
      <c r="B1535" s="1">
        <v>45726</v>
      </c>
      <c r="C1535" t="s">
        <v>1193</v>
      </c>
      <c r="D1535" t="s">
        <v>1485</v>
      </c>
      <c r="E1535" t="s">
        <v>1598</v>
      </c>
      <c r="F1535">
        <v>2.5060852466796302</v>
      </c>
      <c r="G1535" s="14">
        <v>463.77392900980902</v>
      </c>
      <c r="H1535" s="17">
        <v>0.156576109959743</v>
      </c>
      <c r="I1535" t="s">
        <v>1611</v>
      </c>
      <c r="J1535" s="14">
        <v>983.10339963288402</v>
      </c>
      <c r="K1535" s="14">
        <f t="shared" si="184"/>
        <v>151874.24607586497</v>
      </c>
      <c r="L1535" s="14">
        <f t="shared" si="185"/>
        <v>159</v>
      </c>
      <c r="M1535" s="14" t="str">
        <f t="shared" si="186"/>
        <v>10-03-2025</v>
      </c>
      <c r="N1535" s="14">
        <f t="shared" si="187"/>
        <v>0.15814829137182693</v>
      </c>
      <c r="O1535" s="20">
        <f t="shared" si="188"/>
        <v>2.5119184856790189</v>
      </c>
      <c r="P1535" s="14">
        <f t="shared" si="189"/>
        <v>451.73905520617211</v>
      </c>
      <c r="Q1535" s="14">
        <f t="shared" si="190"/>
        <v>362.3849974998331</v>
      </c>
      <c r="R1535" s="14" t="str">
        <f t="shared" si="191"/>
        <v>Mar</v>
      </c>
    </row>
    <row r="1536" spans="1:18" x14ac:dyDescent="0.3">
      <c r="A1536" t="s">
        <v>3144</v>
      </c>
      <c r="B1536" s="1">
        <v>45283</v>
      </c>
      <c r="C1536" t="s">
        <v>1077</v>
      </c>
      <c r="D1536" t="s">
        <v>1443</v>
      </c>
      <c r="E1536" t="s">
        <v>1564</v>
      </c>
      <c r="F1536">
        <v>2.5061103358796202</v>
      </c>
      <c r="G1536" s="14">
        <v>463.722166111729</v>
      </c>
      <c r="H1536" s="17">
        <v>0.156582872030332</v>
      </c>
      <c r="I1536" t="s">
        <v>1614</v>
      </c>
      <c r="J1536" s="14">
        <v>982.99540317343201</v>
      </c>
      <c r="K1536" s="14">
        <f t="shared" si="184"/>
        <v>151874.24607586497</v>
      </c>
      <c r="L1536" s="14">
        <f t="shared" si="185"/>
        <v>159</v>
      </c>
      <c r="M1536" s="14" t="str">
        <f t="shared" si="186"/>
        <v>23-12-2023</v>
      </c>
      <c r="N1536" s="14">
        <f t="shared" si="187"/>
        <v>0.15815167240712169</v>
      </c>
      <c r="O1536" s="20">
        <f t="shared" si="188"/>
        <v>2.5119310302790172</v>
      </c>
      <c r="P1536" s="14">
        <f t="shared" si="189"/>
        <v>451.71317375713204</v>
      </c>
      <c r="Q1536" s="14">
        <f t="shared" si="190"/>
        <v>362.34506562326771</v>
      </c>
      <c r="R1536" s="14" t="str">
        <f t="shared" si="191"/>
        <v>Dec</v>
      </c>
    </row>
    <row r="1537" spans="1:18" x14ac:dyDescent="0.3">
      <c r="A1537" t="s">
        <v>3145</v>
      </c>
      <c r="B1537" s="1">
        <v>45353</v>
      </c>
      <c r="C1537" t="s">
        <v>761</v>
      </c>
      <c r="D1537" t="s">
        <v>1433</v>
      </c>
      <c r="E1537" t="s">
        <v>1598</v>
      </c>
      <c r="F1537">
        <v>2.5061354250796199</v>
      </c>
      <c r="G1537" s="14">
        <v>463.67040321364902</v>
      </c>
      <c r="H1537" s="17">
        <v>0.156589634100922</v>
      </c>
      <c r="I1537" t="s">
        <v>1614</v>
      </c>
      <c r="J1537" s="14">
        <v>982.88740671398</v>
      </c>
      <c r="K1537" s="14">
        <f t="shared" si="184"/>
        <v>151874.24607586497</v>
      </c>
      <c r="L1537" s="14">
        <f t="shared" si="185"/>
        <v>159</v>
      </c>
      <c r="M1537" s="14" t="str">
        <f t="shared" si="186"/>
        <v>02-03-2024</v>
      </c>
      <c r="N1537" s="14">
        <f t="shared" si="187"/>
        <v>0.15815505344241651</v>
      </c>
      <c r="O1537" s="20">
        <f t="shared" si="188"/>
        <v>2.511943574879016</v>
      </c>
      <c r="P1537" s="14">
        <f t="shared" si="189"/>
        <v>451.68729230809191</v>
      </c>
      <c r="Q1537" s="14">
        <f t="shared" si="190"/>
        <v>362.30513374670238</v>
      </c>
      <c r="R1537" s="14" t="str">
        <f t="shared" si="191"/>
        <v>Mar</v>
      </c>
    </row>
    <row r="1538" spans="1:18" x14ac:dyDescent="0.3">
      <c r="A1538" t="s">
        <v>3146</v>
      </c>
      <c r="B1538" s="1">
        <v>45592</v>
      </c>
      <c r="C1538" t="s">
        <v>911</v>
      </c>
      <c r="D1538" t="s">
        <v>1475</v>
      </c>
      <c r="E1538" t="s">
        <v>1582</v>
      </c>
      <c r="F1538">
        <v>2.5061605142796202</v>
      </c>
      <c r="G1538" s="14">
        <v>463.618640315569</v>
      </c>
      <c r="H1538" s="17">
        <v>0.156596396171511</v>
      </c>
      <c r="I1538" t="s">
        <v>1611</v>
      </c>
      <c r="J1538" s="14">
        <v>982.77941025452799</v>
      </c>
      <c r="K1538" s="14">
        <f t="shared" ref="K1538:K1601" si="192">SUMIF(I1538:I3537,"Credit Card",J1538:J3537)</f>
        <v>151874.24607586497</v>
      </c>
      <c r="L1538" s="14">
        <f t="shared" ref="L1538:L1601" si="193">COUNTIF(I1538:I3537,"Credit Card")</f>
        <v>159</v>
      </c>
      <c r="M1538" s="14" t="str">
        <f t="shared" ref="M1538:M1601" si="194">TEXT(B1538:B3537,"dd-mm-yyyy")</f>
        <v>27-10-2024</v>
      </c>
      <c r="N1538" s="14">
        <f t="shared" ref="N1538:N1601" si="195">AVERAGE(H1538:H3537)</f>
        <v>0.1581584344777113</v>
      </c>
      <c r="O1538" s="20">
        <f t="shared" ref="O1538:O1601" si="196">AVERAGE(F1538:F3537)</f>
        <v>2.5119561194790143</v>
      </c>
      <c r="P1538" s="14">
        <f t="shared" ref="P1538:P1601" si="197">AVERAGE(G1538:G3537)</f>
        <v>451.66141085905184</v>
      </c>
      <c r="Q1538" s="14">
        <f t="shared" ref="Q1538:Q1601" si="198">AVERAGE(F1538,G1538,H1538,J1538)</f>
        <v>362.26520187013705</v>
      </c>
      <c r="R1538" s="14" t="str">
        <f t="shared" ref="R1538:R1601" si="199">TEXT(M1538,"mmm")</f>
        <v>Oct</v>
      </c>
    </row>
    <row r="1539" spans="1:18" x14ac:dyDescent="0.3">
      <c r="A1539" t="s">
        <v>3147</v>
      </c>
      <c r="B1539" s="1">
        <v>45360</v>
      </c>
      <c r="C1539" t="s">
        <v>40</v>
      </c>
      <c r="D1539" t="s">
        <v>1509</v>
      </c>
      <c r="E1539" t="s">
        <v>1546</v>
      </c>
      <c r="F1539">
        <v>2.5061856034796199</v>
      </c>
      <c r="G1539" s="14">
        <v>463.566877417488</v>
      </c>
      <c r="H1539" s="17">
        <v>0.156603158242101</v>
      </c>
      <c r="I1539" t="s">
        <v>1611</v>
      </c>
      <c r="J1539" s="14">
        <v>982.671413795077</v>
      </c>
      <c r="K1539" s="14">
        <f t="shared" si="192"/>
        <v>151874.24607586497</v>
      </c>
      <c r="L1539" s="14">
        <f t="shared" si="193"/>
        <v>159</v>
      </c>
      <c r="M1539" s="14" t="str">
        <f t="shared" si="194"/>
        <v>09-03-2024</v>
      </c>
      <c r="N1539" s="14">
        <f t="shared" si="195"/>
        <v>0.15816181551300609</v>
      </c>
      <c r="O1539" s="20">
        <f t="shared" si="196"/>
        <v>2.5119686640790135</v>
      </c>
      <c r="P1539" s="14">
        <f t="shared" si="197"/>
        <v>451.63552941001183</v>
      </c>
      <c r="Q1539" s="14">
        <f t="shared" si="198"/>
        <v>362.22526999357166</v>
      </c>
      <c r="R1539" s="14" t="str">
        <f t="shared" si="199"/>
        <v>Mar</v>
      </c>
    </row>
    <row r="1540" spans="1:18" x14ac:dyDescent="0.3">
      <c r="A1540" t="s">
        <v>3148</v>
      </c>
      <c r="B1540" s="1">
        <v>45649</v>
      </c>
      <c r="C1540" t="s">
        <v>722</v>
      </c>
      <c r="D1540" t="s">
        <v>1495</v>
      </c>
      <c r="E1540" t="s">
        <v>1579</v>
      </c>
      <c r="F1540">
        <v>2.5062106926796099</v>
      </c>
      <c r="G1540" s="14">
        <v>463.51511451940797</v>
      </c>
      <c r="H1540" s="17">
        <v>0.156609920312691</v>
      </c>
      <c r="I1540" t="s">
        <v>1611</v>
      </c>
      <c r="J1540" s="14">
        <v>982.56341733562499</v>
      </c>
      <c r="K1540" s="14">
        <f t="shared" si="192"/>
        <v>151874.24607586497</v>
      </c>
      <c r="L1540" s="14">
        <f t="shared" si="193"/>
        <v>159</v>
      </c>
      <c r="M1540" s="14" t="str">
        <f t="shared" si="194"/>
        <v>23-12-2024</v>
      </c>
      <c r="N1540" s="14">
        <f t="shared" si="195"/>
        <v>0.15816519654830091</v>
      </c>
      <c r="O1540" s="20">
        <f t="shared" si="196"/>
        <v>2.5119812086790114</v>
      </c>
      <c r="P1540" s="14">
        <f t="shared" si="197"/>
        <v>451.6096479609717</v>
      </c>
      <c r="Q1540" s="14">
        <f t="shared" si="198"/>
        <v>362.18533811700632</v>
      </c>
      <c r="R1540" s="14" t="str">
        <f t="shared" si="199"/>
        <v>Dec</v>
      </c>
    </row>
    <row r="1541" spans="1:18" x14ac:dyDescent="0.3">
      <c r="A1541" t="s">
        <v>3149</v>
      </c>
      <c r="B1541" s="1">
        <v>45709</v>
      </c>
      <c r="C1541" t="s">
        <v>464</v>
      </c>
      <c r="D1541" t="s">
        <v>1411</v>
      </c>
      <c r="E1541" t="s">
        <v>1564</v>
      </c>
      <c r="F1541">
        <v>2.5062357818796102</v>
      </c>
      <c r="G1541" s="14">
        <v>463.463351621328</v>
      </c>
      <c r="H1541" s="17">
        <v>0.15661668238328</v>
      </c>
      <c r="I1541" t="s">
        <v>1614</v>
      </c>
      <c r="J1541" s="14">
        <v>982.45542087617298</v>
      </c>
      <c r="K1541" s="14">
        <f t="shared" si="192"/>
        <v>151874.24607586497</v>
      </c>
      <c r="L1541" s="14">
        <f t="shared" si="193"/>
        <v>159</v>
      </c>
      <c r="M1541" s="14" t="str">
        <f t="shared" si="194"/>
        <v>21-02-2025</v>
      </c>
      <c r="N1541" s="14">
        <f t="shared" si="195"/>
        <v>0.1581685775835957</v>
      </c>
      <c r="O1541" s="20">
        <f t="shared" si="196"/>
        <v>2.5119937532790106</v>
      </c>
      <c r="P1541" s="14">
        <f t="shared" si="197"/>
        <v>451.58376651193169</v>
      </c>
      <c r="Q1541" s="14">
        <f t="shared" si="198"/>
        <v>362.14540624044093</v>
      </c>
      <c r="R1541" s="14" t="str">
        <f t="shared" si="199"/>
        <v>Feb</v>
      </c>
    </row>
    <row r="1542" spans="1:18" x14ac:dyDescent="0.3">
      <c r="A1542" t="s">
        <v>3150</v>
      </c>
      <c r="B1542" s="1">
        <v>45273</v>
      </c>
      <c r="C1542" t="s">
        <v>776</v>
      </c>
      <c r="D1542" t="s">
        <v>1495</v>
      </c>
      <c r="E1542" t="s">
        <v>1554</v>
      </c>
      <c r="F1542">
        <v>2.5062608710796099</v>
      </c>
      <c r="G1542" s="14">
        <v>463.41158872324797</v>
      </c>
      <c r="H1542" s="17">
        <v>0.15662344445387</v>
      </c>
      <c r="I1542" t="s">
        <v>1611</v>
      </c>
      <c r="J1542" s="14">
        <v>982.34742441672199</v>
      </c>
      <c r="K1542" s="14">
        <f t="shared" si="192"/>
        <v>151874.24607586497</v>
      </c>
      <c r="L1542" s="14">
        <f t="shared" si="193"/>
        <v>159</v>
      </c>
      <c r="M1542" s="14" t="str">
        <f t="shared" si="194"/>
        <v>13-12-2023</v>
      </c>
      <c r="N1542" s="14">
        <f t="shared" si="195"/>
        <v>0.15817195861889058</v>
      </c>
      <c r="O1542" s="20">
        <f t="shared" si="196"/>
        <v>2.5120062978790094</v>
      </c>
      <c r="P1542" s="14">
        <f t="shared" si="197"/>
        <v>451.55788506289156</v>
      </c>
      <c r="Q1542" s="14">
        <f t="shared" si="198"/>
        <v>362.10547436387589</v>
      </c>
      <c r="R1542" s="14" t="str">
        <f t="shared" si="199"/>
        <v>Dec</v>
      </c>
    </row>
    <row r="1543" spans="1:18" x14ac:dyDescent="0.3">
      <c r="A1543" t="s">
        <v>3151</v>
      </c>
      <c r="B1543" s="1">
        <v>45250</v>
      </c>
      <c r="C1543" t="s">
        <v>78</v>
      </c>
      <c r="D1543" t="s">
        <v>1509</v>
      </c>
      <c r="E1543" t="s">
        <v>1558</v>
      </c>
      <c r="F1543">
        <v>2.5062859602796101</v>
      </c>
      <c r="G1543" s="14">
        <v>463.359825825168</v>
      </c>
      <c r="H1543" s="17">
        <v>0.156630206524459</v>
      </c>
      <c r="I1543" t="s">
        <v>1611</v>
      </c>
      <c r="J1543" s="14">
        <v>982.23942795726998</v>
      </c>
      <c r="K1543" s="14">
        <f t="shared" si="192"/>
        <v>151874.24607586497</v>
      </c>
      <c r="L1543" s="14">
        <f t="shared" si="193"/>
        <v>159</v>
      </c>
      <c r="M1543" s="14" t="str">
        <f t="shared" si="194"/>
        <v>20-11-2023</v>
      </c>
      <c r="N1543" s="14">
        <f t="shared" si="195"/>
        <v>0.15817533965418534</v>
      </c>
      <c r="O1543" s="20">
        <f t="shared" si="196"/>
        <v>2.5120188424790082</v>
      </c>
      <c r="P1543" s="14">
        <f t="shared" si="197"/>
        <v>451.53200361385143</v>
      </c>
      <c r="Q1543" s="14">
        <f t="shared" si="198"/>
        <v>362.06554248731049</v>
      </c>
      <c r="R1543" s="14" t="str">
        <f t="shared" si="199"/>
        <v>Nov</v>
      </c>
    </row>
    <row r="1544" spans="1:18" x14ac:dyDescent="0.3">
      <c r="A1544" t="s">
        <v>3152</v>
      </c>
      <c r="B1544" s="1">
        <v>45539</v>
      </c>
      <c r="C1544" t="s">
        <v>55</v>
      </c>
      <c r="D1544" t="s">
        <v>1421</v>
      </c>
      <c r="E1544" t="s">
        <v>1598</v>
      </c>
      <c r="F1544">
        <v>2.5063110494796002</v>
      </c>
      <c r="G1544" s="14">
        <v>463.30806292708797</v>
      </c>
      <c r="H1544" s="17">
        <v>0.156636968595049</v>
      </c>
      <c r="I1544" t="s">
        <v>1614</v>
      </c>
      <c r="J1544" s="14">
        <v>982.13143149781797</v>
      </c>
      <c r="K1544" s="14">
        <f t="shared" si="192"/>
        <v>151874.24607586497</v>
      </c>
      <c r="L1544" s="14">
        <f t="shared" si="193"/>
        <v>159</v>
      </c>
      <c r="M1544" s="14" t="str">
        <f t="shared" si="194"/>
        <v>04-09-2024</v>
      </c>
      <c r="N1544" s="14">
        <f t="shared" si="195"/>
        <v>0.15817872068948016</v>
      </c>
      <c r="O1544" s="20">
        <f t="shared" si="196"/>
        <v>2.5120313870790065</v>
      </c>
      <c r="P1544" s="14">
        <f t="shared" si="197"/>
        <v>451.50612216481142</v>
      </c>
      <c r="Q1544" s="14">
        <f t="shared" si="198"/>
        <v>362.02561061074516</v>
      </c>
      <c r="R1544" s="14" t="str">
        <f t="shared" si="199"/>
        <v>Sep</v>
      </c>
    </row>
    <row r="1545" spans="1:18" x14ac:dyDescent="0.3">
      <c r="A1545" t="s">
        <v>3153</v>
      </c>
      <c r="B1545" s="1">
        <v>45810</v>
      </c>
      <c r="C1545" t="s">
        <v>481</v>
      </c>
      <c r="D1545" t="s">
        <v>1531</v>
      </c>
      <c r="E1545" t="s">
        <v>1574</v>
      </c>
      <c r="F1545">
        <v>2.5063361386795999</v>
      </c>
      <c r="G1545" s="14">
        <v>463.25630002900698</v>
      </c>
      <c r="H1545" s="17">
        <v>0.156643730665639</v>
      </c>
      <c r="I1545" t="s">
        <v>1609</v>
      </c>
      <c r="J1545" s="14">
        <v>982.02343503836596</v>
      </c>
      <c r="K1545" s="14">
        <f t="shared" si="192"/>
        <v>151874.24607586497</v>
      </c>
      <c r="L1545" s="14">
        <f t="shared" si="193"/>
        <v>159</v>
      </c>
      <c r="M1545" s="14" t="str">
        <f t="shared" si="194"/>
        <v>02-06-2025</v>
      </c>
      <c r="N1545" s="14">
        <f t="shared" si="195"/>
        <v>0.15818210172477495</v>
      </c>
      <c r="O1545" s="20">
        <f t="shared" si="196"/>
        <v>2.5120439316790053</v>
      </c>
      <c r="P1545" s="14">
        <f t="shared" si="197"/>
        <v>451.48024071577134</v>
      </c>
      <c r="Q1545" s="14">
        <f t="shared" si="198"/>
        <v>361.98567873417954</v>
      </c>
      <c r="R1545" s="14" t="str">
        <f t="shared" si="199"/>
        <v>Jun</v>
      </c>
    </row>
    <row r="1546" spans="1:18" x14ac:dyDescent="0.3">
      <c r="A1546" t="s">
        <v>3154</v>
      </c>
      <c r="B1546" s="1">
        <v>45350</v>
      </c>
      <c r="C1546" t="s">
        <v>1178</v>
      </c>
      <c r="D1546" t="s">
        <v>1489</v>
      </c>
      <c r="E1546" t="s">
        <v>1554</v>
      </c>
      <c r="F1546">
        <v>2.5063612278796001</v>
      </c>
      <c r="G1546" s="14">
        <v>463.20453713092701</v>
      </c>
      <c r="H1546" s="17">
        <v>0.156650492736228</v>
      </c>
      <c r="I1546" t="s">
        <v>1614</v>
      </c>
      <c r="J1546" s="14">
        <v>981.91543857891497</v>
      </c>
      <c r="K1546" s="14">
        <f t="shared" si="192"/>
        <v>150892.2226408266</v>
      </c>
      <c r="L1546" s="14">
        <f t="shared" si="193"/>
        <v>158</v>
      </c>
      <c r="M1546" s="14" t="str">
        <f t="shared" si="194"/>
        <v>28-02-2024</v>
      </c>
      <c r="N1546" s="14">
        <f t="shared" si="195"/>
        <v>0.15818548276006975</v>
      </c>
      <c r="O1546" s="20">
        <f t="shared" si="196"/>
        <v>2.5120564762790041</v>
      </c>
      <c r="P1546" s="14">
        <f t="shared" si="197"/>
        <v>451.45435926673127</v>
      </c>
      <c r="Q1546" s="14">
        <f t="shared" si="198"/>
        <v>361.94574685761444</v>
      </c>
      <c r="R1546" s="14" t="str">
        <f t="shared" si="199"/>
        <v>Feb</v>
      </c>
    </row>
    <row r="1547" spans="1:18" x14ac:dyDescent="0.3">
      <c r="A1547" t="s">
        <v>3155</v>
      </c>
      <c r="B1547" s="1">
        <v>45633</v>
      </c>
      <c r="C1547" t="s">
        <v>737</v>
      </c>
      <c r="D1547" t="s">
        <v>1487</v>
      </c>
      <c r="E1547" t="s">
        <v>1542</v>
      </c>
      <c r="F1547">
        <v>2.5063863170795999</v>
      </c>
      <c r="G1547" s="14">
        <v>463.15277423284698</v>
      </c>
      <c r="H1547" s="17">
        <v>0.156657254806818</v>
      </c>
      <c r="I1547" t="s">
        <v>1611</v>
      </c>
      <c r="J1547" s="14">
        <v>981.80744211946296</v>
      </c>
      <c r="K1547" s="14">
        <f t="shared" si="192"/>
        <v>150892.2226408266</v>
      </c>
      <c r="L1547" s="14">
        <f t="shared" si="193"/>
        <v>158</v>
      </c>
      <c r="M1547" s="14" t="str">
        <f t="shared" si="194"/>
        <v>07-12-2024</v>
      </c>
      <c r="N1547" s="14">
        <f t="shared" si="195"/>
        <v>0.15818886379536451</v>
      </c>
      <c r="O1547" s="20">
        <f t="shared" si="196"/>
        <v>2.5120690208790029</v>
      </c>
      <c r="P1547" s="14">
        <f t="shared" si="197"/>
        <v>451.42847781769115</v>
      </c>
      <c r="Q1547" s="14">
        <f t="shared" si="198"/>
        <v>361.9058149810491</v>
      </c>
      <c r="R1547" s="14" t="str">
        <f t="shared" si="199"/>
        <v>Dec</v>
      </c>
    </row>
    <row r="1548" spans="1:18" x14ac:dyDescent="0.3">
      <c r="A1548" t="s">
        <v>3156</v>
      </c>
      <c r="B1548" s="1">
        <v>45798</v>
      </c>
      <c r="C1548" t="s">
        <v>842</v>
      </c>
      <c r="D1548" t="s">
        <v>1529</v>
      </c>
      <c r="E1548" t="s">
        <v>1551</v>
      </c>
      <c r="F1548">
        <v>2.5064114062795899</v>
      </c>
      <c r="G1548" s="14">
        <v>463.10101133476701</v>
      </c>
      <c r="H1548" s="17">
        <v>0.156664016877407</v>
      </c>
      <c r="I1548" t="s">
        <v>1614</v>
      </c>
      <c r="J1548" s="14">
        <v>981.69944566001095</v>
      </c>
      <c r="K1548" s="14">
        <f t="shared" si="192"/>
        <v>150892.2226408266</v>
      </c>
      <c r="L1548" s="14">
        <f t="shared" si="193"/>
        <v>158</v>
      </c>
      <c r="M1548" s="14" t="str">
        <f t="shared" si="194"/>
        <v>21-05-2025</v>
      </c>
      <c r="N1548" s="14">
        <f t="shared" si="195"/>
        <v>0.15819224483065938</v>
      </c>
      <c r="O1548" s="20">
        <f t="shared" si="196"/>
        <v>2.5120815654790012</v>
      </c>
      <c r="P1548" s="14">
        <f t="shared" si="197"/>
        <v>451.40259636865107</v>
      </c>
      <c r="Q1548" s="14">
        <f t="shared" si="198"/>
        <v>361.86588310448371</v>
      </c>
      <c r="R1548" s="14" t="str">
        <f t="shared" si="199"/>
        <v>May</v>
      </c>
    </row>
    <row r="1549" spans="1:18" x14ac:dyDescent="0.3">
      <c r="A1549" t="s">
        <v>3157</v>
      </c>
      <c r="B1549" s="1">
        <v>45354</v>
      </c>
      <c r="C1549" t="s">
        <v>496</v>
      </c>
      <c r="D1549" t="s">
        <v>1437</v>
      </c>
      <c r="E1549" t="s">
        <v>1564</v>
      </c>
      <c r="F1549">
        <v>2.5064364954795901</v>
      </c>
      <c r="G1549" s="14">
        <v>463.04924843668698</v>
      </c>
      <c r="H1549" s="17">
        <v>0.156670778947997</v>
      </c>
      <c r="I1549" t="s">
        <v>1614</v>
      </c>
      <c r="J1549" s="14">
        <v>981.59144920055905</v>
      </c>
      <c r="K1549" s="14">
        <f t="shared" si="192"/>
        <v>150892.2226408266</v>
      </c>
      <c r="L1549" s="14">
        <f t="shared" si="193"/>
        <v>158</v>
      </c>
      <c r="M1549" s="14" t="str">
        <f t="shared" si="194"/>
        <v>03-03-2024</v>
      </c>
      <c r="N1549" s="14">
        <f t="shared" si="195"/>
        <v>0.15819562586595415</v>
      </c>
      <c r="O1549" s="20">
        <f t="shared" si="196"/>
        <v>2.512094110079</v>
      </c>
      <c r="P1549" s="14">
        <f t="shared" si="197"/>
        <v>451.376714919611</v>
      </c>
      <c r="Q1549" s="14">
        <f t="shared" si="198"/>
        <v>361.82595122791838</v>
      </c>
      <c r="R1549" s="14" t="str">
        <f t="shared" si="199"/>
        <v>Mar</v>
      </c>
    </row>
    <row r="1550" spans="1:18" x14ac:dyDescent="0.3">
      <c r="A1550" t="s">
        <v>3158</v>
      </c>
      <c r="B1550" s="1">
        <v>45357</v>
      </c>
      <c r="C1550" t="s">
        <v>696</v>
      </c>
      <c r="D1550" t="s">
        <v>1475</v>
      </c>
      <c r="E1550" t="s">
        <v>1595</v>
      </c>
      <c r="F1550">
        <v>2.5064615846795899</v>
      </c>
      <c r="G1550" s="14">
        <v>462.99748553860701</v>
      </c>
      <c r="H1550" s="17">
        <v>0.156677541018587</v>
      </c>
      <c r="I1550" t="s">
        <v>1611</v>
      </c>
      <c r="J1550" s="14">
        <v>981.48345274110795</v>
      </c>
      <c r="K1550" s="14">
        <f t="shared" si="192"/>
        <v>150892.2226408266</v>
      </c>
      <c r="L1550" s="14">
        <f t="shared" si="193"/>
        <v>158</v>
      </c>
      <c r="M1550" s="14" t="str">
        <f t="shared" si="194"/>
        <v>06-03-2024</v>
      </c>
      <c r="N1550" s="14">
        <f t="shared" si="195"/>
        <v>0.158199006901249</v>
      </c>
      <c r="O1550" s="20">
        <f t="shared" si="196"/>
        <v>2.5121066546789992</v>
      </c>
      <c r="P1550" s="14">
        <f t="shared" si="197"/>
        <v>451.35083347057093</v>
      </c>
      <c r="Q1550" s="14">
        <f t="shared" si="198"/>
        <v>361.78601935135327</v>
      </c>
      <c r="R1550" s="14" t="str">
        <f t="shared" si="199"/>
        <v>Mar</v>
      </c>
    </row>
    <row r="1551" spans="1:18" x14ac:dyDescent="0.3">
      <c r="A1551" t="s">
        <v>3159</v>
      </c>
      <c r="B1551" s="1">
        <v>45257</v>
      </c>
      <c r="C1551" t="s">
        <v>1023</v>
      </c>
      <c r="D1551" t="s">
        <v>1525</v>
      </c>
      <c r="E1551" t="s">
        <v>1558</v>
      </c>
      <c r="F1551">
        <v>2.5064866738795799</v>
      </c>
      <c r="G1551" s="14">
        <v>462.94572264052601</v>
      </c>
      <c r="H1551" s="17">
        <v>0.156684303089176</v>
      </c>
      <c r="I1551" t="s">
        <v>1609</v>
      </c>
      <c r="J1551" s="14">
        <v>981.37545628165606</v>
      </c>
      <c r="K1551" s="14">
        <f t="shared" si="192"/>
        <v>150892.2226408266</v>
      </c>
      <c r="L1551" s="14">
        <f t="shared" si="193"/>
        <v>158</v>
      </c>
      <c r="M1551" s="14" t="str">
        <f t="shared" si="194"/>
        <v>27-11-2023</v>
      </c>
      <c r="N1551" s="14">
        <f t="shared" si="195"/>
        <v>0.15820238793654376</v>
      </c>
      <c r="O1551" s="20">
        <f t="shared" si="196"/>
        <v>2.5121191992789975</v>
      </c>
      <c r="P1551" s="14">
        <f t="shared" si="197"/>
        <v>451.32495202153075</v>
      </c>
      <c r="Q1551" s="14">
        <f t="shared" si="198"/>
        <v>361.74608747478771</v>
      </c>
      <c r="R1551" s="14" t="str">
        <f t="shared" si="199"/>
        <v>Nov</v>
      </c>
    </row>
    <row r="1552" spans="1:18" x14ac:dyDescent="0.3">
      <c r="A1552" t="s">
        <v>3160</v>
      </c>
      <c r="B1552" s="1">
        <v>45702</v>
      </c>
      <c r="C1552" t="s">
        <v>470</v>
      </c>
      <c r="D1552" t="s">
        <v>1371</v>
      </c>
      <c r="E1552" t="s">
        <v>1595</v>
      </c>
      <c r="F1552">
        <v>2.5065117630795801</v>
      </c>
      <c r="G1552" s="14">
        <v>462.89395974244599</v>
      </c>
      <c r="H1552" s="17">
        <v>0.156691065159766</v>
      </c>
      <c r="I1552" t="s">
        <v>1614</v>
      </c>
      <c r="J1552" s="14">
        <v>981.26745982220405</v>
      </c>
      <c r="K1552" s="14">
        <f t="shared" si="192"/>
        <v>149910.84718454492</v>
      </c>
      <c r="L1552" s="14">
        <f t="shared" si="193"/>
        <v>157</v>
      </c>
      <c r="M1552" s="14" t="str">
        <f t="shared" si="194"/>
        <v>14-02-2025</v>
      </c>
      <c r="N1552" s="14">
        <f t="shared" si="195"/>
        <v>0.15820576897183855</v>
      </c>
      <c r="O1552" s="20">
        <f t="shared" si="196"/>
        <v>2.5121317438789958</v>
      </c>
      <c r="P1552" s="14">
        <f t="shared" si="197"/>
        <v>451.29907057249062</v>
      </c>
      <c r="Q1552" s="14">
        <f t="shared" si="198"/>
        <v>361.70615559822232</v>
      </c>
      <c r="R1552" s="14" t="str">
        <f t="shared" si="199"/>
        <v>Feb</v>
      </c>
    </row>
    <row r="1553" spans="1:18" x14ac:dyDescent="0.3">
      <c r="A1553" t="s">
        <v>3161</v>
      </c>
      <c r="B1553" s="1">
        <v>45318</v>
      </c>
      <c r="C1553" t="s">
        <v>218</v>
      </c>
      <c r="D1553" t="s">
        <v>1397</v>
      </c>
      <c r="E1553" t="s">
        <v>1579</v>
      </c>
      <c r="F1553">
        <v>2.5065368522795799</v>
      </c>
      <c r="G1553" s="14">
        <v>462.84219684436601</v>
      </c>
      <c r="H1553" s="17">
        <v>0.156697827230356</v>
      </c>
      <c r="I1553" t="s">
        <v>1609</v>
      </c>
      <c r="J1553" s="14">
        <v>981.15946336275204</v>
      </c>
      <c r="K1553" s="14">
        <f t="shared" si="192"/>
        <v>149910.84718454492</v>
      </c>
      <c r="L1553" s="14">
        <f t="shared" si="193"/>
        <v>157</v>
      </c>
      <c r="M1553" s="14" t="str">
        <f t="shared" si="194"/>
        <v>27-01-2024</v>
      </c>
      <c r="N1553" s="14">
        <f t="shared" si="195"/>
        <v>0.1582091500071334</v>
      </c>
      <c r="O1553" s="20">
        <f t="shared" si="196"/>
        <v>2.5121442884789955</v>
      </c>
      <c r="P1553" s="14">
        <f t="shared" si="197"/>
        <v>451.27318912345055</v>
      </c>
      <c r="Q1553" s="14">
        <f t="shared" si="198"/>
        <v>361.66622372165699</v>
      </c>
      <c r="R1553" s="14" t="str">
        <f t="shared" si="199"/>
        <v>Jan</v>
      </c>
    </row>
    <row r="1554" spans="1:18" x14ac:dyDescent="0.3">
      <c r="A1554" t="s">
        <v>3162</v>
      </c>
      <c r="B1554" s="1">
        <v>45943</v>
      </c>
      <c r="C1554" t="s">
        <v>1209</v>
      </c>
      <c r="D1554" t="s">
        <v>1517</v>
      </c>
      <c r="E1554" t="s">
        <v>1592</v>
      </c>
      <c r="F1554">
        <v>2.5065619414795801</v>
      </c>
      <c r="G1554" s="14">
        <v>462.79043394628599</v>
      </c>
      <c r="H1554" s="17">
        <v>0.156704589300945</v>
      </c>
      <c r="I1554" t="s">
        <v>1609</v>
      </c>
      <c r="J1554" s="14">
        <v>981.05146690330105</v>
      </c>
      <c r="K1554" s="14">
        <f t="shared" si="192"/>
        <v>148929.68772118218</v>
      </c>
      <c r="L1554" s="14">
        <f t="shared" si="193"/>
        <v>156</v>
      </c>
      <c r="M1554" s="14" t="str">
        <f t="shared" si="194"/>
        <v>13-10-2025</v>
      </c>
      <c r="N1554" s="14">
        <f t="shared" si="195"/>
        <v>0.15821253104242816</v>
      </c>
      <c r="O1554" s="20">
        <f t="shared" si="196"/>
        <v>2.5121568330789938</v>
      </c>
      <c r="P1554" s="14">
        <f t="shared" si="197"/>
        <v>451.24730767441065</v>
      </c>
      <c r="Q1554" s="14">
        <f t="shared" si="198"/>
        <v>361.62629184509188</v>
      </c>
      <c r="R1554" s="14" t="str">
        <f t="shared" si="199"/>
        <v>Oct</v>
      </c>
    </row>
    <row r="1555" spans="1:18" x14ac:dyDescent="0.3">
      <c r="A1555" t="s">
        <v>3163</v>
      </c>
      <c r="B1555" s="1">
        <v>45769</v>
      </c>
      <c r="C1555" t="s">
        <v>205</v>
      </c>
      <c r="D1555" t="s">
        <v>1389</v>
      </c>
      <c r="E1555" t="s">
        <v>1582</v>
      </c>
      <c r="F1555">
        <v>2.5065870306795701</v>
      </c>
      <c r="G1555" s="14">
        <v>462.73867104820602</v>
      </c>
      <c r="H1555" s="17">
        <v>0.156711351371535</v>
      </c>
      <c r="I1555" t="s">
        <v>1614</v>
      </c>
      <c r="J1555" s="14">
        <v>980.94347044384904</v>
      </c>
      <c r="K1555" s="14">
        <f t="shared" si="192"/>
        <v>147948.63625427886</v>
      </c>
      <c r="L1555" s="14">
        <f t="shared" si="193"/>
        <v>155</v>
      </c>
      <c r="M1555" s="14" t="str">
        <f t="shared" si="194"/>
        <v>22-04-2025</v>
      </c>
      <c r="N1555" s="14">
        <f t="shared" si="195"/>
        <v>0.15821591207772295</v>
      </c>
      <c r="O1555" s="20">
        <f t="shared" si="196"/>
        <v>2.5121693776789922</v>
      </c>
      <c r="P1555" s="14">
        <f t="shared" si="197"/>
        <v>451.22142622537041</v>
      </c>
      <c r="Q1555" s="14">
        <f t="shared" si="198"/>
        <v>361.58635996852655</v>
      </c>
      <c r="R1555" s="14" t="str">
        <f t="shared" si="199"/>
        <v>Apr</v>
      </c>
    </row>
    <row r="1556" spans="1:18" x14ac:dyDescent="0.3">
      <c r="A1556" t="s">
        <v>3164</v>
      </c>
      <c r="B1556" s="1">
        <v>45765</v>
      </c>
      <c r="C1556" t="s">
        <v>651</v>
      </c>
      <c r="D1556" t="s">
        <v>1531</v>
      </c>
      <c r="E1556" t="s">
        <v>1546</v>
      </c>
      <c r="F1556">
        <v>2.5066121198795699</v>
      </c>
      <c r="G1556" s="14">
        <v>462.68690815012599</v>
      </c>
      <c r="H1556" s="17">
        <v>0.156718113442124</v>
      </c>
      <c r="I1556" t="s">
        <v>1614</v>
      </c>
      <c r="J1556" s="14">
        <v>980.83547398439703</v>
      </c>
      <c r="K1556" s="14">
        <f t="shared" si="192"/>
        <v>147948.63625427886</v>
      </c>
      <c r="L1556" s="14">
        <f t="shared" si="193"/>
        <v>155</v>
      </c>
      <c r="M1556" s="14" t="str">
        <f t="shared" si="194"/>
        <v>18-04-2025</v>
      </c>
      <c r="N1556" s="14">
        <f t="shared" si="195"/>
        <v>0.15821929311301783</v>
      </c>
      <c r="O1556" s="20">
        <f t="shared" si="196"/>
        <v>2.512181922278991</v>
      </c>
      <c r="P1556" s="14">
        <f t="shared" si="197"/>
        <v>451.19554477633034</v>
      </c>
      <c r="Q1556" s="14">
        <f t="shared" si="198"/>
        <v>361.54642809196116</v>
      </c>
      <c r="R1556" s="14" t="str">
        <f t="shared" si="199"/>
        <v>Apr</v>
      </c>
    </row>
    <row r="1557" spans="1:18" x14ac:dyDescent="0.3">
      <c r="A1557" t="s">
        <v>3165</v>
      </c>
      <c r="B1557" s="1">
        <v>45891</v>
      </c>
      <c r="C1557" t="s">
        <v>574</v>
      </c>
      <c r="D1557" t="s">
        <v>1373</v>
      </c>
      <c r="E1557" t="s">
        <v>1564</v>
      </c>
      <c r="F1557">
        <v>2.5066372090795701</v>
      </c>
      <c r="G1557" s="14">
        <v>462.63514525204602</v>
      </c>
      <c r="H1557" s="17">
        <v>0.156724875512714</v>
      </c>
      <c r="I1557" t="s">
        <v>1614</v>
      </c>
      <c r="J1557" s="14">
        <v>980.72747752494502</v>
      </c>
      <c r="K1557" s="14">
        <f t="shared" si="192"/>
        <v>147948.63625427886</v>
      </c>
      <c r="L1557" s="14">
        <f t="shared" si="193"/>
        <v>155</v>
      </c>
      <c r="M1557" s="14" t="str">
        <f t="shared" si="194"/>
        <v>22-08-2025</v>
      </c>
      <c r="N1557" s="14">
        <f t="shared" si="195"/>
        <v>0.15822267414831259</v>
      </c>
      <c r="O1557" s="20">
        <f t="shared" si="196"/>
        <v>2.5121944668789902</v>
      </c>
      <c r="P1557" s="14">
        <f t="shared" si="197"/>
        <v>451.16966332729032</v>
      </c>
      <c r="Q1557" s="14">
        <f t="shared" si="198"/>
        <v>361.50649621539583</v>
      </c>
      <c r="R1557" s="14" t="str">
        <f t="shared" si="199"/>
        <v>Aug</v>
      </c>
    </row>
    <row r="1558" spans="1:18" x14ac:dyDescent="0.3">
      <c r="A1558" t="s">
        <v>3166</v>
      </c>
      <c r="B1558" s="1">
        <v>45842</v>
      </c>
      <c r="C1558" t="s">
        <v>660</v>
      </c>
      <c r="D1558" t="s">
        <v>1489</v>
      </c>
      <c r="E1558" t="s">
        <v>1567</v>
      </c>
      <c r="F1558">
        <v>2.5066622982795699</v>
      </c>
      <c r="G1558" s="14">
        <v>462.58338235396502</v>
      </c>
      <c r="H1558" s="17">
        <v>0.156731637583304</v>
      </c>
      <c r="I1558" t="s">
        <v>1614</v>
      </c>
      <c r="J1558" s="14">
        <v>980.61948106549403</v>
      </c>
      <c r="K1558" s="14">
        <f t="shared" si="192"/>
        <v>147948.63625427886</v>
      </c>
      <c r="L1558" s="14">
        <f t="shared" si="193"/>
        <v>155</v>
      </c>
      <c r="M1558" s="14" t="str">
        <f t="shared" si="194"/>
        <v>04-07-2025</v>
      </c>
      <c r="N1558" s="14">
        <f t="shared" si="195"/>
        <v>0.15822605518360741</v>
      </c>
      <c r="O1558" s="20">
        <f t="shared" si="196"/>
        <v>2.5122070114789889</v>
      </c>
      <c r="P1558" s="14">
        <f t="shared" si="197"/>
        <v>451.14378187825025</v>
      </c>
      <c r="Q1558" s="14">
        <f t="shared" si="198"/>
        <v>361.46656433883049</v>
      </c>
      <c r="R1558" s="14" t="str">
        <f t="shared" si="199"/>
        <v>Jul</v>
      </c>
    </row>
    <row r="1559" spans="1:18" x14ac:dyDescent="0.3">
      <c r="A1559" t="s">
        <v>3167</v>
      </c>
      <c r="B1559" s="1">
        <v>45382</v>
      </c>
      <c r="C1559" t="s">
        <v>884</v>
      </c>
      <c r="D1559" t="s">
        <v>1461</v>
      </c>
      <c r="E1559" t="s">
        <v>1546</v>
      </c>
      <c r="F1559">
        <v>2.5066873874795599</v>
      </c>
      <c r="G1559" s="14">
        <v>462.53161945588499</v>
      </c>
      <c r="H1559" s="17">
        <v>0.156738399653893</v>
      </c>
      <c r="I1559" t="s">
        <v>1611</v>
      </c>
      <c r="J1559" s="14">
        <v>980.51148460604202</v>
      </c>
      <c r="K1559" s="14">
        <f t="shared" si="192"/>
        <v>147948.63625427886</v>
      </c>
      <c r="L1559" s="14">
        <f t="shared" si="193"/>
        <v>155</v>
      </c>
      <c r="M1559" s="14" t="str">
        <f t="shared" si="194"/>
        <v>31-03-2024</v>
      </c>
      <c r="N1559" s="14">
        <f t="shared" si="195"/>
        <v>0.1582294362189022</v>
      </c>
      <c r="O1559" s="20">
        <f t="shared" si="196"/>
        <v>2.5122195560789873</v>
      </c>
      <c r="P1559" s="14">
        <f t="shared" si="197"/>
        <v>451.11790042921018</v>
      </c>
      <c r="Q1559" s="14">
        <f t="shared" si="198"/>
        <v>361.4266324622651</v>
      </c>
      <c r="R1559" s="14" t="str">
        <f t="shared" si="199"/>
        <v>Mar</v>
      </c>
    </row>
    <row r="1560" spans="1:18" x14ac:dyDescent="0.3">
      <c r="A1560" t="s">
        <v>3168</v>
      </c>
      <c r="B1560" s="1">
        <v>45236</v>
      </c>
      <c r="C1560" t="s">
        <v>788</v>
      </c>
      <c r="D1560" t="s">
        <v>1411</v>
      </c>
      <c r="E1560" t="s">
        <v>1567</v>
      </c>
      <c r="F1560">
        <v>2.5067124766795601</v>
      </c>
      <c r="G1560" s="14">
        <v>462.47985655780502</v>
      </c>
      <c r="H1560" s="17">
        <v>0.156745161724483</v>
      </c>
      <c r="I1560" t="s">
        <v>1614</v>
      </c>
      <c r="J1560" s="14">
        <v>980.40348814659001</v>
      </c>
      <c r="K1560" s="14">
        <f t="shared" si="192"/>
        <v>147948.63625427886</v>
      </c>
      <c r="L1560" s="14">
        <f t="shared" si="193"/>
        <v>155</v>
      </c>
      <c r="M1560" s="14" t="str">
        <f t="shared" si="194"/>
        <v>06-11-2023</v>
      </c>
      <c r="N1560" s="14">
        <f t="shared" si="195"/>
        <v>0.15823281725419699</v>
      </c>
      <c r="O1560" s="20">
        <f t="shared" si="196"/>
        <v>2.5122321006789861</v>
      </c>
      <c r="P1560" s="14">
        <f t="shared" si="197"/>
        <v>451.09201898017005</v>
      </c>
      <c r="Q1560" s="14">
        <f t="shared" si="198"/>
        <v>361.38670058569977</v>
      </c>
      <c r="R1560" s="14" t="str">
        <f t="shared" si="199"/>
        <v>Nov</v>
      </c>
    </row>
    <row r="1561" spans="1:18" x14ac:dyDescent="0.3">
      <c r="A1561" t="s">
        <v>3169</v>
      </c>
      <c r="B1561" s="1">
        <v>45806</v>
      </c>
      <c r="C1561" t="s">
        <v>1065</v>
      </c>
      <c r="D1561" t="s">
        <v>1350</v>
      </c>
      <c r="E1561" t="s">
        <v>1546</v>
      </c>
      <c r="F1561">
        <v>2.5067375658795599</v>
      </c>
      <c r="G1561" s="14">
        <v>462.42809365972499</v>
      </c>
      <c r="H1561" s="17">
        <v>0.15675192379507299</v>
      </c>
      <c r="I1561" t="s">
        <v>1611</v>
      </c>
      <c r="J1561" s="14">
        <v>980.29549168713902</v>
      </c>
      <c r="K1561" s="14">
        <f t="shared" si="192"/>
        <v>147948.63625427886</v>
      </c>
      <c r="L1561" s="14">
        <f t="shared" si="193"/>
        <v>155</v>
      </c>
      <c r="M1561" s="14" t="str">
        <f t="shared" si="194"/>
        <v>29-05-2025</v>
      </c>
      <c r="N1561" s="14">
        <f t="shared" si="195"/>
        <v>0.15823619828949181</v>
      </c>
      <c r="O1561" s="20">
        <f t="shared" si="196"/>
        <v>2.5122446452789848</v>
      </c>
      <c r="P1561" s="14">
        <f t="shared" si="197"/>
        <v>451.06613753112998</v>
      </c>
      <c r="Q1561" s="14">
        <f t="shared" si="198"/>
        <v>361.34676870913466</v>
      </c>
      <c r="R1561" s="14" t="str">
        <f t="shared" si="199"/>
        <v>May</v>
      </c>
    </row>
    <row r="1562" spans="1:18" x14ac:dyDescent="0.3">
      <c r="A1562" t="s">
        <v>3170</v>
      </c>
      <c r="B1562" s="1">
        <v>45401</v>
      </c>
      <c r="C1562" t="s">
        <v>815</v>
      </c>
      <c r="D1562" t="s">
        <v>1517</v>
      </c>
      <c r="E1562" t="s">
        <v>1561</v>
      </c>
      <c r="F1562">
        <v>2.5067626550795601</v>
      </c>
      <c r="G1562" s="14">
        <v>462.37633076164502</v>
      </c>
      <c r="H1562" s="17">
        <v>0.156758685865662</v>
      </c>
      <c r="I1562" t="s">
        <v>1609</v>
      </c>
      <c r="J1562" s="14">
        <v>980.18749522768701</v>
      </c>
      <c r="K1562" s="14">
        <f t="shared" si="192"/>
        <v>147948.63625427886</v>
      </c>
      <c r="L1562" s="14">
        <f t="shared" si="193"/>
        <v>155</v>
      </c>
      <c r="M1562" s="14" t="str">
        <f t="shared" si="194"/>
        <v>19-04-2024</v>
      </c>
      <c r="N1562" s="14">
        <f t="shared" si="195"/>
        <v>0.15823957932478663</v>
      </c>
      <c r="O1562" s="20">
        <f t="shared" si="196"/>
        <v>2.5122571898789836</v>
      </c>
      <c r="P1562" s="14">
        <f t="shared" si="197"/>
        <v>451.04025608208991</v>
      </c>
      <c r="Q1562" s="14">
        <f t="shared" si="198"/>
        <v>361.30683683256933</v>
      </c>
      <c r="R1562" s="14" t="str">
        <f t="shared" si="199"/>
        <v>Apr</v>
      </c>
    </row>
    <row r="1563" spans="1:18" x14ac:dyDescent="0.3">
      <c r="A1563" t="s">
        <v>3171</v>
      </c>
      <c r="B1563" s="1">
        <v>45716</v>
      </c>
      <c r="C1563" t="s">
        <v>369</v>
      </c>
      <c r="D1563" t="s">
        <v>1445</v>
      </c>
      <c r="E1563" t="s">
        <v>1542</v>
      </c>
      <c r="F1563">
        <v>2.5067877442795501</v>
      </c>
      <c r="G1563" s="14">
        <v>462.32456786356499</v>
      </c>
      <c r="H1563" s="17">
        <v>0.15676544793625199</v>
      </c>
      <c r="I1563" t="s">
        <v>1609</v>
      </c>
      <c r="J1563" s="14">
        <v>980.079498768235</v>
      </c>
      <c r="K1563" s="14">
        <f t="shared" si="192"/>
        <v>146968.44875905119</v>
      </c>
      <c r="L1563" s="14">
        <f t="shared" si="193"/>
        <v>154</v>
      </c>
      <c r="M1563" s="14" t="str">
        <f t="shared" si="194"/>
        <v>28-02-2025</v>
      </c>
      <c r="N1563" s="14">
        <f t="shared" si="195"/>
        <v>0.15824296036008148</v>
      </c>
      <c r="O1563" s="20">
        <f t="shared" si="196"/>
        <v>2.5122697344789819</v>
      </c>
      <c r="P1563" s="14">
        <f t="shared" si="197"/>
        <v>451.0143746330499</v>
      </c>
      <c r="Q1563" s="14">
        <f t="shared" si="198"/>
        <v>361.26690495600394</v>
      </c>
      <c r="R1563" s="14" t="str">
        <f t="shared" si="199"/>
        <v>Feb</v>
      </c>
    </row>
    <row r="1564" spans="1:18" x14ac:dyDescent="0.3">
      <c r="A1564" t="s">
        <v>3172</v>
      </c>
      <c r="B1564" s="1">
        <v>45718</v>
      </c>
      <c r="C1564" t="s">
        <v>1181</v>
      </c>
      <c r="D1564" t="s">
        <v>1342</v>
      </c>
      <c r="E1564" t="s">
        <v>1574</v>
      </c>
      <c r="F1564">
        <v>2.5068128334795499</v>
      </c>
      <c r="G1564" s="14">
        <v>462.272804965484</v>
      </c>
      <c r="H1564" s="17">
        <v>0.156772210006841</v>
      </c>
      <c r="I1564" t="s">
        <v>1609</v>
      </c>
      <c r="J1564" s="14">
        <v>979.97150230878299</v>
      </c>
      <c r="K1564" s="14">
        <f t="shared" si="192"/>
        <v>145988.36926028295</v>
      </c>
      <c r="L1564" s="14">
        <f t="shared" si="193"/>
        <v>153</v>
      </c>
      <c r="M1564" s="14" t="str">
        <f t="shared" si="194"/>
        <v>02-03-2025</v>
      </c>
      <c r="N1564" s="14">
        <f t="shared" si="195"/>
        <v>0.15824634139537624</v>
      </c>
      <c r="O1564" s="20">
        <f t="shared" si="196"/>
        <v>2.5122822790789807</v>
      </c>
      <c r="P1564" s="14">
        <f t="shared" si="197"/>
        <v>450.98849318400971</v>
      </c>
      <c r="Q1564" s="14">
        <f t="shared" si="198"/>
        <v>361.22697307943838</v>
      </c>
      <c r="R1564" s="14" t="str">
        <f t="shared" si="199"/>
        <v>Mar</v>
      </c>
    </row>
    <row r="1565" spans="1:18" x14ac:dyDescent="0.3">
      <c r="A1565" t="s">
        <v>3173</v>
      </c>
      <c r="B1565" s="1">
        <v>45379</v>
      </c>
      <c r="C1565" t="s">
        <v>929</v>
      </c>
      <c r="D1565" t="s">
        <v>1495</v>
      </c>
      <c r="E1565" t="s">
        <v>1564</v>
      </c>
      <c r="F1565">
        <v>2.5068379226795501</v>
      </c>
      <c r="G1565" s="14">
        <v>462.22104206740403</v>
      </c>
      <c r="H1565" s="17">
        <v>0.15677897207743099</v>
      </c>
      <c r="I1565" t="s">
        <v>1611</v>
      </c>
      <c r="J1565" s="14">
        <v>979.863505849332</v>
      </c>
      <c r="K1565" s="14">
        <f t="shared" si="192"/>
        <v>145008.39775797416</v>
      </c>
      <c r="L1565" s="14">
        <f t="shared" si="193"/>
        <v>152</v>
      </c>
      <c r="M1565" s="14" t="str">
        <f t="shared" si="194"/>
        <v>28-03-2024</v>
      </c>
      <c r="N1565" s="14">
        <f t="shared" si="195"/>
        <v>0.15824972243067106</v>
      </c>
      <c r="O1565" s="20">
        <f t="shared" si="196"/>
        <v>2.512294823678979</v>
      </c>
      <c r="P1565" s="14">
        <f t="shared" si="197"/>
        <v>450.9626117349697</v>
      </c>
      <c r="Q1565" s="14">
        <f t="shared" si="198"/>
        <v>361.18704120287327</v>
      </c>
      <c r="R1565" s="14" t="str">
        <f t="shared" si="199"/>
        <v>Mar</v>
      </c>
    </row>
    <row r="1566" spans="1:18" x14ac:dyDescent="0.3">
      <c r="A1566" t="s">
        <v>3174</v>
      </c>
      <c r="B1566" s="1">
        <v>45635</v>
      </c>
      <c r="C1566" t="s">
        <v>1284</v>
      </c>
      <c r="D1566" t="s">
        <v>1361</v>
      </c>
      <c r="E1566" t="s">
        <v>1584</v>
      </c>
      <c r="F1566">
        <v>2.5068630118795499</v>
      </c>
      <c r="G1566" s="14">
        <v>462.169279169324</v>
      </c>
      <c r="H1566" s="17">
        <v>0.15678573414802</v>
      </c>
      <c r="I1566" t="s">
        <v>1614</v>
      </c>
      <c r="J1566" s="14">
        <v>979.75550938987999</v>
      </c>
      <c r="K1566" s="14">
        <f t="shared" si="192"/>
        <v>145008.39775797416</v>
      </c>
      <c r="L1566" s="14">
        <f t="shared" si="193"/>
        <v>152</v>
      </c>
      <c r="M1566" s="14" t="str">
        <f t="shared" si="194"/>
        <v>09-12-2024</v>
      </c>
      <c r="N1566" s="14">
        <f t="shared" si="195"/>
        <v>0.15825310346596588</v>
      </c>
      <c r="O1566" s="20">
        <f t="shared" si="196"/>
        <v>2.5123073682789778</v>
      </c>
      <c r="P1566" s="14">
        <f t="shared" si="197"/>
        <v>450.93673028592963</v>
      </c>
      <c r="Q1566" s="14">
        <f t="shared" si="198"/>
        <v>361.14710932630788</v>
      </c>
      <c r="R1566" s="14" t="str">
        <f t="shared" si="199"/>
        <v>Dec</v>
      </c>
    </row>
    <row r="1567" spans="1:18" x14ac:dyDescent="0.3">
      <c r="A1567" t="s">
        <v>3175</v>
      </c>
      <c r="B1567" s="1">
        <v>45222</v>
      </c>
      <c r="C1567" t="s">
        <v>702</v>
      </c>
      <c r="D1567" t="s">
        <v>1477</v>
      </c>
      <c r="E1567" t="s">
        <v>1537</v>
      </c>
      <c r="F1567">
        <v>2.5068881010795399</v>
      </c>
      <c r="G1567" s="14">
        <v>462.11751627124403</v>
      </c>
      <c r="H1567" s="17">
        <v>0.15679249621860999</v>
      </c>
      <c r="I1567" t="s">
        <v>1611</v>
      </c>
      <c r="J1567" s="14">
        <v>979.64751293042798</v>
      </c>
      <c r="K1567" s="14">
        <f t="shared" si="192"/>
        <v>145008.39775797416</v>
      </c>
      <c r="L1567" s="14">
        <f t="shared" si="193"/>
        <v>152</v>
      </c>
      <c r="M1567" s="14" t="str">
        <f t="shared" si="194"/>
        <v>23-10-2023</v>
      </c>
      <c r="N1567" s="14">
        <f t="shared" si="195"/>
        <v>0.15825648450126065</v>
      </c>
      <c r="O1567" s="20">
        <f t="shared" si="196"/>
        <v>2.5123199128789762</v>
      </c>
      <c r="P1567" s="14">
        <f t="shared" si="197"/>
        <v>450.91084883688956</v>
      </c>
      <c r="Q1567" s="14">
        <f t="shared" si="198"/>
        <v>361.10717744974255</v>
      </c>
      <c r="R1567" s="14" t="str">
        <f t="shared" si="199"/>
        <v>Oct</v>
      </c>
    </row>
    <row r="1568" spans="1:18" x14ac:dyDescent="0.3">
      <c r="A1568" t="s">
        <v>3176</v>
      </c>
      <c r="B1568" s="1">
        <v>45555</v>
      </c>
      <c r="C1568" t="s">
        <v>121</v>
      </c>
      <c r="D1568" t="s">
        <v>1387</v>
      </c>
      <c r="E1568" t="s">
        <v>1567</v>
      </c>
      <c r="F1568">
        <v>2.5069131902795401</v>
      </c>
      <c r="G1568" s="14">
        <v>462.065753373164</v>
      </c>
      <c r="H1568" s="17">
        <v>0.15679925828919999</v>
      </c>
      <c r="I1568" t="s">
        <v>1611</v>
      </c>
      <c r="J1568" s="14">
        <v>979.53951647097597</v>
      </c>
      <c r="K1568" s="14">
        <f t="shared" si="192"/>
        <v>145008.39775797416</v>
      </c>
      <c r="L1568" s="14">
        <f t="shared" si="193"/>
        <v>152</v>
      </c>
      <c r="M1568" s="14" t="str">
        <f t="shared" si="194"/>
        <v>20-09-2024</v>
      </c>
      <c r="N1568" s="14">
        <f t="shared" si="195"/>
        <v>0.15825986553655547</v>
      </c>
      <c r="O1568" s="20">
        <f t="shared" si="196"/>
        <v>2.5123324574789749</v>
      </c>
      <c r="P1568" s="14">
        <f t="shared" si="197"/>
        <v>450.88496738784954</v>
      </c>
      <c r="Q1568" s="14">
        <f t="shared" si="198"/>
        <v>361.06724557317716</v>
      </c>
      <c r="R1568" s="14" t="str">
        <f t="shared" si="199"/>
        <v>Sep</v>
      </c>
    </row>
    <row r="1569" spans="1:18" x14ac:dyDescent="0.3">
      <c r="A1569" t="s">
        <v>3177</v>
      </c>
      <c r="B1569" s="1">
        <v>45583</v>
      </c>
      <c r="C1569" t="s">
        <v>1251</v>
      </c>
      <c r="D1569" t="s">
        <v>1507</v>
      </c>
      <c r="E1569" t="s">
        <v>1582</v>
      </c>
      <c r="F1569">
        <v>2.5069382794795398</v>
      </c>
      <c r="G1569" s="14">
        <v>462.01399047508397</v>
      </c>
      <c r="H1569" s="17">
        <v>0.15680602035978899</v>
      </c>
      <c r="I1569" t="s">
        <v>1614</v>
      </c>
      <c r="J1569" s="14">
        <v>979.43152001152498</v>
      </c>
      <c r="K1569" s="14">
        <f t="shared" si="192"/>
        <v>145008.39775797416</v>
      </c>
      <c r="L1569" s="14">
        <f t="shared" si="193"/>
        <v>152</v>
      </c>
      <c r="M1569" s="14" t="str">
        <f t="shared" si="194"/>
        <v>18-10-2024</v>
      </c>
      <c r="N1569" s="14">
        <f t="shared" si="195"/>
        <v>0.15826324657185026</v>
      </c>
      <c r="O1569" s="20">
        <f t="shared" si="196"/>
        <v>2.5123450020789733</v>
      </c>
      <c r="P1569" s="14">
        <f t="shared" si="197"/>
        <v>450.85908593880947</v>
      </c>
      <c r="Q1569" s="14">
        <f t="shared" si="198"/>
        <v>361.02731369661205</v>
      </c>
      <c r="R1569" s="14" t="str">
        <f t="shared" si="199"/>
        <v>Oct</v>
      </c>
    </row>
    <row r="1570" spans="1:18" x14ac:dyDescent="0.3">
      <c r="A1570" t="s">
        <v>3178</v>
      </c>
      <c r="B1570" s="1">
        <v>45662</v>
      </c>
      <c r="C1570" t="s">
        <v>999</v>
      </c>
      <c r="D1570" t="s">
        <v>1353</v>
      </c>
      <c r="E1570" t="s">
        <v>1584</v>
      </c>
      <c r="F1570">
        <v>2.5069633686795401</v>
      </c>
      <c r="G1570" s="14">
        <v>461.96222757700298</v>
      </c>
      <c r="H1570" s="17">
        <v>0.15681278243037899</v>
      </c>
      <c r="I1570" t="s">
        <v>1611</v>
      </c>
      <c r="J1570" s="14">
        <v>979.32352355207297</v>
      </c>
      <c r="K1570" s="14">
        <f t="shared" si="192"/>
        <v>145008.39775797416</v>
      </c>
      <c r="L1570" s="14">
        <f t="shared" si="193"/>
        <v>152</v>
      </c>
      <c r="M1570" s="14" t="str">
        <f t="shared" si="194"/>
        <v>05-01-2025</v>
      </c>
      <c r="N1570" s="14">
        <f t="shared" si="195"/>
        <v>0.15826662760714508</v>
      </c>
      <c r="O1570" s="20">
        <f t="shared" si="196"/>
        <v>2.512357546678972</v>
      </c>
      <c r="P1570" s="14">
        <f t="shared" si="197"/>
        <v>450.8332044897694</v>
      </c>
      <c r="Q1570" s="14">
        <f t="shared" si="198"/>
        <v>360.98738182004649</v>
      </c>
      <c r="R1570" s="14" t="str">
        <f t="shared" si="199"/>
        <v>Jan</v>
      </c>
    </row>
    <row r="1571" spans="1:18" x14ac:dyDescent="0.3">
      <c r="A1571" t="s">
        <v>3179</v>
      </c>
      <c r="B1571" s="1">
        <v>45921</v>
      </c>
      <c r="C1571" t="s">
        <v>1291</v>
      </c>
      <c r="D1571" t="s">
        <v>1363</v>
      </c>
      <c r="E1571" t="s">
        <v>1542</v>
      </c>
      <c r="F1571">
        <v>2.5069884578795301</v>
      </c>
      <c r="G1571" s="14">
        <v>461.91046467892301</v>
      </c>
      <c r="H1571" s="17">
        <v>0.15681954450096899</v>
      </c>
      <c r="I1571" t="s">
        <v>1611</v>
      </c>
      <c r="J1571" s="14">
        <v>979.21552709262096</v>
      </c>
      <c r="K1571" s="14">
        <f t="shared" si="192"/>
        <v>145008.39775797416</v>
      </c>
      <c r="L1571" s="14">
        <f t="shared" si="193"/>
        <v>152</v>
      </c>
      <c r="M1571" s="14" t="str">
        <f t="shared" si="194"/>
        <v>21-09-2025</v>
      </c>
      <c r="N1571" s="14">
        <f t="shared" si="195"/>
        <v>0.1582700086424399</v>
      </c>
      <c r="O1571" s="20">
        <f t="shared" si="196"/>
        <v>2.5123700912789704</v>
      </c>
      <c r="P1571" s="14">
        <f t="shared" si="197"/>
        <v>450.80732304072927</v>
      </c>
      <c r="Q1571" s="14">
        <f t="shared" si="198"/>
        <v>360.9474499434811</v>
      </c>
      <c r="R1571" s="14" t="str">
        <f t="shared" si="199"/>
        <v>Sep</v>
      </c>
    </row>
    <row r="1572" spans="1:18" x14ac:dyDescent="0.3">
      <c r="A1572" t="s">
        <v>3180</v>
      </c>
      <c r="B1572" s="1">
        <v>45490</v>
      </c>
      <c r="C1572" t="s">
        <v>693</v>
      </c>
      <c r="D1572" t="s">
        <v>1397</v>
      </c>
      <c r="E1572" t="s">
        <v>1592</v>
      </c>
      <c r="F1572">
        <v>2.5070135470795298</v>
      </c>
      <c r="G1572" s="14">
        <v>461.85870178084298</v>
      </c>
      <c r="H1572" s="17">
        <v>0.15682630657155799</v>
      </c>
      <c r="I1572" t="s">
        <v>1609</v>
      </c>
      <c r="J1572" s="14">
        <v>979.10753063316895</v>
      </c>
      <c r="K1572" s="14">
        <f t="shared" si="192"/>
        <v>145008.39775797416</v>
      </c>
      <c r="L1572" s="14">
        <f t="shared" si="193"/>
        <v>152</v>
      </c>
      <c r="M1572" s="14" t="str">
        <f t="shared" si="194"/>
        <v>17-07-2024</v>
      </c>
      <c r="N1572" s="14">
        <f t="shared" si="195"/>
        <v>0.15827338967773472</v>
      </c>
      <c r="O1572" s="20">
        <f t="shared" si="196"/>
        <v>2.5123826358789692</v>
      </c>
      <c r="P1572" s="14">
        <f t="shared" si="197"/>
        <v>450.7814415916892</v>
      </c>
      <c r="Q1572" s="14">
        <f t="shared" si="198"/>
        <v>360.90751806691571</v>
      </c>
      <c r="R1572" s="14" t="str">
        <f t="shared" si="199"/>
        <v>Jul</v>
      </c>
    </row>
    <row r="1573" spans="1:18" x14ac:dyDescent="0.3">
      <c r="A1573" t="s">
        <v>3181</v>
      </c>
      <c r="B1573" s="1">
        <v>45652</v>
      </c>
      <c r="C1573" t="s">
        <v>866</v>
      </c>
      <c r="D1573" t="s">
        <v>1401</v>
      </c>
      <c r="E1573" t="s">
        <v>1558</v>
      </c>
      <c r="F1573">
        <v>2.5070386362795301</v>
      </c>
      <c r="G1573" s="14">
        <v>461.80693888276301</v>
      </c>
      <c r="H1573" s="17">
        <v>0.15683306864214799</v>
      </c>
      <c r="I1573" t="s">
        <v>1609</v>
      </c>
      <c r="J1573" s="14">
        <v>978.99953417371796</v>
      </c>
      <c r="K1573" s="14">
        <f t="shared" si="192"/>
        <v>144029.290227341</v>
      </c>
      <c r="L1573" s="14">
        <f t="shared" si="193"/>
        <v>151</v>
      </c>
      <c r="M1573" s="14" t="str">
        <f t="shared" si="194"/>
        <v>26-12-2024</v>
      </c>
      <c r="N1573" s="14">
        <f t="shared" si="195"/>
        <v>0.15827677071302948</v>
      </c>
      <c r="O1573" s="20">
        <f t="shared" si="196"/>
        <v>2.5123951804789675</v>
      </c>
      <c r="P1573" s="14">
        <f t="shared" si="197"/>
        <v>450.75556014264913</v>
      </c>
      <c r="Q1573" s="14">
        <f t="shared" si="198"/>
        <v>360.86758619035066</v>
      </c>
      <c r="R1573" s="14" t="str">
        <f t="shared" si="199"/>
        <v>Dec</v>
      </c>
    </row>
    <row r="1574" spans="1:18" x14ac:dyDescent="0.3">
      <c r="A1574" t="s">
        <v>3182</v>
      </c>
      <c r="B1574" s="1">
        <v>45598</v>
      </c>
      <c r="C1574" t="s">
        <v>1302</v>
      </c>
      <c r="D1574" t="s">
        <v>1509</v>
      </c>
      <c r="E1574" t="s">
        <v>1586</v>
      </c>
      <c r="F1574">
        <v>2.5070637254795201</v>
      </c>
      <c r="G1574" s="14">
        <v>461.75517598468298</v>
      </c>
      <c r="H1574" s="17">
        <v>0.15683983071273699</v>
      </c>
      <c r="I1574" t="s">
        <v>1609</v>
      </c>
      <c r="J1574" s="14">
        <v>978.89153771426595</v>
      </c>
      <c r="K1574" s="14">
        <f t="shared" si="192"/>
        <v>143050.29069316731</v>
      </c>
      <c r="L1574" s="14">
        <f t="shared" si="193"/>
        <v>150</v>
      </c>
      <c r="M1574" s="14" t="str">
        <f t="shared" si="194"/>
        <v>02-11-2024</v>
      </c>
      <c r="N1574" s="14">
        <f t="shared" si="195"/>
        <v>0.1582801517483243</v>
      </c>
      <c r="O1574" s="20">
        <f t="shared" si="196"/>
        <v>2.5124077250789663</v>
      </c>
      <c r="P1574" s="14">
        <f t="shared" si="197"/>
        <v>450.729678693609</v>
      </c>
      <c r="Q1574" s="14">
        <f t="shared" si="198"/>
        <v>360.82765431378527</v>
      </c>
      <c r="R1574" s="14" t="str">
        <f t="shared" si="199"/>
        <v>Nov</v>
      </c>
    </row>
    <row r="1575" spans="1:18" x14ac:dyDescent="0.3">
      <c r="A1575" t="s">
        <v>3183</v>
      </c>
      <c r="B1575" s="1">
        <v>45772</v>
      </c>
      <c r="C1575" t="s">
        <v>1246</v>
      </c>
      <c r="D1575" t="s">
        <v>1483</v>
      </c>
      <c r="E1575" t="s">
        <v>1574</v>
      </c>
      <c r="F1575">
        <v>2.5070888146795198</v>
      </c>
      <c r="G1575" s="14">
        <v>461.70341308660301</v>
      </c>
      <c r="H1575" s="17">
        <v>0.15684659278332699</v>
      </c>
      <c r="I1575" t="s">
        <v>1609</v>
      </c>
      <c r="J1575" s="14">
        <v>978.78354125481405</v>
      </c>
      <c r="K1575" s="14">
        <f t="shared" si="192"/>
        <v>142071.39915545302</v>
      </c>
      <c r="L1575" s="14">
        <f t="shared" si="193"/>
        <v>149</v>
      </c>
      <c r="M1575" s="14" t="str">
        <f t="shared" si="194"/>
        <v>25-04-2025</v>
      </c>
      <c r="N1575" s="14">
        <f t="shared" si="195"/>
        <v>0.15828353278361909</v>
      </c>
      <c r="O1575" s="20">
        <f t="shared" si="196"/>
        <v>2.5124202696789655</v>
      </c>
      <c r="P1575" s="14">
        <f t="shared" si="197"/>
        <v>450.70379724456899</v>
      </c>
      <c r="Q1575" s="14">
        <f t="shared" si="198"/>
        <v>360.78772243722</v>
      </c>
      <c r="R1575" s="14" t="str">
        <f t="shared" si="199"/>
        <v>Apr</v>
      </c>
    </row>
    <row r="1576" spans="1:18" x14ac:dyDescent="0.3">
      <c r="A1576" t="s">
        <v>3184</v>
      </c>
      <c r="B1576" s="1">
        <v>45338</v>
      </c>
      <c r="C1576" t="s">
        <v>1312</v>
      </c>
      <c r="D1576" t="s">
        <v>1350</v>
      </c>
      <c r="E1576" t="s">
        <v>1546</v>
      </c>
      <c r="F1576">
        <v>2.50711390387952</v>
      </c>
      <c r="G1576" s="14">
        <v>461.65165018852201</v>
      </c>
      <c r="H1576" s="17">
        <v>0.15685335485391699</v>
      </c>
      <c r="I1576" t="s">
        <v>1611</v>
      </c>
      <c r="J1576" s="14">
        <v>978.67554479536295</v>
      </c>
      <c r="K1576" s="14">
        <f t="shared" si="192"/>
        <v>141092.61561419821</v>
      </c>
      <c r="L1576" s="14">
        <f t="shared" si="193"/>
        <v>148</v>
      </c>
      <c r="M1576" s="14" t="str">
        <f t="shared" si="194"/>
        <v>16-02-2024</v>
      </c>
      <c r="N1576" s="14">
        <f t="shared" si="195"/>
        <v>0.15828691381891388</v>
      </c>
      <c r="O1576" s="20">
        <f t="shared" si="196"/>
        <v>2.5124328142789643</v>
      </c>
      <c r="P1576" s="14">
        <f t="shared" si="197"/>
        <v>450.67791579552892</v>
      </c>
      <c r="Q1576" s="14">
        <f t="shared" si="198"/>
        <v>360.74779056065461</v>
      </c>
      <c r="R1576" s="14" t="str">
        <f t="shared" si="199"/>
        <v>Feb</v>
      </c>
    </row>
    <row r="1577" spans="1:18" x14ac:dyDescent="0.3">
      <c r="A1577" t="s">
        <v>3185</v>
      </c>
      <c r="B1577" s="1">
        <v>45524</v>
      </c>
      <c r="C1577" t="s">
        <v>735</v>
      </c>
      <c r="D1577" t="s">
        <v>1357</v>
      </c>
      <c r="E1577" t="s">
        <v>1595</v>
      </c>
      <c r="F1577">
        <v>2.5071389930795198</v>
      </c>
      <c r="G1577" s="14">
        <v>461.59988729044198</v>
      </c>
      <c r="H1577" s="17">
        <v>0.15686011692450599</v>
      </c>
      <c r="I1577" t="s">
        <v>1611</v>
      </c>
      <c r="J1577" s="14">
        <v>978.56754833591106</v>
      </c>
      <c r="K1577" s="14">
        <f t="shared" si="192"/>
        <v>141092.61561419821</v>
      </c>
      <c r="L1577" s="14">
        <f t="shared" si="193"/>
        <v>148</v>
      </c>
      <c r="M1577" s="14" t="str">
        <f t="shared" si="194"/>
        <v>20-08-2024</v>
      </c>
      <c r="N1577" s="14">
        <f t="shared" si="195"/>
        <v>0.1582902948542087</v>
      </c>
      <c r="O1577" s="20">
        <f t="shared" si="196"/>
        <v>2.5124453588789621</v>
      </c>
      <c r="P1577" s="14">
        <f t="shared" si="197"/>
        <v>450.65203434648885</v>
      </c>
      <c r="Q1577" s="14">
        <f t="shared" si="198"/>
        <v>360.70785868408927</v>
      </c>
      <c r="R1577" s="14" t="str">
        <f t="shared" si="199"/>
        <v>Aug</v>
      </c>
    </row>
    <row r="1578" spans="1:18" x14ac:dyDescent="0.3">
      <c r="A1578" t="s">
        <v>3186</v>
      </c>
      <c r="B1578" s="1">
        <v>45497</v>
      </c>
      <c r="C1578" t="s">
        <v>487</v>
      </c>
      <c r="D1578" t="s">
        <v>1350</v>
      </c>
      <c r="E1578" t="s">
        <v>1574</v>
      </c>
      <c r="F1578">
        <v>2.5071640822795098</v>
      </c>
      <c r="G1578" s="14">
        <v>461.54812439236201</v>
      </c>
      <c r="H1578" s="17">
        <v>0.15686687899509599</v>
      </c>
      <c r="I1578" t="s">
        <v>1614</v>
      </c>
      <c r="J1578" s="14">
        <v>978.45955187645905</v>
      </c>
      <c r="K1578" s="14">
        <f t="shared" si="192"/>
        <v>141092.61561419821</v>
      </c>
      <c r="L1578" s="14">
        <f t="shared" si="193"/>
        <v>148</v>
      </c>
      <c r="M1578" s="14" t="str">
        <f t="shared" si="194"/>
        <v>24-07-2024</v>
      </c>
      <c r="N1578" s="14">
        <f t="shared" si="195"/>
        <v>0.15829367588950349</v>
      </c>
      <c r="O1578" s="20">
        <f t="shared" si="196"/>
        <v>2.5124579034789609</v>
      </c>
      <c r="P1578" s="14">
        <f t="shared" si="197"/>
        <v>450.62615289744878</v>
      </c>
      <c r="Q1578" s="14">
        <f t="shared" si="198"/>
        <v>360.66792680752394</v>
      </c>
      <c r="R1578" s="14" t="str">
        <f t="shared" si="199"/>
        <v>Jul</v>
      </c>
    </row>
    <row r="1579" spans="1:18" x14ac:dyDescent="0.3">
      <c r="A1579" t="s">
        <v>3187</v>
      </c>
      <c r="B1579" s="1">
        <v>45534</v>
      </c>
      <c r="C1579" t="s">
        <v>121</v>
      </c>
      <c r="D1579" t="s">
        <v>1521</v>
      </c>
      <c r="E1579" t="s">
        <v>1577</v>
      </c>
      <c r="F1579">
        <v>2.50718917147951</v>
      </c>
      <c r="G1579" s="14">
        <v>461.49636149428198</v>
      </c>
      <c r="H1579" s="17">
        <v>0.15687364106568499</v>
      </c>
      <c r="I1579" t="s">
        <v>1614</v>
      </c>
      <c r="J1579" s="14">
        <v>978.35155541700703</v>
      </c>
      <c r="K1579" s="14">
        <f t="shared" si="192"/>
        <v>141092.61561419821</v>
      </c>
      <c r="L1579" s="14">
        <f t="shared" si="193"/>
        <v>148</v>
      </c>
      <c r="M1579" s="14" t="str">
        <f t="shared" si="194"/>
        <v>30-08-2024</v>
      </c>
      <c r="N1579" s="14">
        <f t="shared" si="195"/>
        <v>0.15829705692479831</v>
      </c>
      <c r="O1579" s="20">
        <f t="shared" si="196"/>
        <v>2.5124704480789601</v>
      </c>
      <c r="P1579" s="14">
        <f t="shared" si="197"/>
        <v>450.60027144840865</v>
      </c>
      <c r="Q1579" s="14">
        <f t="shared" si="198"/>
        <v>360.62799493095855</v>
      </c>
      <c r="R1579" s="14" t="str">
        <f t="shared" si="199"/>
        <v>Aug</v>
      </c>
    </row>
    <row r="1580" spans="1:18" x14ac:dyDescent="0.3">
      <c r="A1580" t="s">
        <v>3188</v>
      </c>
      <c r="B1580" s="1">
        <v>45925</v>
      </c>
      <c r="C1580" t="s">
        <v>275</v>
      </c>
      <c r="D1580" t="s">
        <v>1393</v>
      </c>
      <c r="E1580" t="s">
        <v>1589</v>
      </c>
      <c r="F1580">
        <v>2.5072142606795098</v>
      </c>
      <c r="G1580" s="14">
        <v>461.44459859620201</v>
      </c>
      <c r="H1580" s="17">
        <v>0.15688040313627499</v>
      </c>
      <c r="I1580" t="s">
        <v>1609</v>
      </c>
      <c r="J1580" s="14">
        <v>978.24355895755605</v>
      </c>
      <c r="K1580" s="14">
        <f t="shared" si="192"/>
        <v>141092.61561419821</v>
      </c>
      <c r="L1580" s="14">
        <f t="shared" si="193"/>
        <v>148</v>
      </c>
      <c r="M1580" s="14" t="str">
        <f t="shared" si="194"/>
        <v>25-09-2025</v>
      </c>
      <c r="N1580" s="14">
        <f t="shared" si="195"/>
        <v>0.15830043796009313</v>
      </c>
      <c r="O1580" s="20">
        <f t="shared" si="196"/>
        <v>2.5124829926789589</v>
      </c>
      <c r="P1580" s="14">
        <f t="shared" si="197"/>
        <v>450.57438999936852</v>
      </c>
      <c r="Q1580" s="14">
        <f t="shared" si="198"/>
        <v>360.58806305439344</v>
      </c>
      <c r="R1580" s="14" t="str">
        <f t="shared" si="199"/>
        <v>Sep</v>
      </c>
    </row>
    <row r="1581" spans="1:18" x14ac:dyDescent="0.3">
      <c r="A1581" t="s">
        <v>3189</v>
      </c>
      <c r="B1581" s="1">
        <v>45765</v>
      </c>
      <c r="C1581" t="s">
        <v>1292</v>
      </c>
      <c r="D1581" t="s">
        <v>1527</v>
      </c>
      <c r="E1581" t="s">
        <v>1582</v>
      </c>
      <c r="F1581">
        <v>2.50723934987951</v>
      </c>
      <c r="G1581" s="14">
        <v>461.39283569812198</v>
      </c>
      <c r="H1581" s="17">
        <v>0.15688716520686499</v>
      </c>
      <c r="I1581" t="s">
        <v>1614</v>
      </c>
      <c r="J1581" s="14">
        <v>978.13556249810404</v>
      </c>
      <c r="K1581" s="14">
        <f t="shared" si="192"/>
        <v>140114.3720552407</v>
      </c>
      <c r="L1581" s="14">
        <f t="shared" si="193"/>
        <v>147</v>
      </c>
      <c r="M1581" s="14" t="str">
        <f t="shared" si="194"/>
        <v>18-04-2025</v>
      </c>
      <c r="N1581" s="14">
        <f t="shared" si="195"/>
        <v>0.1583038189953879</v>
      </c>
      <c r="O1581" s="20">
        <f t="shared" si="196"/>
        <v>2.5124955372789572</v>
      </c>
      <c r="P1581" s="14">
        <f t="shared" si="197"/>
        <v>450.54850855032851</v>
      </c>
      <c r="Q1581" s="14">
        <f t="shared" si="198"/>
        <v>360.54813117782811</v>
      </c>
      <c r="R1581" s="14" t="str">
        <f t="shared" si="199"/>
        <v>Apr</v>
      </c>
    </row>
    <row r="1582" spans="1:18" x14ac:dyDescent="0.3">
      <c r="A1582" t="s">
        <v>3190</v>
      </c>
      <c r="B1582" s="1">
        <v>45882</v>
      </c>
      <c r="C1582" t="s">
        <v>408</v>
      </c>
      <c r="D1582" t="s">
        <v>1527</v>
      </c>
      <c r="E1582" t="s">
        <v>1564</v>
      </c>
      <c r="F1582">
        <v>2.5072644390795</v>
      </c>
      <c r="G1582" s="14">
        <v>461.34107280004201</v>
      </c>
      <c r="H1582" s="17">
        <v>0.15689392727745399</v>
      </c>
      <c r="I1582" t="s">
        <v>1609</v>
      </c>
      <c r="J1582" s="14">
        <v>978.02756603865203</v>
      </c>
      <c r="K1582" s="14">
        <f t="shared" si="192"/>
        <v>140114.3720552407</v>
      </c>
      <c r="L1582" s="14">
        <f t="shared" si="193"/>
        <v>147</v>
      </c>
      <c r="M1582" s="14" t="str">
        <f t="shared" si="194"/>
        <v>13-08-2025</v>
      </c>
      <c r="N1582" s="14">
        <f t="shared" si="195"/>
        <v>0.15830720003068272</v>
      </c>
      <c r="O1582" s="20">
        <f t="shared" si="196"/>
        <v>2.5125080818789565</v>
      </c>
      <c r="P1582" s="14">
        <f t="shared" si="197"/>
        <v>450.52262710128844</v>
      </c>
      <c r="Q1582" s="14">
        <f t="shared" si="198"/>
        <v>360.50819930126272</v>
      </c>
      <c r="R1582" s="14" t="str">
        <f t="shared" si="199"/>
        <v>Aug</v>
      </c>
    </row>
    <row r="1583" spans="1:18" x14ac:dyDescent="0.3">
      <c r="A1583" t="s">
        <v>3191</v>
      </c>
      <c r="B1583" s="1">
        <v>45923</v>
      </c>
      <c r="C1583" t="s">
        <v>1107</v>
      </c>
      <c r="D1583" t="s">
        <v>1429</v>
      </c>
      <c r="E1583" t="s">
        <v>1546</v>
      </c>
      <c r="F1583">
        <v>2.5072895282794998</v>
      </c>
      <c r="G1583" s="14">
        <v>461.28930990196102</v>
      </c>
      <c r="H1583" s="17">
        <v>0.15690068934804399</v>
      </c>
      <c r="I1583" t="s">
        <v>1609</v>
      </c>
      <c r="J1583" s="14">
        <v>977.91956957920002</v>
      </c>
      <c r="K1583" s="14">
        <f t="shared" si="192"/>
        <v>139136.34448920202</v>
      </c>
      <c r="L1583" s="14">
        <f t="shared" si="193"/>
        <v>146</v>
      </c>
      <c r="M1583" s="14" t="str">
        <f t="shared" si="194"/>
        <v>23-09-2025</v>
      </c>
      <c r="N1583" s="14">
        <f t="shared" si="195"/>
        <v>0.15831058106597748</v>
      </c>
      <c r="O1583" s="20">
        <f t="shared" si="196"/>
        <v>2.5125206264789552</v>
      </c>
      <c r="P1583" s="14">
        <f t="shared" si="197"/>
        <v>450.49674565224831</v>
      </c>
      <c r="Q1583" s="14">
        <f t="shared" si="198"/>
        <v>360.46826742469716</v>
      </c>
      <c r="R1583" s="14" t="str">
        <f t="shared" si="199"/>
        <v>Sep</v>
      </c>
    </row>
    <row r="1584" spans="1:18" x14ac:dyDescent="0.3">
      <c r="A1584" t="s">
        <v>3192</v>
      </c>
      <c r="B1584" s="1">
        <v>45421</v>
      </c>
      <c r="C1584" t="s">
        <v>144</v>
      </c>
      <c r="D1584" t="s">
        <v>1513</v>
      </c>
      <c r="E1584" t="s">
        <v>1558</v>
      </c>
      <c r="F1584">
        <v>2.5073146174795</v>
      </c>
      <c r="G1584" s="14">
        <v>461.23754700388099</v>
      </c>
      <c r="H1584" s="17">
        <v>0.15690745141863399</v>
      </c>
      <c r="I1584" t="s">
        <v>1609</v>
      </c>
      <c r="J1584" s="14">
        <v>977.81157311974903</v>
      </c>
      <c r="K1584" s="14">
        <f t="shared" si="192"/>
        <v>138158.4249196228</v>
      </c>
      <c r="L1584" s="14">
        <f t="shared" si="193"/>
        <v>145</v>
      </c>
      <c r="M1584" s="14" t="str">
        <f t="shared" si="194"/>
        <v>09-05-2024</v>
      </c>
      <c r="N1584" s="14">
        <f t="shared" si="195"/>
        <v>0.1583139621012723</v>
      </c>
      <c r="O1584" s="20">
        <f t="shared" si="196"/>
        <v>2.512533171078954</v>
      </c>
      <c r="P1584" s="14">
        <f t="shared" si="197"/>
        <v>450.47086420320824</v>
      </c>
      <c r="Q1584" s="14">
        <f t="shared" si="198"/>
        <v>360.42833554813205</v>
      </c>
      <c r="R1584" s="14" t="str">
        <f t="shared" si="199"/>
        <v>May</v>
      </c>
    </row>
    <row r="1585" spans="1:18" x14ac:dyDescent="0.3">
      <c r="A1585" t="s">
        <v>3193</v>
      </c>
      <c r="B1585" s="1">
        <v>45608</v>
      </c>
      <c r="C1585" t="s">
        <v>264</v>
      </c>
      <c r="D1585" t="s">
        <v>1387</v>
      </c>
      <c r="E1585" t="s">
        <v>1584</v>
      </c>
      <c r="F1585">
        <v>2.5073397066794998</v>
      </c>
      <c r="G1585" s="14">
        <v>461.18578410580102</v>
      </c>
      <c r="H1585" s="17">
        <v>0.15691421348922299</v>
      </c>
      <c r="I1585" t="s">
        <v>1614</v>
      </c>
      <c r="J1585" s="14">
        <v>977.70357666029702</v>
      </c>
      <c r="K1585" s="14">
        <f t="shared" si="192"/>
        <v>137180.61334650306</v>
      </c>
      <c r="L1585" s="14">
        <f t="shared" si="193"/>
        <v>144</v>
      </c>
      <c r="M1585" s="14" t="str">
        <f t="shared" si="194"/>
        <v>12-11-2024</v>
      </c>
      <c r="N1585" s="14">
        <f t="shared" si="195"/>
        <v>0.15831734313656712</v>
      </c>
      <c r="O1585" s="20">
        <f t="shared" si="196"/>
        <v>2.5125457156789528</v>
      </c>
      <c r="P1585" s="14">
        <f t="shared" si="197"/>
        <v>450.44498275416817</v>
      </c>
      <c r="Q1585" s="14">
        <f t="shared" si="198"/>
        <v>360.38840367156672</v>
      </c>
      <c r="R1585" s="14" t="str">
        <f t="shared" si="199"/>
        <v>Nov</v>
      </c>
    </row>
    <row r="1586" spans="1:18" x14ac:dyDescent="0.3">
      <c r="A1586" t="s">
        <v>3194</v>
      </c>
      <c r="B1586" s="1">
        <v>45644</v>
      </c>
      <c r="C1586" t="s">
        <v>221</v>
      </c>
      <c r="D1586" t="s">
        <v>1521</v>
      </c>
      <c r="E1586" t="s">
        <v>1554</v>
      </c>
      <c r="F1586">
        <v>2.5073647958794898</v>
      </c>
      <c r="G1586" s="14">
        <v>461.13402120772099</v>
      </c>
      <c r="H1586" s="17">
        <v>0.15692097555981299</v>
      </c>
      <c r="I1586" t="s">
        <v>1614</v>
      </c>
      <c r="J1586" s="14">
        <v>977.59558020084501</v>
      </c>
      <c r="K1586" s="14">
        <f t="shared" si="192"/>
        <v>137180.61334650306</v>
      </c>
      <c r="L1586" s="14">
        <f t="shared" si="193"/>
        <v>144</v>
      </c>
      <c r="M1586" s="14" t="str">
        <f t="shared" si="194"/>
        <v>18-12-2024</v>
      </c>
      <c r="N1586" s="14">
        <f t="shared" si="195"/>
        <v>0.15832072417186194</v>
      </c>
      <c r="O1586" s="20">
        <f t="shared" si="196"/>
        <v>2.5125582602789516</v>
      </c>
      <c r="P1586" s="14">
        <f t="shared" si="197"/>
        <v>450.41910130512809</v>
      </c>
      <c r="Q1586" s="14">
        <f t="shared" si="198"/>
        <v>360.34847179500133</v>
      </c>
      <c r="R1586" s="14" t="str">
        <f t="shared" si="199"/>
        <v>Dec</v>
      </c>
    </row>
    <row r="1587" spans="1:18" x14ac:dyDescent="0.3">
      <c r="A1587" t="s">
        <v>3195</v>
      </c>
      <c r="B1587" s="1">
        <v>45517</v>
      </c>
      <c r="C1587" t="s">
        <v>461</v>
      </c>
      <c r="D1587" t="s">
        <v>1357</v>
      </c>
      <c r="E1587" t="s">
        <v>1561</v>
      </c>
      <c r="F1587">
        <v>2.50738988507949</v>
      </c>
      <c r="G1587" s="14">
        <v>461.08225830964102</v>
      </c>
      <c r="H1587" s="17">
        <v>0.15692773763040199</v>
      </c>
      <c r="I1587" t="s">
        <v>1611</v>
      </c>
      <c r="J1587" s="14">
        <v>977.487583741393</v>
      </c>
      <c r="K1587" s="14">
        <f t="shared" si="192"/>
        <v>137180.61334650306</v>
      </c>
      <c r="L1587" s="14">
        <f t="shared" si="193"/>
        <v>144</v>
      </c>
      <c r="M1587" s="14" t="str">
        <f t="shared" si="194"/>
        <v>13-08-2024</v>
      </c>
      <c r="N1587" s="14">
        <f t="shared" si="195"/>
        <v>0.15832410520715673</v>
      </c>
      <c r="O1587" s="20">
        <f t="shared" si="196"/>
        <v>2.5125708048789503</v>
      </c>
      <c r="P1587" s="14">
        <f t="shared" si="197"/>
        <v>450.39321985608802</v>
      </c>
      <c r="Q1587" s="14">
        <f t="shared" si="198"/>
        <v>360.30853991843594</v>
      </c>
      <c r="R1587" s="14" t="str">
        <f t="shared" si="199"/>
        <v>Aug</v>
      </c>
    </row>
    <row r="1588" spans="1:18" x14ac:dyDescent="0.3">
      <c r="A1588" t="s">
        <v>3196</v>
      </c>
      <c r="B1588" s="1">
        <v>45545</v>
      </c>
      <c r="C1588" t="s">
        <v>1217</v>
      </c>
      <c r="D1588" t="s">
        <v>1457</v>
      </c>
      <c r="E1588" t="s">
        <v>1554</v>
      </c>
      <c r="F1588">
        <v>2.5074149742794898</v>
      </c>
      <c r="G1588" s="14">
        <v>461.03049541156099</v>
      </c>
      <c r="H1588" s="17">
        <v>0.15693449970099199</v>
      </c>
      <c r="I1588" t="s">
        <v>1611</v>
      </c>
      <c r="J1588" s="14">
        <v>977.37958728194201</v>
      </c>
      <c r="K1588" s="14">
        <f t="shared" si="192"/>
        <v>137180.61334650306</v>
      </c>
      <c r="L1588" s="14">
        <f t="shared" si="193"/>
        <v>144</v>
      </c>
      <c r="M1588" s="14" t="str">
        <f t="shared" si="194"/>
        <v>10-09-2024</v>
      </c>
      <c r="N1588" s="14">
        <f t="shared" si="195"/>
        <v>0.15832748624245152</v>
      </c>
      <c r="O1588" s="20">
        <f t="shared" si="196"/>
        <v>2.5125833494789487</v>
      </c>
      <c r="P1588" s="14">
        <f t="shared" si="197"/>
        <v>450.36733840704795</v>
      </c>
      <c r="Q1588" s="14">
        <f t="shared" si="198"/>
        <v>360.26860804187083</v>
      </c>
      <c r="R1588" s="14" t="str">
        <f t="shared" si="199"/>
        <v>Sep</v>
      </c>
    </row>
    <row r="1589" spans="1:18" x14ac:dyDescent="0.3">
      <c r="A1589" t="s">
        <v>3197</v>
      </c>
      <c r="B1589" s="1">
        <v>45547</v>
      </c>
      <c r="C1589" t="s">
        <v>582</v>
      </c>
      <c r="D1589" t="s">
        <v>1515</v>
      </c>
      <c r="E1589" t="s">
        <v>1589</v>
      </c>
      <c r="F1589">
        <v>2.50744006347949</v>
      </c>
      <c r="G1589" s="14">
        <v>460.97873251348</v>
      </c>
      <c r="H1589" s="17">
        <v>0.15694126177158199</v>
      </c>
      <c r="I1589" t="s">
        <v>1614</v>
      </c>
      <c r="J1589" s="14">
        <v>977.27159082249</v>
      </c>
      <c r="K1589" s="14">
        <f t="shared" si="192"/>
        <v>137180.61334650306</v>
      </c>
      <c r="L1589" s="14">
        <f t="shared" si="193"/>
        <v>144</v>
      </c>
      <c r="M1589" s="14" t="str">
        <f t="shared" si="194"/>
        <v>12-09-2024</v>
      </c>
      <c r="N1589" s="14">
        <f t="shared" si="195"/>
        <v>0.15833086727774631</v>
      </c>
      <c r="O1589" s="20">
        <f t="shared" si="196"/>
        <v>2.5125958940789475</v>
      </c>
      <c r="P1589" s="14">
        <f t="shared" si="197"/>
        <v>450.34145695800783</v>
      </c>
      <c r="Q1589" s="14">
        <f t="shared" si="198"/>
        <v>360.22867616530527</v>
      </c>
      <c r="R1589" s="14" t="str">
        <f t="shared" si="199"/>
        <v>Sep</v>
      </c>
    </row>
    <row r="1590" spans="1:18" x14ac:dyDescent="0.3">
      <c r="A1590" t="s">
        <v>3198</v>
      </c>
      <c r="B1590" s="1">
        <v>45433</v>
      </c>
      <c r="C1590" t="s">
        <v>1283</v>
      </c>
      <c r="D1590" t="s">
        <v>1481</v>
      </c>
      <c r="E1590" t="s">
        <v>1579</v>
      </c>
      <c r="F1590">
        <v>2.50746515267948</v>
      </c>
      <c r="G1590" s="14">
        <v>460.92696961540003</v>
      </c>
      <c r="H1590" s="17">
        <v>0.15694802384217099</v>
      </c>
      <c r="I1590" t="s">
        <v>1609</v>
      </c>
      <c r="J1590" s="14">
        <v>977.16359436303799</v>
      </c>
      <c r="K1590" s="14">
        <f t="shared" si="192"/>
        <v>137180.61334650306</v>
      </c>
      <c r="L1590" s="14">
        <f t="shared" si="193"/>
        <v>144</v>
      </c>
      <c r="M1590" s="14" t="str">
        <f t="shared" si="194"/>
        <v>21-05-2024</v>
      </c>
      <c r="N1590" s="14">
        <f t="shared" si="195"/>
        <v>0.1583342483130411</v>
      </c>
      <c r="O1590" s="20">
        <f t="shared" si="196"/>
        <v>2.5126084386789471</v>
      </c>
      <c r="P1590" s="14">
        <f t="shared" si="197"/>
        <v>450.31557550896781</v>
      </c>
      <c r="Q1590" s="14">
        <f t="shared" si="198"/>
        <v>360.18874428873994</v>
      </c>
      <c r="R1590" s="14" t="str">
        <f t="shared" si="199"/>
        <v>May</v>
      </c>
    </row>
    <row r="1591" spans="1:18" x14ac:dyDescent="0.3">
      <c r="A1591" t="s">
        <v>3199</v>
      </c>
      <c r="B1591" s="1">
        <v>45792</v>
      </c>
      <c r="C1591" t="s">
        <v>1133</v>
      </c>
      <c r="D1591" t="s">
        <v>1499</v>
      </c>
      <c r="E1591" t="s">
        <v>1537</v>
      </c>
      <c r="F1591">
        <v>2.5074902418794802</v>
      </c>
      <c r="G1591" s="14">
        <v>460.87520671732</v>
      </c>
      <c r="H1591" s="17">
        <v>0.15695478591276099</v>
      </c>
      <c r="I1591" t="s">
        <v>1611</v>
      </c>
      <c r="J1591" s="14">
        <v>977.055597903587</v>
      </c>
      <c r="K1591" s="14">
        <f t="shared" si="192"/>
        <v>136203.44975214003</v>
      </c>
      <c r="L1591" s="14">
        <f t="shared" si="193"/>
        <v>143</v>
      </c>
      <c r="M1591" s="14" t="str">
        <f t="shared" si="194"/>
        <v>15-05-2025</v>
      </c>
      <c r="N1591" s="14">
        <f t="shared" si="195"/>
        <v>0.15833762934833592</v>
      </c>
      <c r="O1591" s="20">
        <f t="shared" si="196"/>
        <v>2.512620983278945</v>
      </c>
      <c r="P1591" s="14">
        <f t="shared" si="197"/>
        <v>450.28969405992768</v>
      </c>
      <c r="Q1591" s="14">
        <f t="shared" si="198"/>
        <v>360.14881241217483</v>
      </c>
      <c r="R1591" s="14" t="str">
        <f t="shared" si="199"/>
        <v>May</v>
      </c>
    </row>
    <row r="1592" spans="1:18" x14ac:dyDescent="0.3">
      <c r="A1592" t="s">
        <v>3200</v>
      </c>
      <c r="B1592" s="1">
        <v>45804</v>
      </c>
      <c r="C1592" t="s">
        <v>1241</v>
      </c>
      <c r="D1592" t="s">
        <v>1347</v>
      </c>
      <c r="E1592" t="s">
        <v>1551</v>
      </c>
      <c r="F1592">
        <v>2.50751533107948</v>
      </c>
      <c r="G1592" s="14">
        <v>460.82344381924003</v>
      </c>
      <c r="H1592" s="17">
        <v>0.15696154798334999</v>
      </c>
      <c r="I1592" t="s">
        <v>1614</v>
      </c>
      <c r="J1592" s="14">
        <v>976.94760144413499</v>
      </c>
      <c r="K1592" s="14">
        <f t="shared" si="192"/>
        <v>136203.44975214003</v>
      </c>
      <c r="L1592" s="14">
        <f t="shared" si="193"/>
        <v>143</v>
      </c>
      <c r="M1592" s="14" t="str">
        <f t="shared" si="194"/>
        <v>27-05-2025</v>
      </c>
      <c r="N1592" s="14">
        <f t="shared" si="195"/>
        <v>0.15834101038363074</v>
      </c>
      <c r="O1592" s="20">
        <f t="shared" si="196"/>
        <v>2.5126335278789438</v>
      </c>
      <c r="P1592" s="14">
        <f t="shared" si="197"/>
        <v>450.26381261088767</v>
      </c>
      <c r="Q1592" s="14">
        <f t="shared" si="198"/>
        <v>360.1088805356095</v>
      </c>
      <c r="R1592" s="14" t="str">
        <f t="shared" si="199"/>
        <v>May</v>
      </c>
    </row>
    <row r="1593" spans="1:18" x14ac:dyDescent="0.3">
      <c r="A1593" t="s">
        <v>3201</v>
      </c>
      <c r="B1593" s="1">
        <v>45311</v>
      </c>
      <c r="C1593" t="s">
        <v>292</v>
      </c>
      <c r="D1593" t="s">
        <v>1411</v>
      </c>
      <c r="E1593" t="s">
        <v>1582</v>
      </c>
      <c r="F1593">
        <v>2.5075404202794802</v>
      </c>
      <c r="G1593" s="14">
        <v>460.77168092116</v>
      </c>
      <c r="H1593" s="17">
        <v>0.15696831005393999</v>
      </c>
      <c r="I1593" t="s">
        <v>1614</v>
      </c>
      <c r="J1593" s="14">
        <v>976.83960498468298</v>
      </c>
      <c r="K1593" s="14">
        <f t="shared" si="192"/>
        <v>136203.44975214003</v>
      </c>
      <c r="L1593" s="14">
        <f t="shared" si="193"/>
        <v>143</v>
      </c>
      <c r="M1593" s="14" t="str">
        <f t="shared" si="194"/>
        <v>20-01-2024</v>
      </c>
      <c r="N1593" s="14">
        <f t="shared" si="195"/>
        <v>0.15834439141892556</v>
      </c>
      <c r="O1593" s="20">
        <f t="shared" si="196"/>
        <v>2.5126460724789426</v>
      </c>
      <c r="P1593" s="14">
        <f t="shared" si="197"/>
        <v>450.23793116184754</v>
      </c>
      <c r="Q1593" s="14">
        <f t="shared" si="198"/>
        <v>360.06894865904411</v>
      </c>
      <c r="R1593" s="14" t="str">
        <f t="shared" si="199"/>
        <v>Jan</v>
      </c>
    </row>
    <row r="1594" spans="1:18" x14ac:dyDescent="0.3">
      <c r="A1594" t="s">
        <v>3202</v>
      </c>
      <c r="B1594" s="1">
        <v>45605</v>
      </c>
      <c r="C1594" t="s">
        <v>1298</v>
      </c>
      <c r="D1594" t="s">
        <v>1383</v>
      </c>
      <c r="E1594" t="s">
        <v>1577</v>
      </c>
      <c r="F1594">
        <v>2.5075655094794702</v>
      </c>
      <c r="G1594" s="14">
        <v>460.71991802308003</v>
      </c>
      <c r="H1594" s="17">
        <v>0.15697507212452999</v>
      </c>
      <c r="I1594" t="s">
        <v>1611</v>
      </c>
      <c r="J1594" s="14">
        <v>976.73160852523097</v>
      </c>
      <c r="K1594" s="14">
        <f t="shared" si="192"/>
        <v>136203.44975214003</v>
      </c>
      <c r="L1594" s="14">
        <f t="shared" si="193"/>
        <v>143</v>
      </c>
      <c r="M1594" s="14" t="str">
        <f t="shared" si="194"/>
        <v>09-11-2024</v>
      </c>
      <c r="N1594" s="14">
        <f t="shared" si="195"/>
        <v>0.15834777245422035</v>
      </c>
      <c r="O1594" s="20">
        <f t="shared" si="196"/>
        <v>2.5126586170789413</v>
      </c>
      <c r="P1594" s="14">
        <f t="shared" si="197"/>
        <v>450.21204971280747</v>
      </c>
      <c r="Q1594" s="14">
        <f t="shared" si="198"/>
        <v>360.02901678247872</v>
      </c>
      <c r="R1594" s="14" t="str">
        <f t="shared" si="199"/>
        <v>Nov</v>
      </c>
    </row>
    <row r="1595" spans="1:18" x14ac:dyDescent="0.3">
      <c r="A1595" t="s">
        <v>3203</v>
      </c>
      <c r="B1595" s="1">
        <v>45338</v>
      </c>
      <c r="C1595" t="s">
        <v>1270</v>
      </c>
      <c r="D1595" t="s">
        <v>1499</v>
      </c>
      <c r="E1595" t="s">
        <v>1574</v>
      </c>
      <c r="F1595">
        <v>2.50759059867947</v>
      </c>
      <c r="G1595" s="14">
        <v>460.66815512499898</v>
      </c>
      <c r="H1595" s="17">
        <v>0.15698183419511899</v>
      </c>
      <c r="I1595" t="s">
        <v>1611</v>
      </c>
      <c r="J1595" s="14">
        <v>976.62361206577998</v>
      </c>
      <c r="K1595" s="14">
        <f t="shared" si="192"/>
        <v>136203.44975214003</v>
      </c>
      <c r="L1595" s="14">
        <f t="shared" si="193"/>
        <v>143</v>
      </c>
      <c r="M1595" s="14" t="str">
        <f t="shared" si="194"/>
        <v>16-02-2024</v>
      </c>
      <c r="N1595" s="14">
        <f t="shared" si="195"/>
        <v>0.15835115348951517</v>
      </c>
      <c r="O1595" s="20">
        <f t="shared" si="196"/>
        <v>2.5126711616789397</v>
      </c>
      <c r="P1595" s="14">
        <f t="shared" si="197"/>
        <v>450.1861682637674</v>
      </c>
      <c r="Q1595" s="14">
        <f t="shared" si="198"/>
        <v>359.98908490591339</v>
      </c>
      <c r="R1595" s="14" t="str">
        <f t="shared" si="199"/>
        <v>Feb</v>
      </c>
    </row>
    <row r="1596" spans="1:18" x14ac:dyDescent="0.3">
      <c r="A1596" t="s">
        <v>3204</v>
      </c>
      <c r="B1596" s="1">
        <v>45642</v>
      </c>
      <c r="C1596" t="s">
        <v>244</v>
      </c>
      <c r="D1596" t="s">
        <v>1367</v>
      </c>
      <c r="E1596" t="s">
        <v>1554</v>
      </c>
      <c r="F1596">
        <v>2.5076156878794702</v>
      </c>
      <c r="G1596" s="14">
        <v>460.616392226919</v>
      </c>
      <c r="H1596" s="17">
        <v>0.15698859626570899</v>
      </c>
      <c r="I1596" t="s">
        <v>1611</v>
      </c>
      <c r="J1596" s="14">
        <v>976.51561560632797</v>
      </c>
      <c r="K1596" s="14">
        <f t="shared" si="192"/>
        <v>136203.44975214003</v>
      </c>
      <c r="L1596" s="14">
        <f t="shared" si="193"/>
        <v>143</v>
      </c>
      <c r="M1596" s="14" t="str">
        <f t="shared" si="194"/>
        <v>16-12-2024</v>
      </c>
      <c r="N1596" s="14">
        <f t="shared" si="195"/>
        <v>0.15835453452480996</v>
      </c>
      <c r="O1596" s="20">
        <f t="shared" si="196"/>
        <v>2.5126837062789389</v>
      </c>
      <c r="P1596" s="14">
        <f t="shared" si="197"/>
        <v>450.16028681472727</v>
      </c>
      <c r="Q1596" s="14">
        <f t="shared" si="198"/>
        <v>359.94915302934805</v>
      </c>
      <c r="R1596" s="14" t="str">
        <f t="shared" si="199"/>
        <v>Dec</v>
      </c>
    </row>
    <row r="1597" spans="1:18" x14ac:dyDescent="0.3">
      <c r="A1597" t="s">
        <v>3205</v>
      </c>
      <c r="B1597" s="1">
        <v>45693</v>
      </c>
      <c r="C1597" t="s">
        <v>1232</v>
      </c>
      <c r="D1597" t="s">
        <v>1369</v>
      </c>
      <c r="E1597" t="s">
        <v>1586</v>
      </c>
      <c r="F1597">
        <v>2.5076407770794602</v>
      </c>
      <c r="G1597" s="14">
        <v>460.56462932883898</v>
      </c>
      <c r="H1597" s="17">
        <v>0.15699535833629799</v>
      </c>
      <c r="I1597" t="s">
        <v>1614</v>
      </c>
      <c r="J1597" s="14">
        <v>976.40761914687596</v>
      </c>
      <c r="K1597" s="14">
        <f t="shared" si="192"/>
        <v>136203.44975214003</v>
      </c>
      <c r="L1597" s="14">
        <f t="shared" si="193"/>
        <v>143</v>
      </c>
      <c r="M1597" s="14" t="str">
        <f t="shared" si="194"/>
        <v>05-02-2025</v>
      </c>
      <c r="N1597" s="14">
        <f t="shared" si="195"/>
        <v>0.15835791556010476</v>
      </c>
      <c r="O1597" s="20">
        <f t="shared" si="196"/>
        <v>2.5126962508789372</v>
      </c>
      <c r="P1597" s="14">
        <f t="shared" si="197"/>
        <v>450.13440536568726</v>
      </c>
      <c r="Q1597" s="14">
        <f t="shared" si="198"/>
        <v>359.90922115278266</v>
      </c>
      <c r="R1597" s="14" t="str">
        <f t="shared" si="199"/>
        <v>Feb</v>
      </c>
    </row>
    <row r="1598" spans="1:18" x14ac:dyDescent="0.3">
      <c r="A1598" t="s">
        <v>3206</v>
      </c>
      <c r="B1598" s="1">
        <v>45763</v>
      </c>
      <c r="C1598" t="s">
        <v>866</v>
      </c>
      <c r="D1598" t="s">
        <v>1479</v>
      </c>
      <c r="E1598" t="s">
        <v>1598</v>
      </c>
      <c r="F1598">
        <v>2.50766586627946</v>
      </c>
      <c r="G1598" s="14">
        <v>460.512866430759</v>
      </c>
      <c r="H1598" s="17">
        <v>0.15700212040688799</v>
      </c>
      <c r="I1598" t="s">
        <v>1611</v>
      </c>
      <c r="J1598" s="14">
        <v>976.29962268742395</v>
      </c>
      <c r="K1598" s="14">
        <f t="shared" si="192"/>
        <v>136203.44975214003</v>
      </c>
      <c r="L1598" s="14">
        <f t="shared" si="193"/>
        <v>143</v>
      </c>
      <c r="M1598" s="14" t="str">
        <f t="shared" si="194"/>
        <v>16-04-2025</v>
      </c>
      <c r="N1598" s="14">
        <f t="shared" si="195"/>
        <v>0.15836129659539958</v>
      </c>
      <c r="O1598" s="20">
        <f t="shared" si="196"/>
        <v>2.5127087954789356</v>
      </c>
      <c r="P1598" s="14">
        <f t="shared" si="197"/>
        <v>450.10852391664719</v>
      </c>
      <c r="Q1598" s="14">
        <f t="shared" si="198"/>
        <v>359.86928927621733</v>
      </c>
      <c r="R1598" s="14" t="str">
        <f t="shared" si="199"/>
        <v>Apr</v>
      </c>
    </row>
    <row r="1599" spans="1:18" x14ac:dyDescent="0.3">
      <c r="A1599" t="s">
        <v>3207</v>
      </c>
      <c r="B1599" s="1">
        <v>45572</v>
      </c>
      <c r="C1599" t="s">
        <v>565</v>
      </c>
      <c r="D1599" t="s">
        <v>1379</v>
      </c>
      <c r="E1599" t="s">
        <v>1586</v>
      </c>
      <c r="F1599">
        <v>2.5076909554794602</v>
      </c>
      <c r="G1599" s="14">
        <v>460.46110353267898</v>
      </c>
      <c r="H1599" s="17">
        <v>0.15700888247747799</v>
      </c>
      <c r="I1599" t="s">
        <v>1611</v>
      </c>
      <c r="J1599" s="14">
        <v>976.19162622797296</v>
      </c>
      <c r="K1599" s="14">
        <f t="shared" si="192"/>
        <v>136203.44975214003</v>
      </c>
      <c r="L1599" s="14">
        <f t="shared" si="193"/>
        <v>143</v>
      </c>
      <c r="M1599" s="14" t="str">
        <f t="shared" si="194"/>
        <v>07-10-2024</v>
      </c>
      <c r="N1599" s="14">
        <f t="shared" si="195"/>
        <v>0.15836467763069437</v>
      </c>
      <c r="O1599" s="20">
        <f t="shared" si="196"/>
        <v>2.5127213400789352</v>
      </c>
      <c r="P1599" s="14">
        <f t="shared" si="197"/>
        <v>450.082642467607</v>
      </c>
      <c r="Q1599" s="14">
        <f t="shared" si="198"/>
        <v>359.82935739965222</v>
      </c>
      <c r="R1599" s="14" t="str">
        <f t="shared" si="199"/>
        <v>Oct</v>
      </c>
    </row>
    <row r="1600" spans="1:18" x14ac:dyDescent="0.3">
      <c r="A1600" t="s">
        <v>3208</v>
      </c>
      <c r="B1600" s="1">
        <v>45338</v>
      </c>
      <c r="C1600" t="s">
        <v>1211</v>
      </c>
      <c r="D1600" t="s">
        <v>1355</v>
      </c>
      <c r="E1600" t="s">
        <v>1537</v>
      </c>
      <c r="F1600">
        <v>2.50771604467946</v>
      </c>
      <c r="G1600" s="14">
        <v>460.409340634599</v>
      </c>
      <c r="H1600" s="17">
        <v>0.15701564454806699</v>
      </c>
      <c r="I1600" t="s">
        <v>1609</v>
      </c>
      <c r="J1600" s="14">
        <v>976.08362976852095</v>
      </c>
      <c r="K1600" s="14">
        <f t="shared" si="192"/>
        <v>136203.44975214003</v>
      </c>
      <c r="L1600" s="14">
        <f t="shared" si="193"/>
        <v>143</v>
      </c>
      <c r="M1600" s="14" t="str">
        <f t="shared" si="194"/>
        <v>16-02-2024</v>
      </c>
      <c r="N1600" s="14">
        <f t="shared" si="195"/>
        <v>0.15836805866598919</v>
      </c>
      <c r="O1600" s="20">
        <f t="shared" si="196"/>
        <v>2.512733884678934</v>
      </c>
      <c r="P1600" s="14">
        <f t="shared" si="197"/>
        <v>450.05676101856693</v>
      </c>
      <c r="Q1600" s="14">
        <f t="shared" si="198"/>
        <v>359.78942552308683</v>
      </c>
      <c r="R1600" s="14" t="str">
        <f t="shared" si="199"/>
        <v>Feb</v>
      </c>
    </row>
    <row r="1601" spans="1:18" x14ac:dyDescent="0.3">
      <c r="A1601" t="s">
        <v>3209</v>
      </c>
      <c r="B1601" s="1">
        <v>45373</v>
      </c>
      <c r="C1601" t="s">
        <v>1056</v>
      </c>
      <c r="D1601" t="s">
        <v>1355</v>
      </c>
      <c r="E1601" t="s">
        <v>1586</v>
      </c>
      <c r="F1601">
        <v>2.50774113387945</v>
      </c>
      <c r="G1601" s="14">
        <v>460.35757773651898</v>
      </c>
      <c r="H1601" s="17">
        <v>0.15702240661865699</v>
      </c>
      <c r="I1601" t="s">
        <v>1614</v>
      </c>
      <c r="J1601" s="14">
        <v>975.97563330906905</v>
      </c>
      <c r="K1601" s="14">
        <f t="shared" si="192"/>
        <v>135227.36612237152</v>
      </c>
      <c r="L1601" s="14">
        <f t="shared" si="193"/>
        <v>142</v>
      </c>
      <c r="M1601" s="14" t="str">
        <f t="shared" si="194"/>
        <v>22-03-2024</v>
      </c>
      <c r="N1601" s="14">
        <f t="shared" si="195"/>
        <v>0.15837143970128398</v>
      </c>
      <c r="O1601" s="20">
        <f t="shared" si="196"/>
        <v>2.5127464292789328</v>
      </c>
      <c r="P1601" s="14">
        <f t="shared" si="197"/>
        <v>450.03087956952686</v>
      </c>
      <c r="Q1601" s="14">
        <f t="shared" si="198"/>
        <v>359.7494936465215</v>
      </c>
      <c r="R1601" s="14" t="str">
        <f t="shared" si="199"/>
        <v>Mar</v>
      </c>
    </row>
    <row r="1602" spans="1:18" x14ac:dyDescent="0.3">
      <c r="A1602" t="s">
        <v>3210</v>
      </c>
      <c r="B1602" s="1">
        <v>45590</v>
      </c>
      <c r="C1602" t="s">
        <v>1231</v>
      </c>
      <c r="D1602" t="s">
        <v>1525</v>
      </c>
      <c r="E1602" t="s">
        <v>1584</v>
      </c>
      <c r="F1602">
        <v>2.5077662230794502</v>
      </c>
      <c r="G1602" s="14">
        <v>460.30581483843798</v>
      </c>
      <c r="H1602" s="17">
        <v>0.15702916868924599</v>
      </c>
      <c r="I1602" t="s">
        <v>1611</v>
      </c>
      <c r="J1602" s="14">
        <v>975.86763684961704</v>
      </c>
      <c r="K1602" s="14">
        <f t="shared" ref="K1602:K1665" si="200">SUMIF(I1602:I3601,"Credit Card",J1602:J3601)</f>
        <v>135227.36612237152</v>
      </c>
      <c r="L1602" s="14">
        <f t="shared" ref="L1602:L1665" si="201">COUNTIF(I1602:I3601,"Credit Card")</f>
        <v>142</v>
      </c>
      <c r="M1602" s="14" t="str">
        <f t="shared" ref="M1602:M1665" si="202">TEXT(B1602:B3601,"dd-mm-yyyy")</f>
        <v>25-10-2024</v>
      </c>
      <c r="N1602" s="14">
        <f t="shared" ref="N1602:N1665" si="203">AVERAGE(H1602:H3601)</f>
        <v>0.1583748207365788</v>
      </c>
      <c r="O1602" s="20">
        <f t="shared" ref="O1602:O1665" si="204">AVERAGE(F1602:F3601)</f>
        <v>2.5127589738789311</v>
      </c>
      <c r="P1602" s="14">
        <f t="shared" ref="P1602:P1665" si="205">AVERAGE(G1602:G3601)</f>
        <v>450.00499812048673</v>
      </c>
      <c r="Q1602" s="14">
        <f t="shared" ref="Q1602:Q1665" si="206">AVERAGE(F1602,G1602,H1602,J1602)</f>
        <v>359.70956176995594</v>
      </c>
      <c r="R1602" s="14" t="str">
        <f t="shared" ref="R1602:R1665" si="207">TEXT(M1602,"mmm")</f>
        <v>Oct</v>
      </c>
    </row>
    <row r="1603" spans="1:18" x14ac:dyDescent="0.3">
      <c r="A1603" t="s">
        <v>3211</v>
      </c>
      <c r="B1603" s="1">
        <v>45365</v>
      </c>
      <c r="C1603" t="s">
        <v>484</v>
      </c>
      <c r="D1603" t="s">
        <v>1407</v>
      </c>
      <c r="E1603" t="s">
        <v>1582</v>
      </c>
      <c r="F1603">
        <v>2.50779131227945</v>
      </c>
      <c r="G1603" s="14">
        <v>460.25405194035801</v>
      </c>
      <c r="H1603" s="17">
        <v>0.15703593075983599</v>
      </c>
      <c r="I1603" t="s">
        <v>1609</v>
      </c>
      <c r="J1603" s="14">
        <v>975.75964039016606</v>
      </c>
      <c r="K1603" s="14">
        <f t="shared" si="200"/>
        <v>135227.36612237152</v>
      </c>
      <c r="L1603" s="14">
        <f t="shared" si="201"/>
        <v>142</v>
      </c>
      <c r="M1603" s="14" t="str">
        <f t="shared" si="202"/>
        <v>14-03-2024</v>
      </c>
      <c r="N1603" s="14">
        <f t="shared" si="203"/>
        <v>0.15837820177187359</v>
      </c>
      <c r="O1603" s="20">
        <f t="shared" si="204"/>
        <v>2.5127715184789299</v>
      </c>
      <c r="P1603" s="14">
        <f t="shared" si="205"/>
        <v>449.9791166714466</v>
      </c>
      <c r="Q1603" s="14">
        <f t="shared" si="206"/>
        <v>359.66962989339083</v>
      </c>
      <c r="R1603" s="14" t="str">
        <f t="shared" si="207"/>
        <v>Mar</v>
      </c>
    </row>
    <row r="1604" spans="1:18" x14ac:dyDescent="0.3">
      <c r="A1604" t="s">
        <v>3212</v>
      </c>
      <c r="B1604" s="1">
        <v>45711</v>
      </c>
      <c r="C1604" t="s">
        <v>493</v>
      </c>
      <c r="D1604" t="s">
        <v>1513</v>
      </c>
      <c r="E1604" t="s">
        <v>1542</v>
      </c>
      <c r="F1604">
        <v>2.5078164014794502</v>
      </c>
      <c r="G1604" s="14">
        <v>460.20228904227798</v>
      </c>
      <c r="H1604" s="17">
        <v>0.15704269283042599</v>
      </c>
      <c r="I1604" t="s">
        <v>1614</v>
      </c>
      <c r="J1604" s="14">
        <v>975.65164393071404</v>
      </c>
      <c r="K1604" s="14">
        <f t="shared" si="200"/>
        <v>134251.60648198138</v>
      </c>
      <c r="L1604" s="14">
        <f t="shared" si="201"/>
        <v>141</v>
      </c>
      <c r="M1604" s="14" t="str">
        <f t="shared" si="202"/>
        <v>23-02-2025</v>
      </c>
      <c r="N1604" s="14">
        <f t="shared" si="203"/>
        <v>0.15838158280716841</v>
      </c>
      <c r="O1604" s="20">
        <f t="shared" si="204"/>
        <v>2.5127840630789287</v>
      </c>
      <c r="P1604" s="14">
        <f t="shared" si="205"/>
        <v>449.95323522240659</v>
      </c>
      <c r="Q1604" s="14">
        <f t="shared" si="206"/>
        <v>359.6296980168255</v>
      </c>
      <c r="R1604" s="14" t="str">
        <f t="shared" si="207"/>
        <v>Feb</v>
      </c>
    </row>
    <row r="1605" spans="1:18" x14ac:dyDescent="0.3">
      <c r="A1605" t="s">
        <v>3213</v>
      </c>
      <c r="B1605" s="1">
        <v>45586</v>
      </c>
      <c r="C1605" t="s">
        <v>502</v>
      </c>
      <c r="D1605" t="s">
        <v>1485</v>
      </c>
      <c r="E1605" t="s">
        <v>1561</v>
      </c>
      <c r="F1605">
        <v>2.5078414906794402</v>
      </c>
      <c r="G1605" s="14">
        <v>460.15052614419801</v>
      </c>
      <c r="H1605" s="17">
        <v>0.15704945490101499</v>
      </c>
      <c r="I1605" t="s">
        <v>1614</v>
      </c>
      <c r="J1605" s="14">
        <v>975.54364747126203</v>
      </c>
      <c r="K1605" s="14">
        <f t="shared" si="200"/>
        <v>134251.60648198138</v>
      </c>
      <c r="L1605" s="14">
        <f t="shared" si="201"/>
        <v>141</v>
      </c>
      <c r="M1605" s="14" t="str">
        <f t="shared" si="202"/>
        <v>21-10-2024</v>
      </c>
      <c r="N1605" s="14">
        <f t="shared" si="203"/>
        <v>0.1583849638424632</v>
      </c>
      <c r="O1605" s="20">
        <f t="shared" si="204"/>
        <v>2.5127966076789274</v>
      </c>
      <c r="P1605" s="14">
        <f t="shared" si="205"/>
        <v>449.92735377336652</v>
      </c>
      <c r="Q1605" s="14">
        <f t="shared" si="206"/>
        <v>359.58976614026011</v>
      </c>
      <c r="R1605" s="14" t="str">
        <f t="shared" si="207"/>
        <v>Oct</v>
      </c>
    </row>
    <row r="1606" spans="1:18" x14ac:dyDescent="0.3">
      <c r="A1606" t="s">
        <v>3214</v>
      </c>
      <c r="B1606" s="1">
        <v>45334</v>
      </c>
      <c r="C1606" t="s">
        <v>628</v>
      </c>
      <c r="D1606" t="s">
        <v>1443</v>
      </c>
      <c r="E1606" t="s">
        <v>1542</v>
      </c>
      <c r="F1606">
        <v>2.5078665798794399</v>
      </c>
      <c r="G1606" s="14">
        <v>460.09876324611798</v>
      </c>
      <c r="H1606" s="17">
        <v>0.15705621697160499</v>
      </c>
      <c r="I1606" t="s">
        <v>1611</v>
      </c>
      <c r="J1606" s="14">
        <v>975.43565101181002</v>
      </c>
      <c r="K1606" s="14">
        <f t="shared" si="200"/>
        <v>134251.60648198138</v>
      </c>
      <c r="L1606" s="14">
        <f t="shared" si="201"/>
        <v>141</v>
      </c>
      <c r="M1606" s="14" t="str">
        <f t="shared" si="202"/>
        <v>12-02-2024</v>
      </c>
      <c r="N1606" s="14">
        <f t="shared" si="203"/>
        <v>0.15838834487775799</v>
      </c>
      <c r="O1606" s="20">
        <f t="shared" si="204"/>
        <v>2.5128091522789262</v>
      </c>
      <c r="P1606" s="14">
        <f t="shared" si="205"/>
        <v>449.90147232432651</v>
      </c>
      <c r="Q1606" s="14">
        <f t="shared" si="206"/>
        <v>359.54983426369478</v>
      </c>
      <c r="R1606" s="14" t="str">
        <f t="shared" si="207"/>
        <v>Feb</v>
      </c>
    </row>
    <row r="1607" spans="1:18" x14ac:dyDescent="0.3">
      <c r="A1607" t="s">
        <v>3215</v>
      </c>
      <c r="B1607" s="1">
        <v>45333</v>
      </c>
      <c r="C1607" t="s">
        <v>1288</v>
      </c>
      <c r="D1607" t="s">
        <v>1441</v>
      </c>
      <c r="E1607" t="s">
        <v>1542</v>
      </c>
      <c r="F1607">
        <v>2.5078916690794402</v>
      </c>
      <c r="G1607" s="14">
        <v>460.04700034803801</v>
      </c>
      <c r="H1607" s="17">
        <v>0.15706297904219499</v>
      </c>
      <c r="I1607" t="s">
        <v>1609</v>
      </c>
      <c r="J1607" s="14">
        <v>975.32765455235904</v>
      </c>
      <c r="K1607" s="14">
        <f t="shared" si="200"/>
        <v>134251.60648198138</v>
      </c>
      <c r="L1607" s="14">
        <f t="shared" si="201"/>
        <v>141</v>
      </c>
      <c r="M1607" s="14" t="str">
        <f t="shared" si="202"/>
        <v>11-02-2024</v>
      </c>
      <c r="N1607" s="14">
        <f t="shared" si="203"/>
        <v>0.15839172591305281</v>
      </c>
      <c r="O1607" s="20">
        <f t="shared" si="204"/>
        <v>2.5128216968789245</v>
      </c>
      <c r="P1607" s="14">
        <f t="shared" si="205"/>
        <v>449.87559087528638</v>
      </c>
      <c r="Q1607" s="14">
        <f t="shared" si="206"/>
        <v>359.50990238712967</v>
      </c>
      <c r="R1607" s="14" t="str">
        <f t="shared" si="207"/>
        <v>Feb</v>
      </c>
    </row>
    <row r="1608" spans="1:18" x14ac:dyDescent="0.3">
      <c r="A1608" t="s">
        <v>3216</v>
      </c>
      <c r="B1608" s="1">
        <v>45778</v>
      </c>
      <c r="C1608" t="s">
        <v>1282</v>
      </c>
      <c r="D1608" t="s">
        <v>1487</v>
      </c>
      <c r="E1608" t="s">
        <v>1582</v>
      </c>
      <c r="F1608">
        <v>2.5079167582794399</v>
      </c>
      <c r="G1608" s="14">
        <v>459.99523744995702</v>
      </c>
      <c r="H1608" s="17">
        <v>0.15706974111278399</v>
      </c>
      <c r="I1608" t="s">
        <v>1611</v>
      </c>
      <c r="J1608" s="14">
        <v>975.21965809290703</v>
      </c>
      <c r="K1608" s="14">
        <f t="shared" si="200"/>
        <v>133276.27882742899</v>
      </c>
      <c r="L1608" s="14">
        <f t="shared" si="201"/>
        <v>140</v>
      </c>
      <c r="M1608" s="14" t="str">
        <f t="shared" si="202"/>
        <v>01-05-2025</v>
      </c>
      <c r="N1608" s="14">
        <f t="shared" si="203"/>
        <v>0.15839510694834766</v>
      </c>
      <c r="O1608" s="20">
        <f t="shared" si="204"/>
        <v>2.5128342414789233</v>
      </c>
      <c r="P1608" s="14">
        <f t="shared" si="205"/>
        <v>449.84970942624631</v>
      </c>
      <c r="Q1608" s="14">
        <f t="shared" si="206"/>
        <v>359.46997051056405</v>
      </c>
      <c r="R1608" s="14" t="str">
        <f t="shared" si="207"/>
        <v>May</v>
      </c>
    </row>
    <row r="1609" spans="1:18" x14ac:dyDescent="0.3">
      <c r="A1609" t="s">
        <v>3217</v>
      </c>
      <c r="B1609" s="1">
        <v>45592</v>
      </c>
      <c r="C1609" t="s">
        <v>562</v>
      </c>
      <c r="D1609" t="s">
        <v>1371</v>
      </c>
      <c r="E1609" t="s">
        <v>1542</v>
      </c>
      <c r="F1609">
        <v>2.5079418474794299</v>
      </c>
      <c r="G1609" s="14">
        <v>459.94347455187699</v>
      </c>
      <c r="H1609" s="17">
        <v>0.15707650318337399</v>
      </c>
      <c r="I1609" t="s">
        <v>1614</v>
      </c>
      <c r="J1609" s="14">
        <v>975.11166163345501</v>
      </c>
      <c r="K1609" s="14">
        <f t="shared" si="200"/>
        <v>133276.27882742899</v>
      </c>
      <c r="L1609" s="14">
        <f t="shared" si="201"/>
        <v>140</v>
      </c>
      <c r="M1609" s="14" t="str">
        <f t="shared" si="202"/>
        <v>27-10-2024</v>
      </c>
      <c r="N1609" s="14">
        <f t="shared" si="203"/>
        <v>0.15839848798364245</v>
      </c>
      <c r="O1609" s="20">
        <f t="shared" si="204"/>
        <v>2.5128467860789225</v>
      </c>
      <c r="P1609" s="14">
        <f t="shared" si="205"/>
        <v>449.82382797720618</v>
      </c>
      <c r="Q1609" s="14">
        <f t="shared" si="206"/>
        <v>359.43003863399872</v>
      </c>
      <c r="R1609" s="14" t="str">
        <f t="shared" si="207"/>
        <v>Oct</v>
      </c>
    </row>
    <row r="1610" spans="1:18" x14ac:dyDescent="0.3">
      <c r="A1610" t="s">
        <v>3218</v>
      </c>
      <c r="B1610" s="1">
        <v>45259</v>
      </c>
      <c r="C1610" t="s">
        <v>1190</v>
      </c>
      <c r="D1610" t="s">
        <v>1385</v>
      </c>
      <c r="E1610" t="s">
        <v>1564</v>
      </c>
      <c r="F1610">
        <v>2.5079669366794302</v>
      </c>
      <c r="G1610" s="14">
        <v>459.89171165379702</v>
      </c>
      <c r="H1610" s="17">
        <v>0.15708326525396299</v>
      </c>
      <c r="I1610" t="s">
        <v>1614</v>
      </c>
      <c r="J1610" s="14">
        <v>975.00366517400403</v>
      </c>
      <c r="K1610" s="14">
        <f t="shared" si="200"/>
        <v>133276.27882742899</v>
      </c>
      <c r="L1610" s="14">
        <f t="shared" si="201"/>
        <v>140</v>
      </c>
      <c r="M1610" s="14" t="str">
        <f t="shared" si="202"/>
        <v>29-11-2023</v>
      </c>
      <c r="N1610" s="14">
        <f t="shared" si="203"/>
        <v>0.15840186901893724</v>
      </c>
      <c r="O1610" s="20">
        <f t="shared" si="204"/>
        <v>2.5128593306789209</v>
      </c>
      <c r="P1610" s="14">
        <f t="shared" si="205"/>
        <v>449.79794652816616</v>
      </c>
      <c r="Q1610" s="14">
        <f t="shared" si="206"/>
        <v>359.39010675743361</v>
      </c>
      <c r="R1610" s="14" t="str">
        <f t="shared" si="207"/>
        <v>Nov</v>
      </c>
    </row>
    <row r="1611" spans="1:18" x14ac:dyDescent="0.3">
      <c r="A1611" t="s">
        <v>3219</v>
      </c>
      <c r="B1611" s="1">
        <v>45801</v>
      </c>
      <c r="C1611" t="s">
        <v>1223</v>
      </c>
      <c r="D1611" t="s">
        <v>1375</v>
      </c>
      <c r="E1611" t="s">
        <v>1537</v>
      </c>
      <c r="F1611">
        <v>2.5079920258794299</v>
      </c>
      <c r="G1611" s="14">
        <v>459.83994875571699</v>
      </c>
      <c r="H1611" s="17">
        <v>0.15709002732455299</v>
      </c>
      <c r="I1611" t="s">
        <v>1614</v>
      </c>
      <c r="J1611" s="14">
        <v>974.89566871455202</v>
      </c>
      <c r="K1611" s="14">
        <f t="shared" si="200"/>
        <v>133276.27882742899</v>
      </c>
      <c r="L1611" s="14">
        <f t="shared" si="201"/>
        <v>140</v>
      </c>
      <c r="M1611" s="14" t="str">
        <f t="shared" si="202"/>
        <v>24-05-2025</v>
      </c>
      <c r="N1611" s="14">
        <f t="shared" si="203"/>
        <v>0.15840525005423203</v>
      </c>
      <c r="O1611" s="20">
        <f t="shared" si="204"/>
        <v>2.5128718752789196</v>
      </c>
      <c r="P1611" s="14">
        <f t="shared" si="205"/>
        <v>449.77206507912615</v>
      </c>
      <c r="Q1611" s="14">
        <f t="shared" si="206"/>
        <v>359.35017488086828</v>
      </c>
      <c r="R1611" s="14" t="str">
        <f t="shared" si="207"/>
        <v>May</v>
      </c>
    </row>
    <row r="1612" spans="1:18" x14ac:dyDescent="0.3">
      <c r="A1612" t="s">
        <v>3220</v>
      </c>
      <c r="B1612" s="1">
        <v>45347</v>
      </c>
      <c r="C1612" t="s">
        <v>681</v>
      </c>
      <c r="D1612" t="s">
        <v>1449</v>
      </c>
      <c r="E1612" t="s">
        <v>1551</v>
      </c>
      <c r="F1612">
        <v>2.5080171150794301</v>
      </c>
      <c r="G1612" s="14">
        <v>459.78818585763702</v>
      </c>
      <c r="H1612" s="17">
        <v>0.15709678939514299</v>
      </c>
      <c r="I1612" t="s">
        <v>1611</v>
      </c>
      <c r="J1612" s="14">
        <v>974.78767225510001</v>
      </c>
      <c r="K1612" s="14">
        <f t="shared" si="200"/>
        <v>133276.27882742899</v>
      </c>
      <c r="L1612" s="14">
        <f t="shared" si="201"/>
        <v>140</v>
      </c>
      <c r="M1612" s="14" t="str">
        <f t="shared" si="202"/>
        <v>25-02-2024</v>
      </c>
      <c r="N1612" s="14">
        <f t="shared" si="203"/>
        <v>0.15840863108952685</v>
      </c>
      <c r="O1612" s="20">
        <f t="shared" si="204"/>
        <v>2.5128844198789184</v>
      </c>
      <c r="P1612" s="14">
        <f t="shared" si="205"/>
        <v>449.74618363008597</v>
      </c>
      <c r="Q1612" s="14">
        <f t="shared" si="206"/>
        <v>359.31024300430289</v>
      </c>
      <c r="R1612" s="14" t="str">
        <f t="shared" si="207"/>
        <v>Feb</v>
      </c>
    </row>
    <row r="1613" spans="1:18" x14ac:dyDescent="0.3">
      <c r="A1613" t="s">
        <v>3221</v>
      </c>
      <c r="B1613" s="1">
        <v>45721</v>
      </c>
      <c r="C1613" t="s">
        <v>502</v>
      </c>
      <c r="D1613" t="s">
        <v>1475</v>
      </c>
      <c r="E1613" t="s">
        <v>1542</v>
      </c>
      <c r="F1613">
        <v>2.5080422042794202</v>
      </c>
      <c r="G1613" s="14">
        <v>459.73642295955699</v>
      </c>
      <c r="H1613" s="17">
        <v>0.15710355146573199</v>
      </c>
      <c r="I1613" t="s">
        <v>1611</v>
      </c>
      <c r="J1613" s="14">
        <v>974.679675795648</v>
      </c>
      <c r="K1613" s="14">
        <f t="shared" si="200"/>
        <v>133276.27882742899</v>
      </c>
      <c r="L1613" s="14">
        <f t="shared" si="201"/>
        <v>140</v>
      </c>
      <c r="M1613" s="14" t="str">
        <f t="shared" si="202"/>
        <v>05-03-2025</v>
      </c>
      <c r="N1613" s="14">
        <f t="shared" si="203"/>
        <v>0.15841201212482164</v>
      </c>
      <c r="O1613" s="20">
        <f t="shared" si="204"/>
        <v>2.5128969644789176</v>
      </c>
      <c r="P1613" s="14">
        <f t="shared" si="205"/>
        <v>449.72030218104589</v>
      </c>
      <c r="Q1613" s="14">
        <f t="shared" si="206"/>
        <v>359.27031112773756</v>
      </c>
      <c r="R1613" s="14" t="str">
        <f t="shared" si="207"/>
        <v>Mar</v>
      </c>
    </row>
    <row r="1614" spans="1:18" x14ac:dyDescent="0.3">
      <c r="A1614" t="s">
        <v>3222</v>
      </c>
      <c r="B1614" s="1">
        <v>45531</v>
      </c>
      <c r="C1614" t="s">
        <v>36</v>
      </c>
      <c r="D1614" t="s">
        <v>1411</v>
      </c>
      <c r="E1614" t="s">
        <v>1595</v>
      </c>
      <c r="F1614">
        <v>2.5080672934794199</v>
      </c>
      <c r="G1614" s="14">
        <v>459.684660061476</v>
      </c>
      <c r="H1614" s="17">
        <v>0.15711031353632199</v>
      </c>
      <c r="I1614" t="s">
        <v>1611</v>
      </c>
      <c r="J1614" s="14">
        <v>974.57167933619701</v>
      </c>
      <c r="K1614" s="14">
        <f t="shared" si="200"/>
        <v>133276.27882742899</v>
      </c>
      <c r="L1614" s="14">
        <f t="shared" si="201"/>
        <v>140</v>
      </c>
      <c r="M1614" s="14" t="str">
        <f t="shared" si="202"/>
        <v>27-08-2024</v>
      </c>
      <c r="N1614" s="14">
        <f t="shared" si="203"/>
        <v>0.15841539316011646</v>
      </c>
      <c r="O1614" s="20">
        <f t="shared" si="204"/>
        <v>2.5129095090789164</v>
      </c>
      <c r="P1614" s="14">
        <f t="shared" si="205"/>
        <v>449.69442073200577</v>
      </c>
      <c r="Q1614" s="14">
        <f t="shared" si="206"/>
        <v>359.23037925117217</v>
      </c>
      <c r="R1614" s="14" t="str">
        <f t="shared" si="207"/>
        <v>Aug</v>
      </c>
    </row>
    <row r="1615" spans="1:18" x14ac:dyDescent="0.3">
      <c r="A1615" t="s">
        <v>3223</v>
      </c>
      <c r="B1615" s="1">
        <v>45332</v>
      </c>
      <c r="C1615" t="s">
        <v>1261</v>
      </c>
      <c r="D1615" t="s">
        <v>1461</v>
      </c>
      <c r="E1615" t="s">
        <v>1551</v>
      </c>
      <c r="F1615">
        <v>2.5080923826794201</v>
      </c>
      <c r="G1615" s="14">
        <v>459.63289716339602</v>
      </c>
      <c r="H1615" s="17">
        <v>0.15711707560691099</v>
      </c>
      <c r="I1615" t="s">
        <v>1614</v>
      </c>
      <c r="J1615" s="14">
        <v>974.463682876745</v>
      </c>
      <c r="K1615" s="14">
        <f t="shared" si="200"/>
        <v>133276.27882742899</v>
      </c>
      <c r="L1615" s="14">
        <f t="shared" si="201"/>
        <v>140</v>
      </c>
      <c r="M1615" s="14" t="str">
        <f t="shared" si="202"/>
        <v>10-02-2024</v>
      </c>
      <c r="N1615" s="14">
        <f t="shared" si="203"/>
        <v>0.15841877419541128</v>
      </c>
      <c r="O1615" s="20">
        <f t="shared" si="204"/>
        <v>2.5129220536789152</v>
      </c>
      <c r="P1615" s="14">
        <f t="shared" si="205"/>
        <v>449.66853928296581</v>
      </c>
      <c r="Q1615" s="14">
        <f t="shared" si="206"/>
        <v>359.19044737460683</v>
      </c>
      <c r="R1615" s="14" t="str">
        <f t="shared" si="207"/>
        <v>Feb</v>
      </c>
    </row>
    <row r="1616" spans="1:18" x14ac:dyDescent="0.3">
      <c r="A1616" t="s">
        <v>3224</v>
      </c>
      <c r="B1616" s="1">
        <v>45344</v>
      </c>
      <c r="C1616" t="s">
        <v>1175</v>
      </c>
      <c r="D1616" t="s">
        <v>1503</v>
      </c>
      <c r="E1616" t="s">
        <v>1551</v>
      </c>
      <c r="F1616">
        <v>2.5081174718794199</v>
      </c>
      <c r="G1616" s="14">
        <v>459.581134265316</v>
      </c>
      <c r="H1616" s="17">
        <v>0.15712383767750099</v>
      </c>
      <c r="I1616" t="s">
        <v>1609</v>
      </c>
      <c r="J1616" s="14">
        <v>974.35568641729299</v>
      </c>
      <c r="K1616" s="14">
        <f t="shared" si="200"/>
        <v>133276.27882742899</v>
      </c>
      <c r="L1616" s="14">
        <f t="shared" si="201"/>
        <v>140</v>
      </c>
      <c r="M1616" s="14" t="str">
        <f t="shared" si="202"/>
        <v>22-02-2024</v>
      </c>
      <c r="N1616" s="14">
        <f t="shared" si="203"/>
        <v>0.1584221552307061</v>
      </c>
      <c r="O1616" s="20">
        <f t="shared" si="204"/>
        <v>2.5129345982789135</v>
      </c>
      <c r="P1616" s="14">
        <f t="shared" si="205"/>
        <v>449.64265783392574</v>
      </c>
      <c r="Q1616" s="14">
        <f t="shared" si="206"/>
        <v>359.1505154980415</v>
      </c>
      <c r="R1616" s="14" t="str">
        <f t="shared" si="207"/>
        <v>Feb</v>
      </c>
    </row>
    <row r="1617" spans="1:18" x14ac:dyDescent="0.3">
      <c r="A1617" t="s">
        <v>3225</v>
      </c>
      <c r="B1617" s="1">
        <v>45388</v>
      </c>
      <c r="C1617" t="s">
        <v>1300</v>
      </c>
      <c r="D1617" t="s">
        <v>1377</v>
      </c>
      <c r="E1617" t="s">
        <v>1579</v>
      </c>
      <c r="F1617">
        <v>2.5081425610794099</v>
      </c>
      <c r="G1617" s="14">
        <v>459.52937136723602</v>
      </c>
      <c r="H1617" s="17">
        <v>0.15713059974809099</v>
      </c>
      <c r="I1617" t="s">
        <v>1611</v>
      </c>
      <c r="J1617" s="14">
        <v>974.24768995784098</v>
      </c>
      <c r="K1617" s="14">
        <f t="shared" si="200"/>
        <v>132301.92314101171</v>
      </c>
      <c r="L1617" s="14">
        <f t="shared" si="201"/>
        <v>139</v>
      </c>
      <c r="M1617" s="14" t="str">
        <f t="shared" si="202"/>
        <v>06-04-2024</v>
      </c>
      <c r="N1617" s="14">
        <f t="shared" si="203"/>
        <v>0.15842553626600089</v>
      </c>
      <c r="O1617" s="20">
        <f t="shared" si="204"/>
        <v>2.5129471428789123</v>
      </c>
      <c r="P1617" s="14">
        <f t="shared" si="205"/>
        <v>449.61677638488567</v>
      </c>
      <c r="Q1617" s="14">
        <f t="shared" si="206"/>
        <v>359.11058362147611</v>
      </c>
      <c r="R1617" s="14" t="str">
        <f t="shared" si="207"/>
        <v>Apr</v>
      </c>
    </row>
    <row r="1618" spans="1:18" x14ac:dyDescent="0.3">
      <c r="A1618" t="s">
        <v>3226</v>
      </c>
      <c r="B1618" s="1">
        <v>45397</v>
      </c>
      <c r="C1618" t="s">
        <v>711</v>
      </c>
      <c r="D1618" t="s">
        <v>1405</v>
      </c>
      <c r="E1618" t="s">
        <v>1592</v>
      </c>
      <c r="F1618">
        <v>2.5081676502794101</v>
      </c>
      <c r="G1618" s="14">
        <v>459.477608469156</v>
      </c>
      <c r="H1618" s="17">
        <v>0.15713736181867999</v>
      </c>
      <c r="I1618" t="s">
        <v>1614</v>
      </c>
      <c r="J1618" s="14">
        <v>974.13969349838999</v>
      </c>
      <c r="K1618" s="14">
        <f t="shared" si="200"/>
        <v>132301.92314101171</v>
      </c>
      <c r="L1618" s="14">
        <f t="shared" si="201"/>
        <v>139</v>
      </c>
      <c r="M1618" s="14" t="str">
        <f t="shared" si="202"/>
        <v>15-04-2024</v>
      </c>
      <c r="N1618" s="14">
        <f t="shared" si="203"/>
        <v>0.15842891730129569</v>
      </c>
      <c r="O1618" s="20">
        <f t="shared" si="204"/>
        <v>2.5129596874789111</v>
      </c>
      <c r="P1618" s="14">
        <f t="shared" si="205"/>
        <v>449.59089493584554</v>
      </c>
      <c r="Q1618" s="14">
        <f t="shared" si="206"/>
        <v>359.070651744911</v>
      </c>
      <c r="R1618" s="14" t="str">
        <f t="shared" si="207"/>
        <v>Apr</v>
      </c>
    </row>
    <row r="1619" spans="1:18" x14ac:dyDescent="0.3">
      <c r="A1619" t="s">
        <v>3227</v>
      </c>
      <c r="B1619" s="1">
        <v>45633</v>
      </c>
      <c r="C1619" t="s">
        <v>67</v>
      </c>
      <c r="D1619" t="s">
        <v>1359</v>
      </c>
      <c r="E1619" t="s">
        <v>1551</v>
      </c>
      <c r="F1619">
        <v>2.5081927394794099</v>
      </c>
      <c r="G1619" s="14">
        <v>459.42584557107602</v>
      </c>
      <c r="H1619" s="17">
        <v>0.15714412388926999</v>
      </c>
      <c r="I1619" t="s">
        <v>1609</v>
      </c>
      <c r="J1619" s="14">
        <v>974.03169703893798</v>
      </c>
      <c r="K1619" s="14">
        <f t="shared" si="200"/>
        <v>132301.92314101171</v>
      </c>
      <c r="L1619" s="14">
        <f t="shared" si="201"/>
        <v>139</v>
      </c>
      <c r="M1619" s="14" t="str">
        <f t="shared" si="202"/>
        <v>07-12-2024</v>
      </c>
      <c r="N1619" s="14">
        <f t="shared" si="203"/>
        <v>0.1584322983365905</v>
      </c>
      <c r="O1619" s="20">
        <f t="shared" si="204"/>
        <v>2.5129722320789094</v>
      </c>
      <c r="P1619" s="14">
        <f t="shared" si="205"/>
        <v>449.56501348680553</v>
      </c>
      <c r="Q1619" s="14">
        <f t="shared" si="206"/>
        <v>359.03071986834567</v>
      </c>
      <c r="R1619" s="14" t="str">
        <f t="shared" si="207"/>
        <v>Dec</v>
      </c>
    </row>
    <row r="1620" spans="1:18" x14ac:dyDescent="0.3">
      <c r="A1620" t="s">
        <v>3228</v>
      </c>
      <c r="B1620" s="1">
        <v>45629</v>
      </c>
      <c r="C1620" t="s">
        <v>208</v>
      </c>
      <c r="D1620" t="s">
        <v>1363</v>
      </c>
      <c r="E1620" t="s">
        <v>1561</v>
      </c>
      <c r="F1620">
        <v>2.5082178286793999</v>
      </c>
      <c r="G1620" s="14">
        <v>459.37408267299497</v>
      </c>
      <c r="H1620" s="17">
        <v>0.15715088595985899</v>
      </c>
      <c r="I1620" t="s">
        <v>1614</v>
      </c>
      <c r="J1620" s="14">
        <v>973.92370057948597</v>
      </c>
      <c r="K1620" s="14">
        <f t="shared" si="200"/>
        <v>131327.89144397277</v>
      </c>
      <c r="L1620" s="14">
        <f t="shared" si="201"/>
        <v>138</v>
      </c>
      <c r="M1620" s="14" t="str">
        <f t="shared" si="202"/>
        <v>03-12-2024</v>
      </c>
      <c r="N1620" s="14">
        <f t="shared" si="203"/>
        <v>0.1584356793718853</v>
      </c>
      <c r="O1620" s="20">
        <f t="shared" si="204"/>
        <v>2.5129847766789082</v>
      </c>
      <c r="P1620" s="14">
        <f t="shared" si="205"/>
        <v>449.53913203776546</v>
      </c>
      <c r="Q1620" s="14">
        <f t="shared" si="206"/>
        <v>358.99078799178005</v>
      </c>
      <c r="R1620" s="14" t="str">
        <f t="shared" si="207"/>
        <v>Dec</v>
      </c>
    </row>
    <row r="1621" spans="1:18" x14ac:dyDescent="0.3">
      <c r="A1621" t="s">
        <v>3229</v>
      </c>
      <c r="B1621" s="1">
        <v>45291</v>
      </c>
      <c r="C1621" t="s">
        <v>181</v>
      </c>
      <c r="D1621" t="s">
        <v>1517</v>
      </c>
      <c r="E1621" t="s">
        <v>1554</v>
      </c>
      <c r="F1621">
        <v>2.5082429178794001</v>
      </c>
      <c r="G1621" s="14">
        <v>459.322319774915</v>
      </c>
      <c r="H1621" s="17">
        <v>0.15715764803044899</v>
      </c>
      <c r="I1621" t="s">
        <v>1611</v>
      </c>
      <c r="J1621" s="14">
        <v>973.81570412003396</v>
      </c>
      <c r="K1621" s="14">
        <f t="shared" si="200"/>
        <v>131327.89144397277</v>
      </c>
      <c r="L1621" s="14">
        <f t="shared" si="201"/>
        <v>138</v>
      </c>
      <c r="M1621" s="14" t="str">
        <f t="shared" si="202"/>
        <v>31-12-2023</v>
      </c>
      <c r="N1621" s="14">
        <f t="shared" si="203"/>
        <v>0.15843906040718009</v>
      </c>
      <c r="O1621" s="20">
        <f t="shared" si="204"/>
        <v>2.5129973212789065</v>
      </c>
      <c r="P1621" s="14">
        <f t="shared" si="205"/>
        <v>449.51325058872533</v>
      </c>
      <c r="Q1621" s="14">
        <f t="shared" si="206"/>
        <v>358.95085611521472</v>
      </c>
      <c r="R1621" s="14" t="str">
        <f t="shared" si="207"/>
        <v>Dec</v>
      </c>
    </row>
    <row r="1622" spans="1:18" x14ac:dyDescent="0.3">
      <c r="A1622" t="s">
        <v>3230</v>
      </c>
      <c r="B1622" s="1">
        <v>45914</v>
      </c>
      <c r="C1622" t="s">
        <v>595</v>
      </c>
      <c r="D1622" t="s">
        <v>1513</v>
      </c>
      <c r="E1622" t="s">
        <v>1595</v>
      </c>
      <c r="F1622">
        <v>2.5082680070793999</v>
      </c>
      <c r="G1622" s="14">
        <v>459.27055687683497</v>
      </c>
      <c r="H1622" s="17">
        <v>0.15716441010103899</v>
      </c>
      <c r="I1622" t="s">
        <v>1611</v>
      </c>
      <c r="J1622" s="14">
        <v>973.70770766058297</v>
      </c>
      <c r="K1622" s="14">
        <f t="shared" si="200"/>
        <v>131327.89144397277</v>
      </c>
      <c r="L1622" s="14">
        <f t="shared" si="201"/>
        <v>138</v>
      </c>
      <c r="M1622" s="14" t="str">
        <f t="shared" si="202"/>
        <v>14-09-2025</v>
      </c>
      <c r="N1622" s="14">
        <f t="shared" si="203"/>
        <v>0.15844244144247491</v>
      </c>
      <c r="O1622" s="20">
        <f t="shared" si="204"/>
        <v>2.5130098658789057</v>
      </c>
      <c r="P1622" s="14">
        <f t="shared" si="205"/>
        <v>449.4873691396852</v>
      </c>
      <c r="Q1622" s="14">
        <f t="shared" si="206"/>
        <v>358.91092423864961</v>
      </c>
      <c r="R1622" s="14" t="str">
        <f t="shared" si="207"/>
        <v>Sep</v>
      </c>
    </row>
    <row r="1623" spans="1:18" x14ac:dyDescent="0.3">
      <c r="A1623" t="s">
        <v>3231</v>
      </c>
      <c r="B1623" s="1">
        <v>45673</v>
      </c>
      <c r="C1623" t="s">
        <v>211</v>
      </c>
      <c r="D1623" t="s">
        <v>1425</v>
      </c>
      <c r="E1623" t="s">
        <v>1551</v>
      </c>
      <c r="F1623">
        <v>2.5082930962794001</v>
      </c>
      <c r="G1623" s="14">
        <v>459.218793978755</v>
      </c>
      <c r="H1623" s="17">
        <v>0.15717117217162799</v>
      </c>
      <c r="I1623" t="s">
        <v>1614</v>
      </c>
      <c r="J1623" s="14">
        <v>973.59971120113096</v>
      </c>
      <c r="K1623" s="14">
        <f t="shared" si="200"/>
        <v>131327.89144397277</v>
      </c>
      <c r="L1623" s="14">
        <f t="shared" si="201"/>
        <v>138</v>
      </c>
      <c r="M1623" s="14" t="str">
        <f t="shared" si="202"/>
        <v>16-01-2025</v>
      </c>
      <c r="N1623" s="14">
        <f t="shared" si="203"/>
        <v>0.15844582247776973</v>
      </c>
      <c r="O1623" s="20">
        <f t="shared" si="204"/>
        <v>2.5130224104789041</v>
      </c>
      <c r="P1623" s="14">
        <f t="shared" si="205"/>
        <v>449.46148769064513</v>
      </c>
      <c r="Q1623" s="14">
        <f t="shared" si="206"/>
        <v>358.87099236208422</v>
      </c>
      <c r="R1623" s="14" t="str">
        <f t="shared" si="207"/>
        <v>Jan</v>
      </c>
    </row>
    <row r="1624" spans="1:18" x14ac:dyDescent="0.3">
      <c r="A1624" t="s">
        <v>3232</v>
      </c>
      <c r="B1624" s="1">
        <v>45689</v>
      </c>
      <c r="C1624" t="s">
        <v>1109</v>
      </c>
      <c r="D1624" t="s">
        <v>1455</v>
      </c>
      <c r="E1624" t="s">
        <v>1561</v>
      </c>
      <c r="F1624">
        <v>2.5083181854793901</v>
      </c>
      <c r="G1624" s="14">
        <v>459.16703108067497</v>
      </c>
      <c r="H1624" s="17">
        <v>0.15717793424221799</v>
      </c>
      <c r="I1624" t="s">
        <v>1609</v>
      </c>
      <c r="J1624" s="14">
        <v>973.49171474167895</v>
      </c>
      <c r="K1624" s="14">
        <f t="shared" si="200"/>
        <v>131327.89144397277</v>
      </c>
      <c r="L1624" s="14">
        <f t="shared" si="201"/>
        <v>138</v>
      </c>
      <c r="M1624" s="14" t="str">
        <f t="shared" si="202"/>
        <v>01-02-2025</v>
      </c>
      <c r="N1624" s="14">
        <f t="shared" si="203"/>
        <v>0.15844920351306452</v>
      </c>
      <c r="O1624" s="20">
        <f t="shared" si="204"/>
        <v>2.5130349550789024</v>
      </c>
      <c r="P1624" s="14">
        <f t="shared" si="205"/>
        <v>449.43560624160511</v>
      </c>
      <c r="Q1624" s="14">
        <f t="shared" si="206"/>
        <v>358.83106048551889</v>
      </c>
      <c r="R1624" s="14" t="str">
        <f t="shared" si="207"/>
        <v>Feb</v>
      </c>
    </row>
    <row r="1625" spans="1:18" x14ac:dyDescent="0.3">
      <c r="A1625" t="s">
        <v>3233</v>
      </c>
      <c r="B1625" s="1">
        <v>45646</v>
      </c>
      <c r="C1625" t="s">
        <v>425</v>
      </c>
      <c r="D1625" t="s">
        <v>1377</v>
      </c>
      <c r="E1625" t="s">
        <v>1561</v>
      </c>
      <c r="F1625">
        <v>2.5083432746793899</v>
      </c>
      <c r="G1625" s="14">
        <v>459.115268182595</v>
      </c>
      <c r="H1625" s="17">
        <v>0.15718469631280799</v>
      </c>
      <c r="I1625" t="s">
        <v>1609</v>
      </c>
      <c r="J1625" s="14">
        <v>973.38371828222796</v>
      </c>
      <c r="K1625" s="14">
        <f t="shared" si="200"/>
        <v>130354.3997292311</v>
      </c>
      <c r="L1625" s="14">
        <f t="shared" si="201"/>
        <v>137</v>
      </c>
      <c r="M1625" s="14" t="str">
        <f t="shared" si="202"/>
        <v>20-12-2024</v>
      </c>
      <c r="N1625" s="14">
        <f t="shared" si="203"/>
        <v>0.15845258454835934</v>
      </c>
      <c r="O1625" s="20">
        <f t="shared" si="204"/>
        <v>2.5130474996789016</v>
      </c>
      <c r="P1625" s="14">
        <f t="shared" si="205"/>
        <v>449.40972479256504</v>
      </c>
      <c r="Q1625" s="14">
        <f t="shared" si="206"/>
        <v>358.79112860895378</v>
      </c>
      <c r="R1625" s="14" t="str">
        <f t="shared" si="207"/>
        <v>Dec</v>
      </c>
    </row>
    <row r="1626" spans="1:18" x14ac:dyDescent="0.3">
      <c r="A1626" t="s">
        <v>3234</v>
      </c>
      <c r="B1626" s="1">
        <v>45475</v>
      </c>
      <c r="C1626" t="s">
        <v>1225</v>
      </c>
      <c r="D1626" t="s">
        <v>1365</v>
      </c>
      <c r="E1626" t="s">
        <v>1567</v>
      </c>
      <c r="F1626">
        <v>2.5083683638793901</v>
      </c>
      <c r="G1626" s="14">
        <v>459.06350528451497</v>
      </c>
      <c r="H1626" s="17">
        <v>0.15719145838339699</v>
      </c>
      <c r="I1626" t="s">
        <v>1611</v>
      </c>
      <c r="J1626" s="14">
        <v>973.27572182277595</v>
      </c>
      <c r="K1626" s="14">
        <f t="shared" si="200"/>
        <v>129381.01601094885</v>
      </c>
      <c r="L1626" s="14">
        <f t="shared" si="201"/>
        <v>136</v>
      </c>
      <c r="M1626" s="14" t="str">
        <f t="shared" si="202"/>
        <v>02-07-2024</v>
      </c>
      <c r="N1626" s="14">
        <f t="shared" si="203"/>
        <v>0.15845596558365413</v>
      </c>
      <c r="O1626" s="20">
        <f t="shared" si="204"/>
        <v>2.5130600442788995</v>
      </c>
      <c r="P1626" s="14">
        <f t="shared" si="205"/>
        <v>449.38384334352497</v>
      </c>
      <c r="Q1626" s="14">
        <f t="shared" si="206"/>
        <v>358.75119673238845</v>
      </c>
      <c r="R1626" s="14" t="str">
        <f t="shared" si="207"/>
        <v>Jul</v>
      </c>
    </row>
    <row r="1627" spans="1:18" x14ac:dyDescent="0.3">
      <c r="A1627" t="s">
        <v>3235</v>
      </c>
      <c r="B1627" s="1">
        <v>45781</v>
      </c>
      <c r="C1627" t="s">
        <v>185</v>
      </c>
      <c r="D1627" t="s">
        <v>1523</v>
      </c>
      <c r="E1627" t="s">
        <v>1584</v>
      </c>
      <c r="F1627">
        <v>2.5083934530793899</v>
      </c>
      <c r="G1627" s="14">
        <v>459.01174238643398</v>
      </c>
      <c r="H1627" s="17">
        <v>0.15719822045398699</v>
      </c>
      <c r="I1627" t="s">
        <v>1611</v>
      </c>
      <c r="J1627" s="14">
        <v>973.16772536332405</v>
      </c>
      <c r="K1627" s="14">
        <f t="shared" si="200"/>
        <v>129381.01601094885</v>
      </c>
      <c r="L1627" s="14">
        <f t="shared" si="201"/>
        <v>136</v>
      </c>
      <c r="M1627" s="14" t="str">
        <f t="shared" si="202"/>
        <v>04-05-2025</v>
      </c>
      <c r="N1627" s="14">
        <f t="shared" si="203"/>
        <v>0.15845934661894892</v>
      </c>
      <c r="O1627" s="20">
        <f t="shared" si="204"/>
        <v>2.5130725888788987</v>
      </c>
      <c r="P1627" s="14">
        <f t="shared" si="205"/>
        <v>449.35796189448479</v>
      </c>
      <c r="Q1627" s="14">
        <f t="shared" si="206"/>
        <v>358.71126485582283</v>
      </c>
      <c r="R1627" s="14" t="str">
        <f t="shared" si="207"/>
        <v>May</v>
      </c>
    </row>
    <row r="1628" spans="1:18" x14ac:dyDescent="0.3">
      <c r="A1628" t="s">
        <v>3236</v>
      </c>
      <c r="B1628" s="1">
        <v>45654</v>
      </c>
      <c r="C1628" t="s">
        <v>230</v>
      </c>
      <c r="D1628" t="s">
        <v>1407</v>
      </c>
      <c r="E1628" t="s">
        <v>1577</v>
      </c>
      <c r="F1628">
        <v>2.5084185422793799</v>
      </c>
      <c r="G1628" s="14">
        <v>458.95997948835401</v>
      </c>
      <c r="H1628" s="17">
        <v>0.15720498252457599</v>
      </c>
      <c r="I1628" t="s">
        <v>1611</v>
      </c>
      <c r="J1628" s="14">
        <v>973.05972890387204</v>
      </c>
      <c r="K1628" s="14">
        <f t="shared" si="200"/>
        <v>129381.01601094885</v>
      </c>
      <c r="L1628" s="14">
        <f t="shared" si="201"/>
        <v>136</v>
      </c>
      <c r="M1628" s="14" t="str">
        <f t="shared" si="202"/>
        <v>28-12-2024</v>
      </c>
      <c r="N1628" s="14">
        <f t="shared" si="203"/>
        <v>0.15846272765424371</v>
      </c>
      <c r="O1628" s="20">
        <f t="shared" si="204"/>
        <v>2.5130851334788971</v>
      </c>
      <c r="P1628" s="14">
        <f t="shared" si="205"/>
        <v>449.33208044544477</v>
      </c>
      <c r="Q1628" s="14">
        <f t="shared" si="206"/>
        <v>358.6713329792575</v>
      </c>
      <c r="R1628" s="14" t="str">
        <f t="shared" si="207"/>
        <v>Dec</v>
      </c>
    </row>
    <row r="1629" spans="1:18" x14ac:dyDescent="0.3">
      <c r="A1629" t="s">
        <v>3237</v>
      </c>
      <c r="B1629" s="1">
        <v>45594</v>
      </c>
      <c r="C1629" t="s">
        <v>195</v>
      </c>
      <c r="D1629" t="s">
        <v>1375</v>
      </c>
      <c r="E1629" t="s">
        <v>1537</v>
      </c>
      <c r="F1629">
        <v>2.5084436314793801</v>
      </c>
      <c r="G1629" s="14">
        <v>458.90821659027398</v>
      </c>
      <c r="H1629" s="17">
        <v>0.15721174459516599</v>
      </c>
      <c r="I1629" t="s">
        <v>1611</v>
      </c>
      <c r="J1629" s="14">
        <v>972.95173244442105</v>
      </c>
      <c r="K1629" s="14">
        <f t="shared" si="200"/>
        <v>129381.01601094885</v>
      </c>
      <c r="L1629" s="14">
        <f t="shared" si="201"/>
        <v>136</v>
      </c>
      <c r="M1629" s="14" t="str">
        <f t="shared" si="202"/>
        <v>29-10-2024</v>
      </c>
      <c r="N1629" s="14">
        <f t="shared" si="203"/>
        <v>0.15846610868953853</v>
      </c>
      <c r="O1629" s="20">
        <f t="shared" si="204"/>
        <v>2.5130976780788958</v>
      </c>
      <c r="P1629" s="14">
        <f t="shared" si="205"/>
        <v>449.30619899640465</v>
      </c>
      <c r="Q1629" s="14">
        <f t="shared" si="206"/>
        <v>358.63140110269239</v>
      </c>
      <c r="R1629" s="14" t="str">
        <f t="shared" si="207"/>
        <v>Oct</v>
      </c>
    </row>
    <row r="1630" spans="1:18" x14ac:dyDescent="0.3">
      <c r="A1630" t="s">
        <v>3238</v>
      </c>
      <c r="B1630" s="1">
        <v>45581</v>
      </c>
      <c r="C1630" t="s">
        <v>214</v>
      </c>
      <c r="D1630" t="s">
        <v>1459</v>
      </c>
      <c r="E1630" t="s">
        <v>1564</v>
      </c>
      <c r="F1630">
        <v>2.5084687206793799</v>
      </c>
      <c r="G1630" s="14">
        <v>458.85645369219401</v>
      </c>
      <c r="H1630" s="17">
        <v>0.15721850666575601</v>
      </c>
      <c r="I1630" t="s">
        <v>1609</v>
      </c>
      <c r="J1630" s="14">
        <v>972.84373598496904</v>
      </c>
      <c r="K1630" s="14">
        <f t="shared" si="200"/>
        <v>129381.01601094885</v>
      </c>
      <c r="L1630" s="14">
        <f t="shared" si="201"/>
        <v>136</v>
      </c>
      <c r="M1630" s="14" t="str">
        <f t="shared" si="202"/>
        <v>16-10-2024</v>
      </c>
      <c r="N1630" s="14">
        <f t="shared" si="203"/>
        <v>0.15846948972483335</v>
      </c>
      <c r="O1630" s="20">
        <f t="shared" si="204"/>
        <v>2.5131102226788946</v>
      </c>
      <c r="P1630" s="14">
        <f t="shared" si="205"/>
        <v>449.28031754736458</v>
      </c>
      <c r="Q1630" s="14">
        <f t="shared" si="206"/>
        <v>358.59146922612706</v>
      </c>
      <c r="R1630" s="14" t="str">
        <f t="shared" si="207"/>
        <v>Oct</v>
      </c>
    </row>
    <row r="1631" spans="1:18" x14ac:dyDescent="0.3">
      <c r="A1631" t="s">
        <v>3239</v>
      </c>
      <c r="B1631" s="1">
        <v>45748</v>
      </c>
      <c r="C1631" t="s">
        <v>338</v>
      </c>
      <c r="D1631" t="s">
        <v>1391</v>
      </c>
      <c r="E1631" t="s">
        <v>1554</v>
      </c>
      <c r="F1631">
        <v>2.5084938098793801</v>
      </c>
      <c r="G1631" s="14">
        <v>458.80469079411398</v>
      </c>
      <c r="H1631" s="17">
        <v>0.15722526873634499</v>
      </c>
      <c r="I1631" t="s">
        <v>1611</v>
      </c>
      <c r="J1631" s="14">
        <v>972.73573952551703</v>
      </c>
      <c r="K1631" s="14">
        <f t="shared" si="200"/>
        <v>128408.17227496389</v>
      </c>
      <c r="L1631" s="14">
        <f t="shared" si="201"/>
        <v>135</v>
      </c>
      <c r="M1631" s="14" t="str">
        <f t="shared" si="202"/>
        <v>01-04-2025</v>
      </c>
      <c r="N1631" s="14">
        <f t="shared" si="203"/>
        <v>0.15847287076012814</v>
      </c>
      <c r="O1631" s="20">
        <f t="shared" si="204"/>
        <v>2.5131227672788934</v>
      </c>
      <c r="P1631" s="14">
        <f t="shared" si="205"/>
        <v>449.2544360983245</v>
      </c>
      <c r="Q1631" s="14">
        <f t="shared" si="206"/>
        <v>358.55153734956167</v>
      </c>
      <c r="R1631" s="14" t="str">
        <f t="shared" si="207"/>
        <v>Apr</v>
      </c>
    </row>
    <row r="1632" spans="1:18" x14ac:dyDescent="0.3">
      <c r="A1632" t="s">
        <v>3240</v>
      </c>
      <c r="B1632" s="1">
        <v>45369</v>
      </c>
      <c r="C1632" t="s">
        <v>716</v>
      </c>
      <c r="D1632" t="s">
        <v>1467</v>
      </c>
      <c r="E1632" t="s">
        <v>1554</v>
      </c>
      <c r="F1632">
        <v>2.5085188990793701</v>
      </c>
      <c r="G1632" s="14">
        <v>458.75292789603401</v>
      </c>
      <c r="H1632" s="17">
        <v>0.15723203080693501</v>
      </c>
      <c r="I1632" t="s">
        <v>1614</v>
      </c>
      <c r="J1632" s="14">
        <v>972.62774306606502</v>
      </c>
      <c r="K1632" s="14">
        <f t="shared" si="200"/>
        <v>128408.17227496389</v>
      </c>
      <c r="L1632" s="14">
        <f t="shared" si="201"/>
        <v>135</v>
      </c>
      <c r="M1632" s="14" t="str">
        <f t="shared" si="202"/>
        <v>18-03-2024</v>
      </c>
      <c r="N1632" s="14">
        <f t="shared" si="203"/>
        <v>0.15847625179542296</v>
      </c>
      <c r="O1632" s="20">
        <f t="shared" si="204"/>
        <v>2.5131353118788917</v>
      </c>
      <c r="P1632" s="14">
        <f t="shared" si="205"/>
        <v>449.22855464928438</v>
      </c>
      <c r="Q1632" s="14">
        <f t="shared" si="206"/>
        <v>358.51160547299634</v>
      </c>
      <c r="R1632" s="14" t="str">
        <f t="shared" si="207"/>
        <v>Mar</v>
      </c>
    </row>
    <row r="1633" spans="1:18" x14ac:dyDescent="0.3">
      <c r="A1633" t="s">
        <v>3241</v>
      </c>
      <c r="B1633" s="1">
        <v>45701</v>
      </c>
      <c r="C1633" t="s">
        <v>63</v>
      </c>
      <c r="D1633" t="s">
        <v>1415</v>
      </c>
      <c r="E1633" t="s">
        <v>1571</v>
      </c>
      <c r="F1633">
        <v>2.5085439882793699</v>
      </c>
      <c r="G1633" s="14">
        <v>458.70116499795301</v>
      </c>
      <c r="H1633" s="17">
        <v>0.15723879287752399</v>
      </c>
      <c r="I1633" t="s">
        <v>1609</v>
      </c>
      <c r="J1633" s="14">
        <v>972.51974660661404</v>
      </c>
      <c r="K1633" s="14">
        <f t="shared" si="200"/>
        <v>128408.17227496389</v>
      </c>
      <c r="L1633" s="14">
        <f t="shared" si="201"/>
        <v>135</v>
      </c>
      <c r="M1633" s="14" t="str">
        <f t="shared" si="202"/>
        <v>13-02-2025</v>
      </c>
      <c r="N1633" s="14">
        <f t="shared" si="203"/>
        <v>0.15847963283071775</v>
      </c>
      <c r="O1633" s="20">
        <f t="shared" si="204"/>
        <v>2.5131478564788905</v>
      </c>
      <c r="P1633" s="14">
        <f t="shared" si="205"/>
        <v>449.20267320024431</v>
      </c>
      <c r="Q1633" s="14">
        <f t="shared" si="206"/>
        <v>358.471673596431</v>
      </c>
      <c r="R1633" s="14" t="str">
        <f t="shared" si="207"/>
        <v>Feb</v>
      </c>
    </row>
    <row r="1634" spans="1:18" x14ac:dyDescent="0.3">
      <c r="A1634" t="s">
        <v>3242</v>
      </c>
      <c r="B1634" s="1">
        <v>45510</v>
      </c>
      <c r="C1634" t="s">
        <v>1307</v>
      </c>
      <c r="D1634" t="s">
        <v>1413</v>
      </c>
      <c r="E1634" t="s">
        <v>1592</v>
      </c>
      <c r="F1634">
        <v>2.5085690774793701</v>
      </c>
      <c r="G1634" s="14">
        <v>458.64940209987299</v>
      </c>
      <c r="H1634" s="17">
        <v>0.15724555494811401</v>
      </c>
      <c r="I1634" t="s">
        <v>1614</v>
      </c>
      <c r="J1634" s="14">
        <v>972.41175014716202</v>
      </c>
      <c r="K1634" s="14">
        <f t="shared" si="200"/>
        <v>127435.65252835727</v>
      </c>
      <c r="L1634" s="14">
        <f t="shared" si="201"/>
        <v>134</v>
      </c>
      <c r="M1634" s="14" t="str">
        <f t="shared" si="202"/>
        <v>06-08-2024</v>
      </c>
      <c r="N1634" s="14">
        <f t="shared" si="203"/>
        <v>0.15848301386601257</v>
      </c>
      <c r="O1634" s="20">
        <f t="shared" si="204"/>
        <v>2.5131604010788893</v>
      </c>
      <c r="P1634" s="14">
        <f t="shared" si="205"/>
        <v>449.17679175120423</v>
      </c>
      <c r="Q1634" s="14">
        <f t="shared" si="206"/>
        <v>358.43174171986561</v>
      </c>
      <c r="R1634" s="14" t="str">
        <f t="shared" si="207"/>
        <v>Aug</v>
      </c>
    </row>
    <row r="1635" spans="1:18" x14ac:dyDescent="0.3">
      <c r="A1635" t="s">
        <v>3243</v>
      </c>
      <c r="B1635" s="1">
        <v>45538</v>
      </c>
      <c r="C1635" t="s">
        <v>752</v>
      </c>
      <c r="D1635" t="s">
        <v>1407</v>
      </c>
      <c r="E1635" t="s">
        <v>1589</v>
      </c>
      <c r="F1635">
        <v>2.5085941666793699</v>
      </c>
      <c r="G1635" s="14">
        <v>458.59763920179302</v>
      </c>
      <c r="H1635" s="17">
        <v>0.15725231701870401</v>
      </c>
      <c r="I1635" t="s">
        <v>1609</v>
      </c>
      <c r="J1635" s="14">
        <v>972.30375368771001</v>
      </c>
      <c r="K1635" s="14">
        <f t="shared" si="200"/>
        <v>127435.65252835727</v>
      </c>
      <c r="L1635" s="14">
        <f t="shared" si="201"/>
        <v>134</v>
      </c>
      <c r="M1635" s="14" t="str">
        <f t="shared" si="202"/>
        <v>03-09-2024</v>
      </c>
      <c r="N1635" s="14">
        <f t="shared" si="203"/>
        <v>0.15848639490130736</v>
      </c>
      <c r="O1635" s="20">
        <f t="shared" si="204"/>
        <v>2.5131729456788885</v>
      </c>
      <c r="P1635" s="14">
        <f t="shared" si="205"/>
        <v>449.15091030216416</v>
      </c>
      <c r="Q1635" s="14">
        <f t="shared" si="206"/>
        <v>358.39180984330028</v>
      </c>
      <c r="R1635" s="14" t="str">
        <f t="shared" si="207"/>
        <v>Sep</v>
      </c>
    </row>
    <row r="1636" spans="1:18" x14ac:dyDescent="0.3">
      <c r="A1636" t="s">
        <v>3244</v>
      </c>
      <c r="B1636" s="1">
        <v>45665</v>
      </c>
      <c r="C1636" t="s">
        <v>1294</v>
      </c>
      <c r="D1636" t="s">
        <v>1447</v>
      </c>
      <c r="E1636" t="s">
        <v>1592</v>
      </c>
      <c r="F1636">
        <v>2.5086192558793599</v>
      </c>
      <c r="G1636" s="14">
        <v>458.54587630371299</v>
      </c>
      <c r="H1636" s="17">
        <v>0.15725907908929301</v>
      </c>
      <c r="I1636" t="s">
        <v>1614</v>
      </c>
      <c r="J1636" s="14">
        <v>972.195757228258</v>
      </c>
      <c r="K1636" s="14">
        <f t="shared" si="200"/>
        <v>126463.34877466956</v>
      </c>
      <c r="L1636" s="14">
        <f t="shared" si="201"/>
        <v>133</v>
      </c>
      <c r="M1636" s="14" t="str">
        <f t="shared" si="202"/>
        <v>08-01-2025</v>
      </c>
      <c r="N1636" s="14">
        <f t="shared" si="203"/>
        <v>0.15848977593660216</v>
      </c>
      <c r="O1636" s="20">
        <f t="shared" si="204"/>
        <v>2.5131854902788868</v>
      </c>
      <c r="P1636" s="14">
        <f t="shared" si="205"/>
        <v>449.12502885312409</v>
      </c>
      <c r="Q1636" s="14">
        <f t="shared" si="206"/>
        <v>358.35187796673489</v>
      </c>
      <c r="R1636" s="14" t="str">
        <f t="shared" si="207"/>
        <v>Jan</v>
      </c>
    </row>
    <row r="1637" spans="1:18" x14ac:dyDescent="0.3">
      <c r="A1637" t="s">
        <v>3245</v>
      </c>
      <c r="B1637" s="1">
        <v>45859</v>
      </c>
      <c r="C1637" t="s">
        <v>214</v>
      </c>
      <c r="D1637" t="s">
        <v>1331</v>
      </c>
      <c r="E1637" t="s">
        <v>1561</v>
      </c>
      <c r="F1637">
        <v>2.5086443450793601</v>
      </c>
      <c r="G1637" s="14">
        <v>458.49411340563302</v>
      </c>
      <c r="H1637" s="17">
        <v>0.15726584115988301</v>
      </c>
      <c r="I1637" t="s">
        <v>1611</v>
      </c>
      <c r="J1637" s="14">
        <v>972.08776076880702</v>
      </c>
      <c r="K1637" s="14">
        <f t="shared" si="200"/>
        <v>126463.34877466956</v>
      </c>
      <c r="L1637" s="14">
        <f t="shared" si="201"/>
        <v>133</v>
      </c>
      <c r="M1637" s="14" t="str">
        <f t="shared" si="202"/>
        <v>21-07-2025</v>
      </c>
      <c r="N1637" s="14">
        <f t="shared" si="203"/>
        <v>0.15849315697189698</v>
      </c>
      <c r="O1637" s="20">
        <f t="shared" si="204"/>
        <v>2.5131980348788856</v>
      </c>
      <c r="P1637" s="14">
        <f t="shared" si="205"/>
        <v>449.09914740408408</v>
      </c>
      <c r="Q1637" s="14">
        <f t="shared" si="206"/>
        <v>358.31194609016984</v>
      </c>
      <c r="R1637" s="14" t="str">
        <f t="shared" si="207"/>
        <v>Jul</v>
      </c>
    </row>
    <row r="1638" spans="1:18" x14ac:dyDescent="0.3">
      <c r="A1638" t="s">
        <v>3246</v>
      </c>
      <c r="B1638" s="1">
        <v>45255</v>
      </c>
      <c r="C1638" t="s">
        <v>441</v>
      </c>
      <c r="D1638" t="s">
        <v>1493</v>
      </c>
      <c r="E1638" t="s">
        <v>1546</v>
      </c>
      <c r="F1638">
        <v>2.5086694342793598</v>
      </c>
      <c r="G1638" s="14">
        <v>458.44235050755299</v>
      </c>
      <c r="H1638" s="17">
        <v>0.15727260323047201</v>
      </c>
      <c r="I1638" t="s">
        <v>1609</v>
      </c>
      <c r="J1638" s="14">
        <v>971.97976430935501</v>
      </c>
      <c r="K1638" s="14">
        <f t="shared" si="200"/>
        <v>126463.34877466956</v>
      </c>
      <c r="L1638" s="14">
        <f t="shared" si="201"/>
        <v>133</v>
      </c>
      <c r="M1638" s="14" t="str">
        <f t="shared" si="202"/>
        <v>25-11-2023</v>
      </c>
      <c r="N1638" s="14">
        <f t="shared" si="203"/>
        <v>0.15849653800719177</v>
      </c>
      <c r="O1638" s="20">
        <f t="shared" si="204"/>
        <v>2.5132105794788844</v>
      </c>
      <c r="P1638" s="14">
        <f t="shared" si="205"/>
        <v>449.07326595504389</v>
      </c>
      <c r="Q1638" s="14">
        <f t="shared" si="206"/>
        <v>358.27201421360445</v>
      </c>
      <c r="R1638" s="14" t="str">
        <f t="shared" si="207"/>
        <v>Nov</v>
      </c>
    </row>
    <row r="1639" spans="1:18" x14ac:dyDescent="0.3">
      <c r="A1639" t="s">
        <v>3247</v>
      </c>
      <c r="B1639" s="1">
        <v>45842</v>
      </c>
      <c r="C1639" t="s">
        <v>585</v>
      </c>
      <c r="D1639" t="s">
        <v>1451</v>
      </c>
      <c r="E1639" t="s">
        <v>1584</v>
      </c>
      <c r="F1639">
        <v>2.5086945234793601</v>
      </c>
      <c r="G1639" s="14">
        <v>458.39058760947199</v>
      </c>
      <c r="H1639" s="17">
        <v>0.15727936530106201</v>
      </c>
      <c r="I1639" t="s">
        <v>1609</v>
      </c>
      <c r="J1639" s="14">
        <v>971.87176784990299</v>
      </c>
      <c r="K1639" s="14">
        <f t="shared" si="200"/>
        <v>125491.3690103602</v>
      </c>
      <c r="L1639" s="14">
        <f t="shared" si="201"/>
        <v>132</v>
      </c>
      <c r="M1639" s="14" t="str">
        <f t="shared" si="202"/>
        <v>04-07-2025</v>
      </c>
      <c r="N1639" s="14">
        <f t="shared" si="203"/>
        <v>0.15849991904248659</v>
      </c>
      <c r="O1639" s="20">
        <f t="shared" si="204"/>
        <v>2.5132231240788827</v>
      </c>
      <c r="P1639" s="14">
        <f t="shared" si="205"/>
        <v>449.04738450600382</v>
      </c>
      <c r="Q1639" s="14">
        <f t="shared" si="206"/>
        <v>358.23208233703883</v>
      </c>
      <c r="R1639" s="14" t="str">
        <f t="shared" si="207"/>
        <v>Jul</v>
      </c>
    </row>
    <row r="1640" spans="1:18" x14ac:dyDescent="0.3">
      <c r="A1640" t="s">
        <v>3248</v>
      </c>
      <c r="B1640" s="1">
        <v>45220</v>
      </c>
      <c r="C1640" t="s">
        <v>1238</v>
      </c>
      <c r="D1640" t="s">
        <v>1457</v>
      </c>
      <c r="E1640" t="s">
        <v>1582</v>
      </c>
      <c r="F1640">
        <v>2.5087196126793501</v>
      </c>
      <c r="G1640" s="14">
        <v>458.33882471139202</v>
      </c>
      <c r="H1640" s="17">
        <v>0.15728612737165201</v>
      </c>
      <c r="I1640" t="s">
        <v>1609</v>
      </c>
      <c r="J1640" s="14">
        <v>971.76377139045201</v>
      </c>
      <c r="K1640" s="14">
        <f t="shared" si="200"/>
        <v>124519.49724251028</v>
      </c>
      <c r="L1640" s="14">
        <f t="shared" si="201"/>
        <v>131</v>
      </c>
      <c r="M1640" s="14" t="str">
        <f t="shared" si="202"/>
        <v>21-10-2023</v>
      </c>
      <c r="N1640" s="14">
        <f t="shared" si="203"/>
        <v>0.15850330007778138</v>
      </c>
      <c r="O1640" s="20">
        <f t="shared" si="204"/>
        <v>2.5132356686788815</v>
      </c>
      <c r="P1640" s="14">
        <f t="shared" si="205"/>
        <v>449.02150305696381</v>
      </c>
      <c r="Q1640" s="14">
        <f t="shared" si="206"/>
        <v>358.19215046047373</v>
      </c>
      <c r="R1640" s="14" t="str">
        <f t="shared" si="207"/>
        <v>Oct</v>
      </c>
    </row>
    <row r="1641" spans="1:18" x14ac:dyDescent="0.3">
      <c r="A1641" t="s">
        <v>3249</v>
      </c>
      <c r="B1641" s="1">
        <v>45273</v>
      </c>
      <c r="C1641" t="s">
        <v>1139</v>
      </c>
      <c r="D1641" t="s">
        <v>1473</v>
      </c>
      <c r="E1641" t="s">
        <v>1579</v>
      </c>
      <c r="F1641">
        <v>2.5087447018793498</v>
      </c>
      <c r="G1641" s="14">
        <v>458.28706181331199</v>
      </c>
      <c r="H1641" s="17">
        <v>0.15729288944224101</v>
      </c>
      <c r="I1641" t="s">
        <v>1611</v>
      </c>
      <c r="J1641" s="14">
        <v>971.655774931</v>
      </c>
      <c r="K1641" s="14">
        <f t="shared" si="200"/>
        <v>123547.73347111982</v>
      </c>
      <c r="L1641" s="14">
        <f t="shared" si="201"/>
        <v>130</v>
      </c>
      <c r="M1641" s="14" t="str">
        <f t="shared" si="202"/>
        <v>13-12-2023</v>
      </c>
      <c r="N1641" s="14">
        <f t="shared" si="203"/>
        <v>0.1585066811130762</v>
      </c>
      <c r="O1641" s="20">
        <f t="shared" si="204"/>
        <v>2.5132482132788803</v>
      </c>
      <c r="P1641" s="14">
        <f t="shared" si="205"/>
        <v>448.99562160792368</v>
      </c>
      <c r="Q1641" s="14">
        <f t="shared" si="206"/>
        <v>358.15221858390839</v>
      </c>
      <c r="R1641" s="14" t="str">
        <f t="shared" si="207"/>
        <v>Dec</v>
      </c>
    </row>
    <row r="1642" spans="1:18" x14ac:dyDescent="0.3">
      <c r="A1642" t="s">
        <v>3250</v>
      </c>
      <c r="B1642" s="1">
        <v>45456</v>
      </c>
      <c r="C1642" t="s">
        <v>860</v>
      </c>
      <c r="D1642" t="s">
        <v>1383</v>
      </c>
      <c r="E1642" t="s">
        <v>1561</v>
      </c>
      <c r="F1642">
        <v>2.5087697910793501</v>
      </c>
      <c r="G1642" s="14">
        <v>458.23529891523202</v>
      </c>
      <c r="H1642" s="17">
        <v>0.15729965151283101</v>
      </c>
      <c r="I1642" t="s">
        <v>1611</v>
      </c>
      <c r="J1642" s="14">
        <v>971.54777847154799</v>
      </c>
      <c r="K1642" s="14">
        <f t="shared" si="200"/>
        <v>123547.73347111982</v>
      </c>
      <c r="L1642" s="14">
        <f t="shared" si="201"/>
        <v>130</v>
      </c>
      <c r="M1642" s="14" t="str">
        <f t="shared" si="202"/>
        <v>13-06-2024</v>
      </c>
      <c r="N1642" s="14">
        <f t="shared" si="203"/>
        <v>0.15851006214837096</v>
      </c>
      <c r="O1642" s="20">
        <f t="shared" si="204"/>
        <v>2.513260757878879</v>
      </c>
      <c r="P1642" s="14">
        <f t="shared" si="205"/>
        <v>448.96974015888361</v>
      </c>
      <c r="Q1642" s="14">
        <f t="shared" si="206"/>
        <v>358.11228670734306</v>
      </c>
      <c r="R1642" s="14" t="str">
        <f t="shared" si="207"/>
        <v>Jun</v>
      </c>
    </row>
    <row r="1643" spans="1:18" x14ac:dyDescent="0.3">
      <c r="A1643" t="s">
        <v>3251</v>
      </c>
      <c r="B1643" s="1">
        <v>45292</v>
      </c>
      <c r="C1643" t="s">
        <v>168</v>
      </c>
      <c r="D1643" t="s">
        <v>1433</v>
      </c>
      <c r="E1643" t="s">
        <v>1558</v>
      </c>
      <c r="F1643">
        <v>2.5087948802793401</v>
      </c>
      <c r="G1643" s="14">
        <v>458.18353601715199</v>
      </c>
      <c r="H1643" s="17">
        <v>0.15730641358342001</v>
      </c>
      <c r="I1643" t="s">
        <v>1609</v>
      </c>
      <c r="J1643" s="14">
        <v>971.43978201209598</v>
      </c>
      <c r="K1643" s="14">
        <f t="shared" si="200"/>
        <v>123547.73347111982</v>
      </c>
      <c r="L1643" s="14">
        <f t="shared" si="201"/>
        <v>130</v>
      </c>
      <c r="M1643" s="14" t="str">
        <f t="shared" si="202"/>
        <v>01-01-2024</v>
      </c>
      <c r="N1643" s="14">
        <f t="shared" si="203"/>
        <v>0.15851344318366578</v>
      </c>
      <c r="O1643" s="20">
        <f t="shared" si="204"/>
        <v>2.5132733024788778</v>
      </c>
      <c r="P1643" s="14">
        <f t="shared" si="205"/>
        <v>448.94385870984348</v>
      </c>
      <c r="Q1643" s="14">
        <f t="shared" si="206"/>
        <v>358.07235483077767</v>
      </c>
      <c r="R1643" s="14" t="str">
        <f t="shared" si="207"/>
        <v>Jan</v>
      </c>
    </row>
    <row r="1644" spans="1:18" x14ac:dyDescent="0.3">
      <c r="A1644" t="s">
        <v>3252</v>
      </c>
      <c r="B1644" s="1">
        <v>45278</v>
      </c>
      <c r="C1644" t="s">
        <v>893</v>
      </c>
      <c r="D1644" t="s">
        <v>1443</v>
      </c>
      <c r="E1644" t="s">
        <v>1561</v>
      </c>
      <c r="F1644">
        <v>2.5088199694793398</v>
      </c>
      <c r="G1644" s="14">
        <v>458.13177311907202</v>
      </c>
      <c r="H1644" s="17">
        <v>0.15731317565401001</v>
      </c>
      <c r="I1644" t="s">
        <v>1611</v>
      </c>
      <c r="J1644" s="14">
        <v>971.33178555264499</v>
      </c>
      <c r="K1644" s="14">
        <f t="shared" si="200"/>
        <v>122576.29368910774</v>
      </c>
      <c r="L1644" s="14">
        <f t="shared" si="201"/>
        <v>129</v>
      </c>
      <c r="M1644" s="14" t="str">
        <f t="shared" si="202"/>
        <v>18-12-2023</v>
      </c>
      <c r="N1644" s="14">
        <f t="shared" si="203"/>
        <v>0.1585168242189606</v>
      </c>
      <c r="O1644" s="20">
        <f t="shared" si="204"/>
        <v>2.5132858470788766</v>
      </c>
      <c r="P1644" s="14">
        <f t="shared" si="205"/>
        <v>448.91797726080347</v>
      </c>
      <c r="Q1644" s="14">
        <f t="shared" si="206"/>
        <v>358.03242295421262</v>
      </c>
      <c r="R1644" s="14" t="str">
        <f t="shared" si="207"/>
        <v>Dec</v>
      </c>
    </row>
    <row r="1645" spans="1:18" x14ac:dyDescent="0.3">
      <c r="A1645" t="s">
        <v>3253</v>
      </c>
      <c r="B1645" s="1">
        <v>45232</v>
      </c>
      <c r="C1645" t="s">
        <v>1118</v>
      </c>
      <c r="D1645" t="s">
        <v>1367</v>
      </c>
      <c r="E1645" t="s">
        <v>1542</v>
      </c>
      <c r="F1645">
        <v>2.50884505867934</v>
      </c>
      <c r="G1645" s="14">
        <v>458.08001022099103</v>
      </c>
      <c r="H1645" s="17">
        <v>0.15731993772460001</v>
      </c>
      <c r="I1645" t="s">
        <v>1614</v>
      </c>
      <c r="J1645" s="14">
        <v>971.22378909319298</v>
      </c>
      <c r="K1645" s="14">
        <f t="shared" si="200"/>
        <v>122576.29368910774</v>
      </c>
      <c r="L1645" s="14">
        <f t="shared" si="201"/>
        <v>129</v>
      </c>
      <c r="M1645" s="14" t="str">
        <f t="shared" si="202"/>
        <v>02-11-2023</v>
      </c>
      <c r="N1645" s="14">
        <f t="shared" si="203"/>
        <v>0.15852020525425542</v>
      </c>
      <c r="O1645" s="20">
        <f t="shared" si="204"/>
        <v>2.5132983916788754</v>
      </c>
      <c r="P1645" s="14">
        <f t="shared" si="205"/>
        <v>448.8920958117634</v>
      </c>
      <c r="Q1645" s="14">
        <f t="shared" si="206"/>
        <v>357.992491077647</v>
      </c>
      <c r="R1645" s="14" t="str">
        <f t="shared" si="207"/>
        <v>Nov</v>
      </c>
    </row>
    <row r="1646" spans="1:18" x14ac:dyDescent="0.3">
      <c r="A1646" t="s">
        <v>3254</v>
      </c>
      <c r="B1646" s="1">
        <v>45907</v>
      </c>
      <c r="C1646" t="s">
        <v>631</v>
      </c>
      <c r="D1646" t="s">
        <v>1425</v>
      </c>
      <c r="E1646" t="s">
        <v>1567</v>
      </c>
      <c r="F1646">
        <v>2.5088701478793398</v>
      </c>
      <c r="G1646" s="14">
        <v>458.028247322911</v>
      </c>
      <c r="H1646" s="17">
        <v>0.15732669979518901</v>
      </c>
      <c r="I1646" t="s">
        <v>1609</v>
      </c>
      <c r="J1646" s="14">
        <v>971.11579263374097</v>
      </c>
      <c r="K1646" s="14">
        <f t="shared" si="200"/>
        <v>122576.29368910774</v>
      </c>
      <c r="L1646" s="14">
        <f t="shared" si="201"/>
        <v>129</v>
      </c>
      <c r="M1646" s="14" t="str">
        <f t="shared" si="202"/>
        <v>07-09-2025</v>
      </c>
      <c r="N1646" s="14">
        <f t="shared" si="203"/>
        <v>0.15852358628955021</v>
      </c>
      <c r="O1646" s="20">
        <f t="shared" si="204"/>
        <v>2.5133109362788741</v>
      </c>
      <c r="P1646" s="14">
        <f t="shared" si="205"/>
        <v>448.86621436272333</v>
      </c>
      <c r="Q1646" s="14">
        <f t="shared" si="206"/>
        <v>357.95255920108161</v>
      </c>
      <c r="R1646" s="14" t="str">
        <f t="shared" si="207"/>
        <v>Sep</v>
      </c>
    </row>
    <row r="1647" spans="1:18" x14ac:dyDescent="0.3">
      <c r="A1647" t="s">
        <v>3255</v>
      </c>
      <c r="B1647" s="1">
        <v>45270</v>
      </c>
      <c r="C1647" t="s">
        <v>1277</v>
      </c>
      <c r="D1647" t="s">
        <v>1509</v>
      </c>
      <c r="E1647" t="s">
        <v>1582</v>
      </c>
      <c r="F1647">
        <v>2.5088952370793298</v>
      </c>
      <c r="G1647" s="14">
        <v>457.97648442483103</v>
      </c>
      <c r="H1647" s="17">
        <v>0.15733346186577901</v>
      </c>
      <c r="I1647" t="s">
        <v>1611</v>
      </c>
      <c r="J1647" s="14">
        <v>971.00779617428896</v>
      </c>
      <c r="K1647" s="14">
        <f t="shared" si="200"/>
        <v>121605.17789647401</v>
      </c>
      <c r="L1647" s="14">
        <f t="shared" si="201"/>
        <v>128</v>
      </c>
      <c r="M1647" s="14" t="str">
        <f t="shared" si="202"/>
        <v>10-12-2023</v>
      </c>
      <c r="N1647" s="14">
        <f t="shared" si="203"/>
        <v>0.158526967324845</v>
      </c>
      <c r="O1647" s="20">
        <f t="shared" si="204"/>
        <v>2.5133234808788734</v>
      </c>
      <c r="P1647" s="14">
        <f t="shared" si="205"/>
        <v>448.84033291368314</v>
      </c>
      <c r="Q1647" s="14">
        <f t="shared" si="206"/>
        <v>357.91262732451628</v>
      </c>
      <c r="R1647" s="14" t="str">
        <f t="shared" si="207"/>
        <v>Dec</v>
      </c>
    </row>
    <row r="1648" spans="1:18" x14ac:dyDescent="0.3">
      <c r="A1648" t="s">
        <v>3256</v>
      </c>
      <c r="B1648" s="1">
        <v>45942</v>
      </c>
      <c r="C1648" t="s">
        <v>846</v>
      </c>
      <c r="D1648" t="s">
        <v>1515</v>
      </c>
      <c r="E1648" t="s">
        <v>1571</v>
      </c>
      <c r="F1648">
        <v>2.50892032627933</v>
      </c>
      <c r="G1648" s="14">
        <v>457.924721526751</v>
      </c>
      <c r="H1648" s="17">
        <v>0.15734022393636901</v>
      </c>
      <c r="I1648" t="s">
        <v>1609</v>
      </c>
      <c r="J1648" s="14">
        <v>970.89979971483797</v>
      </c>
      <c r="K1648" s="14">
        <f t="shared" si="200"/>
        <v>121605.17789647401</v>
      </c>
      <c r="L1648" s="14">
        <f t="shared" si="201"/>
        <v>128</v>
      </c>
      <c r="M1648" s="14" t="str">
        <f t="shared" si="202"/>
        <v>12-10-2025</v>
      </c>
      <c r="N1648" s="14">
        <f t="shared" si="203"/>
        <v>0.15853034836013982</v>
      </c>
      <c r="O1648" s="20">
        <f t="shared" si="204"/>
        <v>2.5133360254788721</v>
      </c>
      <c r="P1648" s="14">
        <f t="shared" si="205"/>
        <v>448.81445146464313</v>
      </c>
      <c r="Q1648" s="14">
        <f t="shared" si="206"/>
        <v>357.87269544795117</v>
      </c>
      <c r="R1648" s="14" t="str">
        <f t="shared" si="207"/>
        <v>Oct</v>
      </c>
    </row>
    <row r="1649" spans="1:18" x14ac:dyDescent="0.3">
      <c r="A1649" t="s">
        <v>3257</v>
      </c>
      <c r="B1649" s="1">
        <v>45750</v>
      </c>
      <c r="C1649" t="s">
        <v>663</v>
      </c>
      <c r="D1649" t="s">
        <v>1507</v>
      </c>
      <c r="E1649" t="s">
        <v>1554</v>
      </c>
      <c r="F1649">
        <v>2.5089454154793298</v>
      </c>
      <c r="G1649" s="14">
        <v>457.87295862867097</v>
      </c>
      <c r="H1649" s="17">
        <v>0.15734698600695801</v>
      </c>
      <c r="I1649" t="s">
        <v>1611</v>
      </c>
      <c r="J1649" s="14">
        <v>970.79180325538596</v>
      </c>
      <c r="K1649" s="14">
        <f t="shared" si="200"/>
        <v>120634.27809675918</v>
      </c>
      <c r="L1649" s="14">
        <f t="shared" si="201"/>
        <v>127</v>
      </c>
      <c r="M1649" s="14" t="str">
        <f t="shared" si="202"/>
        <v>03-04-2025</v>
      </c>
      <c r="N1649" s="14">
        <f t="shared" si="203"/>
        <v>0.15853372939543461</v>
      </c>
      <c r="O1649" s="20">
        <f t="shared" si="204"/>
        <v>2.5133485700788709</v>
      </c>
      <c r="P1649" s="14">
        <f t="shared" si="205"/>
        <v>448.788570015603</v>
      </c>
      <c r="Q1649" s="14">
        <f t="shared" si="206"/>
        <v>357.83276357138584</v>
      </c>
      <c r="R1649" s="14" t="str">
        <f t="shared" si="207"/>
        <v>Apr</v>
      </c>
    </row>
    <row r="1650" spans="1:18" x14ac:dyDescent="0.3">
      <c r="A1650" t="s">
        <v>3258</v>
      </c>
      <c r="B1650" s="1">
        <v>45300</v>
      </c>
      <c r="C1650" t="s">
        <v>1285</v>
      </c>
      <c r="D1650" t="s">
        <v>1445</v>
      </c>
      <c r="E1650" t="s">
        <v>1564</v>
      </c>
      <c r="F1650">
        <v>2.50897050467933</v>
      </c>
      <c r="G1650" s="14">
        <v>457.821195730591</v>
      </c>
      <c r="H1650" s="17">
        <v>0.15735374807754801</v>
      </c>
      <c r="I1650" t="s">
        <v>1609</v>
      </c>
      <c r="J1650" s="14">
        <v>970.68380679593395</v>
      </c>
      <c r="K1650" s="14">
        <f t="shared" si="200"/>
        <v>120634.27809675918</v>
      </c>
      <c r="L1650" s="14">
        <f t="shared" si="201"/>
        <v>127</v>
      </c>
      <c r="M1650" s="14" t="str">
        <f t="shared" si="202"/>
        <v>09-01-2024</v>
      </c>
      <c r="N1650" s="14">
        <f t="shared" si="203"/>
        <v>0.15853711043072943</v>
      </c>
      <c r="O1650" s="20">
        <f t="shared" si="204"/>
        <v>2.5133611146788692</v>
      </c>
      <c r="P1650" s="14">
        <f t="shared" si="205"/>
        <v>448.76268856656293</v>
      </c>
      <c r="Q1650" s="14">
        <f t="shared" si="206"/>
        <v>357.79283169482045</v>
      </c>
      <c r="R1650" s="14" t="str">
        <f t="shared" si="207"/>
        <v>Jan</v>
      </c>
    </row>
    <row r="1651" spans="1:18" x14ac:dyDescent="0.3">
      <c r="A1651" t="s">
        <v>3259</v>
      </c>
      <c r="B1651" s="1">
        <v>45876</v>
      </c>
      <c r="C1651" t="s">
        <v>20</v>
      </c>
      <c r="D1651" t="s">
        <v>1441</v>
      </c>
      <c r="E1651" t="s">
        <v>1558</v>
      </c>
      <c r="F1651">
        <v>2.50899559387932</v>
      </c>
      <c r="G1651" s="14">
        <v>457.76943283251097</v>
      </c>
      <c r="H1651" s="17">
        <v>0.15736051014813701</v>
      </c>
      <c r="I1651" t="s">
        <v>1614</v>
      </c>
      <c r="J1651" s="14">
        <v>970.57581033648205</v>
      </c>
      <c r="K1651" s="14">
        <f t="shared" si="200"/>
        <v>119663.59428996324</v>
      </c>
      <c r="L1651" s="14">
        <f t="shared" si="201"/>
        <v>126</v>
      </c>
      <c r="M1651" s="14" t="str">
        <f t="shared" si="202"/>
        <v>07-08-2025</v>
      </c>
      <c r="N1651" s="14">
        <f t="shared" si="203"/>
        <v>0.15854049146602425</v>
      </c>
      <c r="O1651" s="20">
        <f t="shared" si="204"/>
        <v>2.513373659278868</v>
      </c>
      <c r="P1651" s="14">
        <f t="shared" si="205"/>
        <v>448.73680711752286</v>
      </c>
      <c r="Q1651" s="14">
        <f t="shared" si="206"/>
        <v>357.75289981825512</v>
      </c>
      <c r="R1651" s="14" t="str">
        <f t="shared" si="207"/>
        <v>Aug</v>
      </c>
    </row>
    <row r="1652" spans="1:18" x14ac:dyDescent="0.3">
      <c r="A1652" t="s">
        <v>3260</v>
      </c>
      <c r="B1652" s="1">
        <v>45301</v>
      </c>
      <c r="C1652" t="s">
        <v>544</v>
      </c>
      <c r="D1652" t="s">
        <v>1459</v>
      </c>
      <c r="E1652" t="s">
        <v>1551</v>
      </c>
      <c r="F1652">
        <v>2.5090206830793198</v>
      </c>
      <c r="G1652" s="14">
        <v>457.71766993442998</v>
      </c>
      <c r="H1652" s="17">
        <v>0.15736727221872701</v>
      </c>
      <c r="I1652" t="s">
        <v>1609</v>
      </c>
      <c r="J1652" s="14">
        <v>970.46781387703095</v>
      </c>
      <c r="K1652" s="14">
        <f t="shared" si="200"/>
        <v>119663.59428996324</v>
      </c>
      <c r="L1652" s="14">
        <f t="shared" si="201"/>
        <v>126</v>
      </c>
      <c r="M1652" s="14" t="str">
        <f t="shared" si="202"/>
        <v>10-01-2024</v>
      </c>
      <c r="N1652" s="14">
        <f t="shared" si="203"/>
        <v>0.15854387250131904</v>
      </c>
      <c r="O1652" s="20">
        <f t="shared" si="204"/>
        <v>2.5133862038788664</v>
      </c>
      <c r="P1652" s="14">
        <f t="shared" si="205"/>
        <v>448.71092566848279</v>
      </c>
      <c r="Q1652" s="14">
        <f t="shared" si="206"/>
        <v>357.71296794168973</v>
      </c>
      <c r="R1652" s="14" t="str">
        <f t="shared" si="207"/>
        <v>Jan</v>
      </c>
    </row>
    <row r="1653" spans="1:18" x14ac:dyDescent="0.3">
      <c r="A1653" t="s">
        <v>3261</v>
      </c>
      <c r="B1653" s="1">
        <v>45857</v>
      </c>
      <c r="C1653" t="s">
        <v>428</v>
      </c>
      <c r="D1653" t="s">
        <v>1377</v>
      </c>
      <c r="E1653" t="s">
        <v>1546</v>
      </c>
      <c r="F1653">
        <v>2.50904577227932</v>
      </c>
      <c r="G1653" s="14">
        <v>457.66590703635001</v>
      </c>
      <c r="H1653" s="17">
        <v>0.15737403428931701</v>
      </c>
      <c r="I1653" t="s">
        <v>1611</v>
      </c>
      <c r="J1653" s="14">
        <v>970.35981741757905</v>
      </c>
      <c r="K1653" s="14">
        <f t="shared" si="200"/>
        <v>118693.1264760862</v>
      </c>
      <c r="L1653" s="14">
        <f t="shared" si="201"/>
        <v>125</v>
      </c>
      <c r="M1653" s="14" t="str">
        <f t="shared" si="202"/>
        <v>19-07-2025</v>
      </c>
      <c r="N1653" s="14">
        <f t="shared" si="203"/>
        <v>0.15854725353661386</v>
      </c>
      <c r="O1653" s="20">
        <f t="shared" si="204"/>
        <v>2.5133987484788651</v>
      </c>
      <c r="P1653" s="14">
        <f t="shared" si="205"/>
        <v>448.68504421944272</v>
      </c>
      <c r="Q1653" s="14">
        <f t="shared" si="206"/>
        <v>357.67303606512439</v>
      </c>
      <c r="R1653" s="14" t="str">
        <f t="shared" si="207"/>
        <v>Jul</v>
      </c>
    </row>
    <row r="1654" spans="1:18" x14ac:dyDescent="0.3">
      <c r="A1654" t="s">
        <v>3262</v>
      </c>
      <c r="B1654" s="1">
        <v>45650</v>
      </c>
      <c r="C1654" t="s">
        <v>770</v>
      </c>
      <c r="D1654" t="s">
        <v>1385</v>
      </c>
      <c r="E1654" t="s">
        <v>1598</v>
      </c>
      <c r="F1654">
        <v>2.5090708614793198</v>
      </c>
      <c r="G1654" s="14">
        <v>457.61414413826998</v>
      </c>
      <c r="H1654" s="17">
        <v>0.15738079635990601</v>
      </c>
      <c r="I1654" t="s">
        <v>1614</v>
      </c>
      <c r="J1654" s="14">
        <v>970.25182095812704</v>
      </c>
      <c r="K1654" s="14">
        <f t="shared" si="200"/>
        <v>118693.1264760862</v>
      </c>
      <c r="L1654" s="14">
        <f t="shared" si="201"/>
        <v>125</v>
      </c>
      <c r="M1654" s="14" t="str">
        <f t="shared" si="202"/>
        <v>24-12-2024</v>
      </c>
      <c r="N1654" s="14">
        <f t="shared" si="203"/>
        <v>0.15855063457190863</v>
      </c>
      <c r="O1654" s="20">
        <f t="shared" si="204"/>
        <v>2.513411293078863</v>
      </c>
      <c r="P1654" s="14">
        <f t="shared" si="205"/>
        <v>448.65916277040259</v>
      </c>
      <c r="Q1654" s="14">
        <f t="shared" si="206"/>
        <v>357.63310418855906</v>
      </c>
      <c r="R1654" s="14" t="str">
        <f t="shared" si="207"/>
        <v>Dec</v>
      </c>
    </row>
    <row r="1655" spans="1:18" x14ac:dyDescent="0.3">
      <c r="A1655" t="s">
        <v>3263</v>
      </c>
      <c r="B1655" s="1">
        <v>45520</v>
      </c>
      <c r="C1655" t="s">
        <v>14</v>
      </c>
      <c r="D1655" t="s">
        <v>1429</v>
      </c>
      <c r="E1655" t="s">
        <v>1546</v>
      </c>
      <c r="F1655">
        <v>2.5090959506793098</v>
      </c>
      <c r="G1655" s="14">
        <v>457.56238124019001</v>
      </c>
      <c r="H1655" s="17">
        <v>0.15738755843049601</v>
      </c>
      <c r="I1655" t="s">
        <v>1611</v>
      </c>
      <c r="J1655" s="14">
        <v>970.14382449867605</v>
      </c>
      <c r="K1655" s="14">
        <f t="shared" si="200"/>
        <v>118693.1264760862</v>
      </c>
      <c r="L1655" s="14">
        <f t="shared" si="201"/>
        <v>125</v>
      </c>
      <c r="M1655" s="14" t="str">
        <f t="shared" si="202"/>
        <v>16-08-2024</v>
      </c>
      <c r="N1655" s="14">
        <f t="shared" si="203"/>
        <v>0.15855401560720345</v>
      </c>
      <c r="O1655" s="20">
        <f t="shared" si="204"/>
        <v>2.5134238376788622</v>
      </c>
      <c r="P1655" s="14">
        <f t="shared" si="205"/>
        <v>448.63328132136252</v>
      </c>
      <c r="Q1655" s="14">
        <f t="shared" si="206"/>
        <v>357.59317231199395</v>
      </c>
      <c r="R1655" s="14" t="str">
        <f t="shared" si="207"/>
        <v>Aug</v>
      </c>
    </row>
    <row r="1656" spans="1:18" x14ac:dyDescent="0.3">
      <c r="A1656" t="s">
        <v>3264</v>
      </c>
      <c r="B1656" s="1">
        <v>45497</v>
      </c>
      <c r="C1656" t="s">
        <v>914</v>
      </c>
      <c r="D1656" t="s">
        <v>1503</v>
      </c>
      <c r="E1656" t="s">
        <v>1558</v>
      </c>
      <c r="F1656">
        <v>2.50912103987931</v>
      </c>
      <c r="G1656" s="14">
        <v>457.51061834210998</v>
      </c>
      <c r="H1656" s="17">
        <v>0.15739432050108501</v>
      </c>
      <c r="I1656" t="s">
        <v>1611</v>
      </c>
      <c r="J1656" s="14">
        <v>970.03582803922404</v>
      </c>
      <c r="K1656" s="14">
        <f t="shared" si="200"/>
        <v>118693.1264760862</v>
      </c>
      <c r="L1656" s="14">
        <f t="shared" si="201"/>
        <v>125</v>
      </c>
      <c r="M1656" s="14" t="str">
        <f t="shared" si="202"/>
        <v>24-07-2024</v>
      </c>
      <c r="N1656" s="14">
        <f t="shared" si="203"/>
        <v>0.15855739664249824</v>
      </c>
      <c r="O1656" s="20">
        <f t="shared" si="204"/>
        <v>2.5134363822788606</v>
      </c>
      <c r="P1656" s="14">
        <f t="shared" si="205"/>
        <v>448.60739987232245</v>
      </c>
      <c r="Q1656" s="14">
        <f t="shared" si="206"/>
        <v>357.55324043542862</v>
      </c>
      <c r="R1656" s="14" t="str">
        <f t="shared" si="207"/>
        <v>Jul</v>
      </c>
    </row>
    <row r="1657" spans="1:18" x14ac:dyDescent="0.3">
      <c r="A1657" t="s">
        <v>3265</v>
      </c>
      <c r="B1657" s="1">
        <v>45615</v>
      </c>
      <c r="C1657" t="s">
        <v>1101</v>
      </c>
      <c r="D1657" t="s">
        <v>1385</v>
      </c>
      <c r="E1657" t="s">
        <v>1574</v>
      </c>
      <c r="F1657">
        <v>2.5091461290793098</v>
      </c>
      <c r="G1657" s="14">
        <v>457.45885544403001</v>
      </c>
      <c r="H1657" s="17">
        <v>0.15740108257167501</v>
      </c>
      <c r="I1657" t="s">
        <v>1611</v>
      </c>
      <c r="J1657" s="14">
        <v>969.92783157977203</v>
      </c>
      <c r="K1657" s="14">
        <f t="shared" si="200"/>
        <v>118693.1264760862</v>
      </c>
      <c r="L1657" s="14">
        <f t="shared" si="201"/>
        <v>125</v>
      </c>
      <c r="M1657" s="14" t="str">
        <f t="shared" si="202"/>
        <v>19-11-2024</v>
      </c>
      <c r="N1657" s="14">
        <f t="shared" si="203"/>
        <v>0.15856077767779306</v>
      </c>
      <c r="O1657" s="20">
        <f t="shared" si="204"/>
        <v>2.5134489268788593</v>
      </c>
      <c r="P1657" s="14">
        <f t="shared" si="205"/>
        <v>448.58151842328238</v>
      </c>
      <c r="Q1657" s="14">
        <f t="shared" si="206"/>
        <v>357.51330855886323</v>
      </c>
      <c r="R1657" s="14" t="str">
        <f t="shared" si="207"/>
        <v>Nov</v>
      </c>
    </row>
    <row r="1658" spans="1:18" x14ac:dyDescent="0.3">
      <c r="A1658" t="s">
        <v>3266</v>
      </c>
      <c r="B1658" s="1">
        <v>45365</v>
      </c>
      <c r="C1658" t="s">
        <v>646</v>
      </c>
      <c r="D1658" t="s">
        <v>1347</v>
      </c>
      <c r="E1658" t="s">
        <v>1542</v>
      </c>
      <c r="F1658">
        <v>2.50917121827931</v>
      </c>
      <c r="G1658" s="14">
        <v>457.40709254594901</v>
      </c>
      <c r="H1658" s="17">
        <v>0.15740784464226501</v>
      </c>
      <c r="I1658" t="s">
        <v>1609</v>
      </c>
      <c r="J1658" s="14">
        <v>969.81983512032002</v>
      </c>
      <c r="K1658" s="14">
        <f t="shared" si="200"/>
        <v>118693.1264760862</v>
      </c>
      <c r="L1658" s="14">
        <f t="shared" si="201"/>
        <v>125</v>
      </c>
      <c r="M1658" s="14" t="str">
        <f t="shared" si="202"/>
        <v>14-03-2024</v>
      </c>
      <c r="N1658" s="14">
        <f t="shared" si="203"/>
        <v>0.15856415871308788</v>
      </c>
      <c r="O1658" s="20">
        <f t="shared" si="204"/>
        <v>2.5134614714788577</v>
      </c>
      <c r="P1658" s="14">
        <f t="shared" si="205"/>
        <v>448.55563697424236</v>
      </c>
      <c r="Q1658" s="14">
        <f t="shared" si="206"/>
        <v>357.47337668229767</v>
      </c>
      <c r="R1658" s="14" t="str">
        <f t="shared" si="207"/>
        <v>Mar</v>
      </c>
    </row>
    <row r="1659" spans="1:18" x14ac:dyDescent="0.3">
      <c r="A1659" t="s">
        <v>3267</v>
      </c>
      <c r="B1659" s="1">
        <v>45832</v>
      </c>
      <c r="C1659" t="s">
        <v>472</v>
      </c>
      <c r="D1659" t="s">
        <v>1363</v>
      </c>
      <c r="E1659" t="s">
        <v>1595</v>
      </c>
      <c r="F1659">
        <v>2.5091963074793</v>
      </c>
      <c r="G1659" s="14">
        <v>457.35532964786898</v>
      </c>
      <c r="H1659" s="17">
        <v>0.15741460671285401</v>
      </c>
      <c r="I1659" t="s">
        <v>1609</v>
      </c>
      <c r="J1659" s="14">
        <v>969.71183866086903</v>
      </c>
      <c r="K1659" s="14">
        <f t="shared" si="200"/>
        <v>117723.30664096585</v>
      </c>
      <c r="L1659" s="14">
        <f t="shared" si="201"/>
        <v>124</v>
      </c>
      <c r="M1659" s="14" t="str">
        <f t="shared" si="202"/>
        <v>24-06-2025</v>
      </c>
      <c r="N1659" s="14">
        <f t="shared" si="203"/>
        <v>0.15856753974838267</v>
      </c>
      <c r="O1659" s="20">
        <f t="shared" si="204"/>
        <v>2.5134740160788565</v>
      </c>
      <c r="P1659" s="14">
        <f t="shared" si="205"/>
        <v>448.52975552520223</v>
      </c>
      <c r="Q1659" s="14">
        <f t="shared" si="206"/>
        <v>357.43344480573256</v>
      </c>
      <c r="R1659" s="14" t="str">
        <f t="shared" si="207"/>
        <v>Jun</v>
      </c>
    </row>
    <row r="1660" spans="1:18" x14ac:dyDescent="0.3">
      <c r="A1660" t="s">
        <v>3268</v>
      </c>
      <c r="B1660" s="1">
        <v>45530</v>
      </c>
      <c r="C1660" t="s">
        <v>153</v>
      </c>
      <c r="D1660" t="s">
        <v>1407</v>
      </c>
      <c r="E1660" t="s">
        <v>1564</v>
      </c>
      <c r="F1660">
        <v>2.5092213966793002</v>
      </c>
      <c r="G1660" s="14">
        <v>457.30356674978901</v>
      </c>
      <c r="H1660" s="17">
        <v>0.15742136878344401</v>
      </c>
      <c r="I1660" t="s">
        <v>1611</v>
      </c>
      <c r="J1660" s="14">
        <v>969.60384220141702</v>
      </c>
      <c r="K1660" s="14">
        <f t="shared" si="200"/>
        <v>116753.594802305</v>
      </c>
      <c r="L1660" s="14">
        <f t="shared" si="201"/>
        <v>123</v>
      </c>
      <c r="M1660" s="14" t="str">
        <f t="shared" si="202"/>
        <v>26-08-2024</v>
      </c>
      <c r="N1660" s="14">
        <f t="shared" si="203"/>
        <v>0.15857092078367749</v>
      </c>
      <c r="O1660" s="20">
        <f t="shared" si="204"/>
        <v>2.5134865606788552</v>
      </c>
      <c r="P1660" s="14">
        <f t="shared" si="205"/>
        <v>448.50387407616216</v>
      </c>
      <c r="Q1660" s="14">
        <f t="shared" si="206"/>
        <v>357.39351292916717</v>
      </c>
      <c r="R1660" s="14" t="str">
        <f t="shared" si="207"/>
        <v>Aug</v>
      </c>
    </row>
    <row r="1661" spans="1:18" x14ac:dyDescent="0.3">
      <c r="A1661" t="s">
        <v>3269</v>
      </c>
      <c r="B1661" s="1">
        <v>45939</v>
      </c>
      <c r="C1661" t="s">
        <v>221</v>
      </c>
      <c r="D1661" t="s">
        <v>1379</v>
      </c>
      <c r="E1661" t="s">
        <v>1598</v>
      </c>
      <c r="F1661">
        <v>2.5092464858793</v>
      </c>
      <c r="G1661" s="14">
        <v>457.25180385170898</v>
      </c>
      <c r="H1661" s="17">
        <v>0.15742813085403301</v>
      </c>
      <c r="I1661" t="s">
        <v>1614</v>
      </c>
      <c r="J1661" s="14">
        <v>969.49584574196501</v>
      </c>
      <c r="K1661" s="14">
        <f t="shared" si="200"/>
        <v>116753.594802305</v>
      </c>
      <c r="L1661" s="14">
        <f t="shared" si="201"/>
        <v>123</v>
      </c>
      <c r="M1661" s="14" t="str">
        <f t="shared" si="202"/>
        <v>09-10-2025</v>
      </c>
      <c r="N1661" s="14">
        <f t="shared" si="203"/>
        <v>0.15857430181897228</v>
      </c>
      <c r="O1661" s="20">
        <f t="shared" si="204"/>
        <v>2.5134991052788536</v>
      </c>
      <c r="P1661" s="14">
        <f t="shared" si="205"/>
        <v>448.47799262712198</v>
      </c>
      <c r="Q1661" s="14">
        <f t="shared" si="206"/>
        <v>357.35358105260184</v>
      </c>
      <c r="R1661" s="14" t="str">
        <f t="shared" si="207"/>
        <v>Oct</v>
      </c>
    </row>
    <row r="1662" spans="1:18" x14ac:dyDescent="0.3">
      <c r="A1662" t="s">
        <v>3270</v>
      </c>
      <c r="B1662" s="1">
        <v>45401</v>
      </c>
      <c r="C1662" t="s">
        <v>905</v>
      </c>
      <c r="D1662" t="s">
        <v>1342</v>
      </c>
      <c r="E1662" t="s">
        <v>1546</v>
      </c>
      <c r="F1662">
        <v>2.50927157507929</v>
      </c>
      <c r="G1662" s="14">
        <v>457.20004095362901</v>
      </c>
      <c r="H1662" s="17">
        <v>0.15743489292462301</v>
      </c>
      <c r="I1662" t="s">
        <v>1611</v>
      </c>
      <c r="J1662" s="14">
        <v>969.387849282513</v>
      </c>
      <c r="K1662" s="14">
        <f t="shared" si="200"/>
        <v>116753.594802305</v>
      </c>
      <c r="L1662" s="14">
        <f t="shared" si="201"/>
        <v>123</v>
      </c>
      <c r="M1662" s="14" t="str">
        <f t="shared" si="202"/>
        <v>19-04-2024</v>
      </c>
      <c r="N1662" s="14">
        <f t="shared" si="203"/>
        <v>0.1585776828542671</v>
      </c>
      <c r="O1662" s="20">
        <f t="shared" si="204"/>
        <v>2.5135116498788528</v>
      </c>
      <c r="P1662" s="14">
        <f t="shared" si="205"/>
        <v>448.45211117808185</v>
      </c>
      <c r="Q1662" s="14">
        <f t="shared" si="206"/>
        <v>357.31364917603651</v>
      </c>
      <c r="R1662" s="14" t="str">
        <f t="shared" si="207"/>
        <v>Apr</v>
      </c>
    </row>
    <row r="1663" spans="1:18" x14ac:dyDescent="0.3">
      <c r="A1663" t="s">
        <v>3271</v>
      </c>
      <c r="B1663" s="1">
        <v>45420</v>
      </c>
      <c r="C1663" t="s">
        <v>1062</v>
      </c>
      <c r="D1663" t="s">
        <v>1495</v>
      </c>
      <c r="E1663" t="s">
        <v>1554</v>
      </c>
      <c r="F1663">
        <v>2.5092966642792902</v>
      </c>
      <c r="G1663" s="14">
        <v>457.14827805554899</v>
      </c>
      <c r="H1663" s="17">
        <v>0.15744165499521301</v>
      </c>
      <c r="I1663" t="s">
        <v>1609</v>
      </c>
      <c r="J1663" s="14">
        <v>969.27985282306201</v>
      </c>
      <c r="K1663" s="14">
        <f t="shared" si="200"/>
        <v>116753.594802305</v>
      </c>
      <c r="L1663" s="14">
        <f t="shared" si="201"/>
        <v>123</v>
      </c>
      <c r="M1663" s="14" t="str">
        <f t="shared" si="202"/>
        <v>08-05-2024</v>
      </c>
      <c r="N1663" s="14">
        <f t="shared" si="203"/>
        <v>0.15858106388956189</v>
      </c>
      <c r="O1663" s="20">
        <f t="shared" si="204"/>
        <v>2.5135241944788516</v>
      </c>
      <c r="P1663" s="14">
        <f t="shared" si="205"/>
        <v>448.42622972904195</v>
      </c>
      <c r="Q1663" s="14">
        <f t="shared" si="206"/>
        <v>357.2737172994714</v>
      </c>
      <c r="R1663" s="14" t="str">
        <f t="shared" si="207"/>
        <v>May</v>
      </c>
    </row>
    <row r="1664" spans="1:18" x14ac:dyDescent="0.3">
      <c r="A1664" t="s">
        <v>3272</v>
      </c>
      <c r="B1664" s="1">
        <v>45459</v>
      </c>
      <c r="C1664" t="s">
        <v>716</v>
      </c>
      <c r="D1664" t="s">
        <v>1513</v>
      </c>
      <c r="E1664" t="s">
        <v>1554</v>
      </c>
      <c r="F1664">
        <v>2.50932175347929</v>
      </c>
      <c r="G1664" s="14">
        <v>457.09651515746799</v>
      </c>
      <c r="H1664" s="17">
        <v>0.15744841706580201</v>
      </c>
      <c r="I1664" t="s">
        <v>1609</v>
      </c>
      <c r="J1664" s="14">
        <v>969.17185636361</v>
      </c>
      <c r="K1664" s="14">
        <f t="shared" si="200"/>
        <v>115784.31494948194</v>
      </c>
      <c r="L1664" s="14">
        <f t="shared" si="201"/>
        <v>122</v>
      </c>
      <c r="M1664" s="14" t="str">
        <f t="shared" si="202"/>
        <v>16-06-2024</v>
      </c>
      <c r="N1664" s="14">
        <f t="shared" si="203"/>
        <v>0.15858444492485671</v>
      </c>
      <c r="O1664" s="20">
        <f t="shared" si="204"/>
        <v>2.5135367390788499</v>
      </c>
      <c r="P1664" s="14">
        <f t="shared" si="205"/>
        <v>448.40034828000182</v>
      </c>
      <c r="Q1664" s="14">
        <f t="shared" si="206"/>
        <v>357.23378542290578</v>
      </c>
      <c r="R1664" s="14" t="str">
        <f t="shared" si="207"/>
        <v>Jun</v>
      </c>
    </row>
    <row r="1665" spans="1:18" x14ac:dyDescent="0.3">
      <c r="A1665" t="s">
        <v>3273</v>
      </c>
      <c r="B1665" s="1">
        <v>45429</v>
      </c>
      <c r="C1665" t="s">
        <v>643</v>
      </c>
      <c r="D1665" t="s">
        <v>1363</v>
      </c>
      <c r="E1665" t="s">
        <v>1589</v>
      </c>
      <c r="F1665">
        <v>2.5093468426792902</v>
      </c>
      <c r="G1665" s="14">
        <v>457.04475225938802</v>
      </c>
      <c r="H1665" s="17">
        <v>0.15745517913639201</v>
      </c>
      <c r="I1665" t="s">
        <v>1611</v>
      </c>
      <c r="J1665" s="14">
        <v>969.06385990415799</v>
      </c>
      <c r="K1665" s="14">
        <f t="shared" si="200"/>
        <v>114815.14309311831</v>
      </c>
      <c r="L1665" s="14">
        <f t="shared" si="201"/>
        <v>121</v>
      </c>
      <c r="M1665" s="14" t="str">
        <f t="shared" si="202"/>
        <v>17-05-2024</v>
      </c>
      <c r="N1665" s="14">
        <f t="shared" si="203"/>
        <v>0.1585878259601515</v>
      </c>
      <c r="O1665" s="20">
        <f t="shared" si="204"/>
        <v>2.5135492836788487</v>
      </c>
      <c r="P1665" s="14">
        <f t="shared" si="205"/>
        <v>448.37446683096164</v>
      </c>
      <c r="Q1665" s="14">
        <f t="shared" si="206"/>
        <v>357.19385354634039</v>
      </c>
      <c r="R1665" s="14" t="str">
        <f t="shared" si="207"/>
        <v>May</v>
      </c>
    </row>
    <row r="1666" spans="1:18" x14ac:dyDescent="0.3">
      <c r="A1666" t="s">
        <v>3274</v>
      </c>
      <c r="B1666" s="1">
        <v>45386</v>
      </c>
      <c r="C1666" t="s">
        <v>1303</v>
      </c>
      <c r="D1666" t="s">
        <v>1469</v>
      </c>
      <c r="E1666" t="s">
        <v>1546</v>
      </c>
      <c r="F1666">
        <v>2.5093719318792802</v>
      </c>
      <c r="G1666" s="14">
        <v>456.99298936130799</v>
      </c>
      <c r="H1666" s="17">
        <v>0.15746194120698201</v>
      </c>
      <c r="I1666" t="s">
        <v>1611</v>
      </c>
      <c r="J1666" s="14">
        <v>968.95586344470598</v>
      </c>
      <c r="K1666" s="14">
        <f t="shared" ref="K1666:K1729" si="208">SUMIF(I1666:I3665,"Credit Card",J1666:J3665)</f>
        <v>114815.14309311831</v>
      </c>
      <c r="L1666" s="14">
        <f t="shared" ref="L1666:L1729" si="209">COUNTIF(I1666:I3665,"Credit Card")</f>
        <v>121</v>
      </c>
      <c r="M1666" s="14" t="str">
        <f t="shared" ref="M1666:M1729" si="210">TEXT(B1666:B3665,"dd-mm-yyyy")</f>
        <v>04-04-2024</v>
      </c>
      <c r="N1666" s="14">
        <f t="shared" ref="N1666:N1729" si="211">AVERAGE(H1666:H3665)</f>
        <v>0.15859120699544635</v>
      </c>
      <c r="O1666" s="20">
        <f t="shared" ref="O1666:O1729" si="212">AVERAGE(F1666:F3665)</f>
        <v>2.5135618282788474</v>
      </c>
      <c r="P1666" s="14">
        <f t="shared" ref="P1666:P1729" si="213">AVERAGE(G1666:G3665)</f>
        <v>448.34858538192157</v>
      </c>
      <c r="Q1666" s="14">
        <f t="shared" ref="Q1666:Q1729" si="214">AVERAGE(F1666,G1666,H1666,J1666)</f>
        <v>357.15392166977506</v>
      </c>
      <c r="R1666" s="14" t="str">
        <f t="shared" ref="R1666:R1729" si="215">TEXT(M1666,"mmm")</f>
        <v>Apr</v>
      </c>
    </row>
    <row r="1667" spans="1:18" x14ac:dyDescent="0.3">
      <c r="A1667" t="s">
        <v>3275</v>
      </c>
      <c r="B1667" s="1">
        <v>45803</v>
      </c>
      <c r="C1667" t="s">
        <v>508</v>
      </c>
      <c r="D1667" t="s">
        <v>1381</v>
      </c>
      <c r="E1667" t="s">
        <v>1595</v>
      </c>
      <c r="F1667">
        <v>2.50939702107928</v>
      </c>
      <c r="G1667" s="14">
        <v>456.94122646322802</v>
      </c>
      <c r="H1667" s="17">
        <v>0.15746870327757101</v>
      </c>
      <c r="I1667" t="s">
        <v>1611</v>
      </c>
      <c r="J1667" s="14">
        <v>968.847866985255</v>
      </c>
      <c r="K1667" s="14">
        <f t="shared" si="208"/>
        <v>114815.14309311831</v>
      </c>
      <c r="L1667" s="14">
        <f t="shared" si="209"/>
        <v>121</v>
      </c>
      <c r="M1667" s="14" t="str">
        <f t="shared" si="210"/>
        <v>26-05-2025</v>
      </c>
      <c r="N1667" s="14">
        <f t="shared" si="211"/>
        <v>0.15859458803074114</v>
      </c>
      <c r="O1667" s="20">
        <f t="shared" si="212"/>
        <v>2.5135743728788462</v>
      </c>
      <c r="P1667" s="14">
        <f t="shared" si="213"/>
        <v>448.32270393288167</v>
      </c>
      <c r="Q1667" s="14">
        <f t="shared" si="214"/>
        <v>357.11398979320995</v>
      </c>
      <c r="R1667" s="14" t="str">
        <f t="shared" si="215"/>
        <v>May</v>
      </c>
    </row>
    <row r="1668" spans="1:18" x14ac:dyDescent="0.3">
      <c r="A1668" t="s">
        <v>3276</v>
      </c>
      <c r="B1668" s="1">
        <v>45346</v>
      </c>
      <c r="C1668" t="s">
        <v>78</v>
      </c>
      <c r="D1668" t="s">
        <v>1493</v>
      </c>
      <c r="E1668" t="s">
        <v>1592</v>
      </c>
      <c r="F1668">
        <v>2.5094221102792802</v>
      </c>
      <c r="G1668" s="14">
        <v>456.88946356514799</v>
      </c>
      <c r="H1668" s="17">
        <v>0.15747546534816101</v>
      </c>
      <c r="I1668" t="s">
        <v>1611</v>
      </c>
      <c r="J1668" s="14">
        <v>968.73987052580298</v>
      </c>
      <c r="K1668" s="14">
        <f t="shared" si="208"/>
        <v>114815.14309311831</v>
      </c>
      <c r="L1668" s="14">
        <f t="shared" si="209"/>
        <v>121</v>
      </c>
      <c r="M1668" s="14" t="str">
        <f t="shared" si="210"/>
        <v>24-02-2024</v>
      </c>
      <c r="N1668" s="14">
        <f t="shared" si="211"/>
        <v>0.15859796906603593</v>
      </c>
      <c r="O1668" s="20">
        <f t="shared" si="212"/>
        <v>2.5135869174788446</v>
      </c>
      <c r="P1668" s="14">
        <f t="shared" si="213"/>
        <v>448.29682248384154</v>
      </c>
      <c r="Q1668" s="14">
        <f t="shared" si="214"/>
        <v>357.07405791664462</v>
      </c>
      <c r="R1668" s="14" t="str">
        <f t="shared" si="215"/>
        <v>Feb</v>
      </c>
    </row>
    <row r="1669" spans="1:18" x14ac:dyDescent="0.3">
      <c r="A1669" t="s">
        <v>3277</v>
      </c>
      <c r="B1669" s="1">
        <v>45267</v>
      </c>
      <c r="C1669" t="s">
        <v>532</v>
      </c>
      <c r="D1669" t="s">
        <v>1409</v>
      </c>
      <c r="E1669" t="s">
        <v>1564</v>
      </c>
      <c r="F1669">
        <v>2.50944719947928</v>
      </c>
      <c r="G1669" s="14">
        <v>456.83770066706802</v>
      </c>
      <c r="H1669" s="17">
        <v>0.15748222741875001</v>
      </c>
      <c r="I1669" t="s">
        <v>1614</v>
      </c>
      <c r="J1669" s="14">
        <v>968.63187406635097</v>
      </c>
      <c r="K1669" s="14">
        <f t="shared" si="208"/>
        <v>114815.14309311831</v>
      </c>
      <c r="L1669" s="14">
        <f t="shared" si="209"/>
        <v>121</v>
      </c>
      <c r="M1669" s="14" t="str">
        <f t="shared" si="210"/>
        <v>07-12-2023</v>
      </c>
      <c r="N1669" s="14">
        <f t="shared" si="211"/>
        <v>0.15860135010133075</v>
      </c>
      <c r="O1669" s="20">
        <f t="shared" si="212"/>
        <v>2.5135994620788433</v>
      </c>
      <c r="P1669" s="14">
        <f t="shared" si="213"/>
        <v>448.27094103480147</v>
      </c>
      <c r="Q1669" s="14">
        <f t="shared" si="214"/>
        <v>357.03412604007929</v>
      </c>
      <c r="R1669" s="14" t="str">
        <f t="shared" si="215"/>
        <v>Dec</v>
      </c>
    </row>
    <row r="1670" spans="1:18" x14ac:dyDescent="0.3">
      <c r="A1670" t="s">
        <v>3278</v>
      </c>
      <c r="B1670" s="1">
        <v>45572</v>
      </c>
      <c r="C1670" t="s">
        <v>1267</v>
      </c>
      <c r="D1670" t="s">
        <v>1395</v>
      </c>
      <c r="E1670" t="s">
        <v>1554</v>
      </c>
      <c r="F1670">
        <v>2.50947228867927</v>
      </c>
      <c r="G1670" s="14">
        <v>456.78593776898799</v>
      </c>
      <c r="H1670" s="17">
        <v>0.15748898948934001</v>
      </c>
      <c r="I1670" t="s">
        <v>1611</v>
      </c>
      <c r="J1670" s="14">
        <v>968.52387760689896</v>
      </c>
      <c r="K1670" s="14">
        <f t="shared" si="208"/>
        <v>114815.14309311831</v>
      </c>
      <c r="L1670" s="14">
        <f t="shared" si="209"/>
        <v>121</v>
      </c>
      <c r="M1670" s="14" t="str">
        <f t="shared" si="210"/>
        <v>07-10-2024</v>
      </c>
      <c r="N1670" s="14">
        <f t="shared" si="211"/>
        <v>0.15860473113662554</v>
      </c>
      <c r="O1670" s="20">
        <f t="shared" si="212"/>
        <v>2.5136120066788421</v>
      </c>
      <c r="P1670" s="14">
        <f t="shared" si="213"/>
        <v>448.2450595857614</v>
      </c>
      <c r="Q1670" s="14">
        <f t="shared" si="214"/>
        <v>356.9941941635139</v>
      </c>
      <c r="R1670" s="14" t="str">
        <f t="shared" si="215"/>
        <v>Oct</v>
      </c>
    </row>
    <row r="1671" spans="1:18" x14ac:dyDescent="0.3">
      <c r="A1671" t="s">
        <v>3279</v>
      </c>
      <c r="B1671" s="1">
        <v>45252</v>
      </c>
      <c r="C1671" t="s">
        <v>1224</v>
      </c>
      <c r="D1671" t="s">
        <v>1338</v>
      </c>
      <c r="E1671" t="s">
        <v>1564</v>
      </c>
      <c r="F1671">
        <v>2.5094973778792702</v>
      </c>
      <c r="G1671" s="14">
        <v>456.734174870907</v>
      </c>
      <c r="H1671" s="17">
        <v>0.15749575155993001</v>
      </c>
      <c r="I1671" t="s">
        <v>1611</v>
      </c>
      <c r="J1671" s="14">
        <v>968.41588114744798</v>
      </c>
      <c r="K1671" s="14">
        <f t="shared" si="208"/>
        <v>114815.14309311831</v>
      </c>
      <c r="L1671" s="14">
        <f t="shared" si="209"/>
        <v>121</v>
      </c>
      <c r="M1671" s="14" t="str">
        <f t="shared" si="210"/>
        <v>22-11-2023</v>
      </c>
      <c r="N1671" s="14">
        <f t="shared" si="211"/>
        <v>0.15860811217192033</v>
      </c>
      <c r="O1671" s="20">
        <f t="shared" si="212"/>
        <v>2.5136245512788409</v>
      </c>
      <c r="P1671" s="14">
        <f t="shared" si="213"/>
        <v>448.21917813672121</v>
      </c>
      <c r="Q1671" s="14">
        <f t="shared" si="214"/>
        <v>356.95426228694851</v>
      </c>
      <c r="R1671" s="14" t="str">
        <f t="shared" si="215"/>
        <v>Nov</v>
      </c>
    </row>
    <row r="1672" spans="1:18" x14ac:dyDescent="0.3">
      <c r="A1672" t="s">
        <v>3280</v>
      </c>
      <c r="B1672" s="1">
        <v>45939</v>
      </c>
      <c r="C1672" t="s">
        <v>435</v>
      </c>
      <c r="D1672" t="s">
        <v>1395</v>
      </c>
      <c r="E1672" t="s">
        <v>1584</v>
      </c>
      <c r="F1672">
        <v>2.50952246707927</v>
      </c>
      <c r="G1672" s="14">
        <v>456.68241197282703</v>
      </c>
      <c r="H1672" s="17">
        <v>0.15750251363051901</v>
      </c>
      <c r="I1672" t="s">
        <v>1614</v>
      </c>
      <c r="J1672" s="14">
        <v>968.30788468799597</v>
      </c>
      <c r="K1672" s="14">
        <f t="shared" si="208"/>
        <v>114815.14309311831</v>
      </c>
      <c r="L1672" s="14">
        <f t="shared" si="209"/>
        <v>121</v>
      </c>
      <c r="M1672" s="14" t="str">
        <f t="shared" si="210"/>
        <v>09-10-2025</v>
      </c>
      <c r="N1672" s="14">
        <f t="shared" si="211"/>
        <v>0.15861149320721513</v>
      </c>
      <c r="O1672" s="20">
        <f t="shared" si="212"/>
        <v>2.5136370958788397</v>
      </c>
      <c r="P1672" s="14">
        <f t="shared" si="213"/>
        <v>448.1932966876812</v>
      </c>
      <c r="Q1672" s="14">
        <f t="shared" si="214"/>
        <v>356.91433041038317</v>
      </c>
      <c r="R1672" s="14" t="str">
        <f t="shared" si="215"/>
        <v>Oct</v>
      </c>
    </row>
    <row r="1673" spans="1:18" x14ac:dyDescent="0.3">
      <c r="A1673" t="s">
        <v>3281</v>
      </c>
      <c r="B1673" s="1">
        <v>45559</v>
      </c>
      <c r="C1673" t="s">
        <v>1145</v>
      </c>
      <c r="D1673" t="s">
        <v>1475</v>
      </c>
      <c r="E1673" t="s">
        <v>1592</v>
      </c>
      <c r="F1673">
        <v>2.5095475562792702</v>
      </c>
      <c r="G1673" s="14">
        <v>456.630649074747</v>
      </c>
      <c r="H1673" s="17">
        <v>0.15750927570110901</v>
      </c>
      <c r="I1673" t="s">
        <v>1614</v>
      </c>
      <c r="J1673" s="14">
        <v>968.19988822854395</v>
      </c>
      <c r="K1673" s="14">
        <f t="shared" si="208"/>
        <v>114815.14309311831</v>
      </c>
      <c r="L1673" s="14">
        <f t="shared" si="209"/>
        <v>121</v>
      </c>
      <c r="M1673" s="14" t="str">
        <f t="shared" si="210"/>
        <v>24-09-2024</v>
      </c>
      <c r="N1673" s="14">
        <f t="shared" si="211"/>
        <v>0.15861487424250997</v>
      </c>
      <c r="O1673" s="20">
        <f t="shared" si="212"/>
        <v>2.5136496404788389</v>
      </c>
      <c r="P1673" s="14">
        <f t="shared" si="213"/>
        <v>448.16741523864118</v>
      </c>
      <c r="Q1673" s="14">
        <f t="shared" si="214"/>
        <v>356.87439853381784</v>
      </c>
      <c r="R1673" s="14" t="str">
        <f t="shared" si="215"/>
        <v>Sep</v>
      </c>
    </row>
    <row r="1674" spans="1:18" x14ac:dyDescent="0.3">
      <c r="A1674" t="s">
        <v>3282</v>
      </c>
      <c r="B1674" s="1">
        <v>45229</v>
      </c>
      <c r="C1674" t="s">
        <v>195</v>
      </c>
      <c r="D1674" t="s">
        <v>1419</v>
      </c>
      <c r="E1674" t="s">
        <v>1554</v>
      </c>
      <c r="F1674">
        <v>2.5095726454792602</v>
      </c>
      <c r="G1674" s="14">
        <v>456.57888617666703</v>
      </c>
      <c r="H1674" s="17">
        <v>0.15751603777169801</v>
      </c>
      <c r="I1674" t="s">
        <v>1611</v>
      </c>
      <c r="J1674" s="14">
        <v>968.09189176909297</v>
      </c>
      <c r="K1674" s="14">
        <f t="shared" si="208"/>
        <v>114815.14309311831</v>
      </c>
      <c r="L1674" s="14">
        <f t="shared" si="209"/>
        <v>121</v>
      </c>
      <c r="M1674" s="14" t="str">
        <f t="shared" si="210"/>
        <v>30-10-2023</v>
      </c>
      <c r="N1674" s="14">
        <f t="shared" si="211"/>
        <v>0.15861825527780476</v>
      </c>
      <c r="O1674" s="20">
        <f t="shared" si="212"/>
        <v>2.5136621850788377</v>
      </c>
      <c r="P1674" s="14">
        <f t="shared" si="213"/>
        <v>448.14153378960106</v>
      </c>
      <c r="Q1674" s="14">
        <f t="shared" si="214"/>
        <v>356.83446665725273</v>
      </c>
      <c r="R1674" s="14" t="str">
        <f t="shared" si="215"/>
        <v>Oct</v>
      </c>
    </row>
    <row r="1675" spans="1:18" x14ac:dyDescent="0.3">
      <c r="A1675" t="s">
        <v>3283</v>
      </c>
      <c r="B1675" s="1">
        <v>45333</v>
      </c>
      <c r="C1675" t="s">
        <v>103</v>
      </c>
      <c r="D1675" t="s">
        <v>1336</v>
      </c>
      <c r="E1675" t="s">
        <v>1561</v>
      </c>
      <c r="F1675">
        <v>2.50959773467926</v>
      </c>
      <c r="G1675" s="14">
        <v>456.527123278587</v>
      </c>
      <c r="H1675" s="17">
        <v>0.15752279984228801</v>
      </c>
      <c r="I1675" t="s">
        <v>1614</v>
      </c>
      <c r="J1675" s="14">
        <v>967.98389530964096</v>
      </c>
      <c r="K1675" s="14">
        <f t="shared" si="208"/>
        <v>114815.14309311831</v>
      </c>
      <c r="L1675" s="14">
        <f t="shared" si="209"/>
        <v>121</v>
      </c>
      <c r="M1675" s="14" t="str">
        <f t="shared" si="210"/>
        <v>11-02-2024</v>
      </c>
      <c r="N1675" s="14">
        <f t="shared" si="211"/>
        <v>0.15862163631309956</v>
      </c>
      <c r="O1675" s="20">
        <f t="shared" si="212"/>
        <v>2.5136747296788364</v>
      </c>
      <c r="P1675" s="14">
        <f t="shared" si="213"/>
        <v>448.11565234056098</v>
      </c>
      <c r="Q1675" s="14">
        <f t="shared" si="214"/>
        <v>356.7945347806874</v>
      </c>
      <c r="R1675" s="14" t="str">
        <f t="shared" si="215"/>
        <v>Feb</v>
      </c>
    </row>
    <row r="1676" spans="1:18" x14ac:dyDescent="0.3">
      <c r="A1676" t="s">
        <v>3284</v>
      </c>
      <c r="B1676" s="1">
        <v>45752</v>
      </c>
      <c r="C1676" t="s">
        <v>1187</v>
      </c>
      <c r="D1676" t="s">
        <v>1529</v>
      </c>
      <c r="E1676" t="s">
        <v>1584</v>
      </c>
      <c r="F1676">
        <v>2.5096228238792602</v>
      </c>
      <c r="G1676" s="14">
        <v>456.47536038050703</v>
      </c>
      <c r="H1676" s="17">
        <v>0.15752956191287801</v>
      </c>
      <c r="I1676" t="s">
        <v>1609</v>
      </c>
      <c r="J1676" s="14">
        <v>967.87589885018895</v>
      </c>
      <c r="K1676" s="14">
        <f t="shared" si="208"/>
        <v>114815.14309311831</v>
      </c>
      <c r="L1676" s="14">
        <f t="shared" si="209"/>
        <v>121</v>
      </c>
      <c r="M1676" s="14" t="str">
        <f t="shared" si="210"/>
        <v>05-04-2025</v>
      </c>
      <c r="N1676" s="14">
        <f t="shared" si="211"/>
        <v>0.15862501734839438</v>
      </c>
      <c r="O1676" s="20">
        <f t="shared" si="212"/>
        <v>2.5136872742788352</v>
      </c>
      <c r="P1676" s="14">
        <f t="shared" si="213"/>
        <v>448.08977089152091</v>
      </c>
      <c r="Q1676" s="14">
        <f t="shared" si="214"/>
        <v>356.75460290412207</v>
      </c>
      <c r="R1676" s="14" t="str">
        <f t="shared" si="215"/>
        <v>Apr</v>
      </c>
    </row>
    <row r="1677" spans="1:18" x14ac:dyDescent="0.3">
      <c r="A1677" t="s">
        <v>3285</v>
      </c>
      <c r="B1677" s="1">
        <v>45795</v>
      </c>
      <c r="C1677" t="s">
        <v>872</v>
      </c>
      <c r="D1677" t="s">
        <v>1427</v>
      </c>
      <c r="E1677" t="s">
        <v>1564</v>
      </c>
      <c r="F1677">
        <v>2.5096479130792599</v>
      </c>
      <c r="G1677" s="14">
        <v>456.42359748242598</v>
      </c>
      <c r="H1677" s="17">
        <v>0.15753632398346701</v>
      </c>
      <c r="I1677" t="s">
        <v>1609</v>
      </c>
      <c r="J1677" s="14">
        <v>967.76790239073705</v>
      </c>
      <c r="K1677" s="14">
        <f t="shared" si="208"/>
        <v>113847.26719426813</v>
      </c>
      <c r="L1677" s="14">
        <f t="shared" si="209"/>
        <v>120</v>
      </c>
      <c r="M1677" s="14" t="str">
        <f t="shared" si="210"/>
        <v>18-05-2025</v>
      </c>
      <c r="N1677" s="14">
        <f t="shared" si="211"/>
        <v>0.15862839838368917</v>
      </c>
      <c r="O1677" s="20">
        <f t="shared" si="212"/>
        <v>2.513699818878834</v>
      </c>
      <c r="P1677" s="14">
        <f t="shared" si="213"/>
        <v>448.0638894424809</v>
      </c>
      <c r="Q1677" s="14">
        <f t="shared" si="214"/>
        <v>356.71467102755645</v>
      </c>
      <c r="R1677" s="14" t="str">
        <f t="shared" si="215"/>
        <v>May</v>
      </c>
    </row>
    <row r="1678" spans="1:18" x14ac:dyDescent="0.3">
      <c r="A1678" t="s">
        <v>3286</v>
      </c>
      <c r="B1678" s="1">
        <v>45755</v>
      </c>
      <c r="C1678" t="s">
        <v>881</v>
      </c>
      <c r="D1678" t="s">
        <v>1521</v>
      </c>
      <c r="E1678" t="s">
        <v>1586</v>
      </c>
      <c r="F1678">
        <v>2.5096730022792499</v>
      </c>
      <c r="G1678" s="14">
        <v>456.371834584346</v>
      </c>
      <c r="H1678" s="17">
        <v>0.15754308605405701</v>
      </c>
      <c r="I1678" t="s">
        <v>1609</v>
      </c>
      <c r="J1678" s="14">
        <v>967.65990593128595</v>
      </c>
      <c r="K1678" s="14">
        <f t="shared" si="208"/>
        <v>112879.49929187742</v>
      </c>
      <c r="L1678" s="14">
        <f t="shared" si="209"/>
        <v>119</v>
      </c>
      <c r="M1678" s="14" t="str">
        <f t="shared" si="210"/>
        <v>08-04-2025</v>
      </c>
      <c r="N1678" s="14">
        <f t="shared" si="211"/>
        <v>0.15863177941898396</v>
      </c>
      <c r="O1678" s="20">
        <f t="shared" si="212"/>
        <v>2.5137123634788328</v>
      </c>
      <c r="P1678" s="14">
        <f t="shared" si="213"/>
        <v>448.03800799344077</v>
      </c>
      <c r="Q1678" s="14">
        <f t="shared" si="214"/>
        <v>356.67473915099129</v>
      </c>
      <c r="R1678" s="14" t="str">
        <f t="shared" si="215"/>
        <v>Apr</v>
      </c>
    </row>
    <row r="1679" spans="1:18" x14ac:dyDescent="0.3">
      <c r="A1679" t="s">
        <v>3287</v>
      </c>
      <c r="B1679" s="1">
        <v>45625</v>
      </c>
      <c r="C1679" t="s">
        <v>281</v>
      </c>
      <c r="D1679" t="s">
        <v>1487</v>
      </c>
      <c r="E1679" t="s">
        <v>1579</v>
      </c>
      <c r="F1679">
        <v>2.5096980914792502</v>
      </c>
      <c r="G1679" s="14">
        <v>456.32007168626598</v>
      </c>
      <c r="H1679" s="17">
        <v>0.15754984812464601</v>
      </c>
      <c r="I1679" t="s">
        <v>1614</v>
      </c>
      <c r="J1679" s="14">
        <v>967.55190947183405</v>
      </c>
      <c r="K1679" s="14">
        <f t="shared" si="208"/>
        <v>111911.83938594612</v>
      </c>
      <c r="L1679" s="14">
        <f t="shared" si="209"/>
        <v>118</v>
      </c>
      <c r="M1679" s="14" t="str">
        <f t="shared" si="210"/>
        <v>29-11-2024</v>
      </c>
      <c r="N1679" s="14">
        <f t="shared" si="211"/>
        <v>0.15863516045427875</v>
      </c>
      <c r="O1679" s="20">
        <f t="shared" si="212"/>
        <v>2.5137249080788315</v>
      </c>
      <c r="P1679" s="14">
        <f t="shared" si="213"/>
        <v>448.01212654440059</v>
      </c>
      <c r="Q1679" s="14">
        <f t="shared" si="214"/>
        <v>356.63480727442595</v>
      </c>
      <c r="R1679" s="14" t="str">
        <f t="shared" si="215"/>
        <v>Nov</v>
      </c>
    </row>
    <row r="1680" spans="1:18" x14ac:dyDescent="0.3">
      <c r="A1680" t="s">
        <v>3288</v>
      </c>
      <c r="B1680" s="1">
        <v>45656</v>
      </c>
      <c r="C1680" t="s">
        <v>1318</v>
      </c>
      <c r="D1680" t="s">
        <v>1399</v>
      </c>
      <c r="E1680" t="s">
        <v>1571</v>
      </c>
      <c r="F1680">
        <v>2.5097231806792499</v>
      </c>
      <c r="G1680" s="14">
        <v>456.268308788186</v>
      </c>
      <c r="H1680" s="17">
        <v>0.15755661019523601</v>
      </c>
      <c r="I1680" t="s">
        <v>1609</v>
      </c>
      <c r="J1680" s="14">
        <v>967.44391301238204</v>
      </c>
      <c r="K1680" s="14">
        <f t="shared" si="208"/>
        <v>111911.83938594612</v>
      </c>
      <c r="L1680" s="14">
        <f t="shared" si="209"/>
        <v>118</v>
      </c>
      <c r="M1680" s="14" t="str">
        <f t="shared" si="210"/>
        <v>30-12-2024</v>
      </c>
      <c r="N1680" s="14">
        <f t="shared" si="211"/>
        <v>0.15863854148957357</v>
      </c>
      <c r="O1680" s="20">
        <f t="shared" si="212"/>
        <v>2.5137374526788303</v>
      </c>
      <c r="P1680" s="14">
        <f t="shared" si="213"/>
        <v>447.98624509536057</v>
      </c>
      <c r="Q1680" s="14">
        <f t="shared" si="214"/>
        <v>356.59487539786062</v>
      </c>
      <c r="R1680" s="14" t="str">
        <f t="shared" si="215"/>
        <v>Dec</v>
      </c>
    </row>
    <row r="1681" spans="1:18" x14ac:dyDescent="0.3">
      <c r="A1681" t="s">
        <v>3289</v>
      </c>
      <c r="B1681" s="1">
        <v>45824</v>
      </c>
      <c r="C1681" t="s">
        <v>1297</v>
      </c>
      <c r="D1681" t="s">
        <v>1523</v>
      </c>
      <c r="E1681" t="s">
        <v>1592</v>
      </c>
      <c r="F1681">
        <v>2.5097482698792501</v>
      </c>
      <c r="G1681" s="14">
        <v>456.21654589010598</v>
      </c>
      <c r="H1681" s="17">
        <v>0.15756337226582601</v>
      </c>
      <c r="I1681" t="s">
        <v>1614</v>
      </c>
      <c r="J1681" s="14">
        <v>967.33591655293003</v>
      </c>
      <c r="K1681" s="14">
        <f t="shared" si="208"/>
        <v>110944.39547293374</v>
      </c>
      <c r="L1681" s="14">
        <f t="shared" si="209"/>
        <v>117</v>
      </c>
      <c r="M1681" s="14" t="str">
        <f t="shared" si="210"/>
        <v>16-06-2025</v>
      </c>
      <c r="N1681" s="14">
        <f t="shared" si="211"/>
        <v>0.15864192252486836</v>
      </c>
      <c r="O1681" s="20">
        <f t="shared" si="212"/>
        <v>2.5137499972788291</v>
      </c>
      <c r="P1681" s="14">
        <f t="shared" si="213"/>
        <v>447.96036364632056</v>
      </c>
      <c r="Q1681" s="14">
        <f t="shared" si="214"/>
        <v>356.55494352129529</v>
      </c>
      <c r="R1681" s="14" t="str">
        <f t="shared" si="215"/>
        <v>Jun</v>
      </c>
    </row>
    <row r="1682" spans="1:18" x14ac:dyDescent="0.3">
      <c r="A1682" t="s">
        <v>3290</v>
      </c>
      <c r="B1682" s="1">
        <v>45824</v>
      </c>
      <c r="C1682" t="s">
        <v>1157</v>
      </c>
      <c r="D1682" t="s">
        <v>1463</v>
      </c>
      <c r="E1682" t="s">
        <v>1592</v>
      </c>
      <c r="F1682">
        <v>2.5097733590792402</v>
      </c>
      <c r="G1682" s="14">
        <v>456.16478299202601</v>
      </c>
      <c r="H1682" s="17">
        <v>0.15757013433641501</v>
      </c>
      <c r="I1682" t="s">
        <v>1609</v>
      </c>
      <c r="J1682" s="14">
        <v>967.22792009347904</v>
      </c>
      <c r="K1682" s="14">
        <f t="shared" si="208"/>
        <v>110944.39547293374</v>
      </c>
      <c r="L1682" s="14">
        <f t="shared" si="209"/>
        <v>117</v>
      </c>
      <c r="M1682" s="14" t="str">
        <f t="shared" si="210"/>
        <v>16-06-2025</v>
      </c>
      <c r="N1682" s="14">
        <f t="shared" si="211"/>
        <v>0.15864530356016318</v>
      </c>
      <c r="O1682" s="20">
        <f t="shared" si="212"/>
        <v>2.5137625418788274</v>
      </c>
      <c r="P1682" s="14">
        <f t="shared" si="213"/>
        <v>447.93448219728043</v>
      </c>
      <c r="Q1682" s="14">
        <f t="shared" si="214"/>
        <v>356.51501164473018</v>
      </c>
      <c r="R1682" s="14" t="str">
        <f t="shared" si="215"/>
        <v>Jun</v>
      </c>
    </row>
    <row r="1683" spans="1:18" x14ac:dyDescent="0.3">
      <c r="A1683" t="s">
        <v>3291</v>
      </c>
      <c r="B1683" s="1">
        <v>45384</v>
      </c>
      <c r="C1683" t="s">
        <v>585</v>
      </c>
      <c r="D1683" t="s">
        <v>1499</v>
      </c>
      <c r="E1683" t="s">
        <v>1586</v>
      </c>
      <c r="F1683">
        <v>2.5097984482792399</v>
      </c>
      <c r="G1683" s="14">
        <v>456.11302009394501</v>
      </c>
      <c r="H1683" s="17">
        <v>0.15757689640700501</v>
      </c>
      <c r="I1683" t="s">
        <v>1609</v>
      </c>
      <c r="J1683" s="14">
        <v>967.11992363402703</v>
      </c>
      <c r="K1683" s="14">
        <f t="shared" si="208"/>
        <v>109977.16755284027</v>
      </c>
      <c r="L1683" s="14">
        <f t="shared" si="209"/>
        <v>116</v>
      </c>
      <c r="M1683" s="14" t="str">
        <f t="shared" si="210"/>
        <v>02-04-2024</v>
      </c>
      <c r="N1683" s="14">
        <f t="shared" si="211"/>
        <v>0.158648684595458</v>
      </c>
      <c r="O1683" s="20">
        <f t="shared" si="212"/>
        <v>2.5137750864788266</v>
      </c>
      <c r="P1683" s="14">
        <f t="shared" si="213"/>
        <v>447.9086007482403</v>
      </c>
      <c r="Q1683" s="14">
        <f t="shared" si="214"/>
        <v>356.47507976816456</v>
      </c>
      <c r="R1683" s="14" t="str">
        <f t="shared" si="215"/>
        <v>Apr</v>
      </c>
    </row>
    <row r="1684" spans="1:18" x14ac:dyDescent="0.3">
      <c r="A1684" t="s">
        <v>3292</v>
      </c>
      <c r="B1684" s="1">
        <v>45379</v>
      </c>
      <c r="C1684" t="s">
        <v>773</v>
      </c>
      <c r="D1684" t="s">
        <v>1363</v>
      </c>
      <c r="E1684" t="s">
        <v>1584</v>
      </c>
      <c r="F1684">
        <v>2.5098235374792401</v>
      </c>
      <c r="G1684" s="14">
        <v>456.06125719586498</v>
      </c>
      <c r="H1684" s="17">
        <v>0.15758365847759401</v>
      </c>
      <c r="I1684" t="s">
        <v>1614</v>
      </c>
      <c r="J1684" s="14">
        <v>967.01192717457502</v>
      </c>
      <c r="K1684" s="14">
        <f t="shared" si="208"/>
        <v>109010.04762920624</v>
      </c>
      <c r="L1684" s="14">
        <f t="shared" si="209"/>
        <v>115</v>
      </c>
      <c r="M1684" s="14" t="str">
        <f t="shared" si="210"/>
        <v>28-03-2024</v>
      </c>
      <c r="N1684" s="14">
        <f t="shared" si="211"/>
        <v>0.15865206563075279</v>
      </c>
      <c r="O1684" s="20">
        <f t="shared" si="212"/>
        <v>2.513787631078825</v>
      </c>
      <c r="P1684" s="14">
        <f t="shared" si="213"/>
        <v>447.88271929920029</v>
      </c>
      <c r="Q1684" s="14">
        <f t="shared" si="214"/>
        <v>356.43514789159923</v>
      </c>
      <c r="R1684" s="14" t="str">
        <f t="shared" si="215"/>
        <v>Mar</v>
      </c>
    </row>
    <row r="1685" spans="1:18" x14ac:dyDescent="0.3">
      <c r="A1685" t="s">
        <v>3293</v>
      </c>
      <c r="B1685" s="1">
        <v>45674</v>
      </c>
      <c r="C1685" t="s">
        <v>1071</v>
      </c>
      <c r="D1685" t="s">
        <v>1415</v>
      </c>
      <c r="E1685" t="s">
        <v>1582</v>
      </c>
      <c r="F1685">
        <v>2.5098486266792399</v>
      </c>
      <c r="G1685" s="14">
        <v>456.00949429778501</v>
      </c>
      <c r="H1685" s="17">
        <v>0.15759042054818401</v>
      </c>
      <c r="I1685" t="s">
        <v>1609</v>
      </c>
      <c r="J1685" s="14">
        <v>966.90393071512301</v>
      </c>
      <c r="K1685" s="14">
        <f t="shared" si="208"/>
        <v>109010.04762920624</v>
      </c>
      <c r="L1685" s="14">
        <f t="shared" si="209"/>
        <v>115</v>
      </c>
      <c r="M1685" s="14" t="str">
        <f t="shared" si="210"/>
        <v>17-01-2025</v>
      </c>
      <c r="N1685" s="14">
        <f t="shared" si="211"/>
        <v>0.15865544666604761</v>
      </c>
      <c r="O1685" s="20">
        <f t="shared" si="212"/>
        <v>2.5138001756788233</v>
      </c>
      <c r="P1685" s="14">
        <f t="shared" si="213"/>
        <v>447.85683785016022</v>
      </c>
      <c r="Q1685" s="14">
        <f t="shared" si="214"/>
        <v>356.39521601503384</v>
      </c>
      <c r="R1685" s="14" t="str">
        <f t="shared" si="215"/>
        <v>Jan</v>
      </c>
    </row>
    <row r="1686" spans="1:18" x14ac:dyDescent="0.3">
      <c r="A1686" t="s">
        <v>3294</v>
      </c>
      <c r="B1686" s="1">
        <v>45760</v>
      </c>
      <c r="C1686" t="s">
        <v>803</v>
      </c>
      <c r="D1686" t="s">
        <v>1465</v>
      </c>
      <c r="E1686" t="s">
        <v>1589</v>
      </c>
      <c r="F1686">
        <v>2.5098737158792299</v>
      </c>
      <c r="G1686" s="14">
        <v>455.95773139970498</v>
      </c>
      <c r="H1686" s="17">
        <v>0.15759718261877401</v>
      </c>
      <c r="I1686" t="s">
        <v>1609</v>
      </c>
      <c r="J1686" s="14">
        <v>966.79593425567202</v>
      </c>
      <c r="K1686" s="14">
        <f t="shared" si="208"/>
        <v>108043.14369849111</v>
      </c>
      <c r="L1686" s="14">
        <f t="shared" si="209"/>
        <v>114</v>
      </c>
      <c r="M1686" s="14" t="str">
        <f t="shared" si="210"/>
        <v>13-04-2025</v>
      </c>
      <c r="N1686" s="14">
        <f t="shared" si="211"/>
        <v>0.15865882770134238</v>
      </c>
      <c r="O1686" s="20">
        <f t="shared" si="212"/>
        <v>2.5138127202788221</v>
      </c>
      <c r="P1686" s="14">
        <f t="shared" si="213"/>
        <v>447.8309564011202</v>
      </c>
      <c r="Q1686" s="14">
        <f t="shared" si="214"/>
        <v>356.35528413846873</v>
      </c>
      <c r="R1686" s="14" t="str">
        <f t="shared" si="215"/>
        <v>Apr</v>
      </c>
    </row>
    <row r="1687" spans="1:18" x14ac:dyDescent="0.3">
      <c r="A1687" t="s">
        <v>3295</v>
      </c>
      <c r="B1687" s="1">
        <v>45474</v>
      </c>
      <c r="C1687" t="s">
        <v>1209</v>
      </c>
      <c r="D1687" t="s">
        <v>1475</v>
      </c>
      <c r="E1687" t="s">
        <v>1542</v>
      </c>
      <c r="F1687">
        <v>2.5098988050792301</v>
      </c>
      <c r="G1687" s="14">
        <v>455.90596850162501</v>
      </c>
      <c r="H1687" s="17">
        <v>0.15760394468936301</v>
      </c>
      <c r="I1687" t="s">
        <v>1609</v>
      </c>
      <c r="J1687" s="14">
        <v>966.68793779622001</v>
      </c>
      <c r="K1687" s="14">
        <f t="shared" si="208"/>
        <v>107076.34776423544</v>
      </c>
      <c r="L1687" s="14">
        <f t="shared" si="209"/>
        <v>113</v>
      </c>
      <c r="M1687" s="14" t="str">
        <f t="shared" si="210"/>
        <v>01-07-2024</v>
      </c>
      <c r="N1687" s="14">
        <f t="shared" si="211"/>
        <v>0.15866220873663717</v>
      </c>
      <c r="O1687" s="20">
        <f t="shared" si="212"/>
        <v>2.51382526487882</v>
      </c>
      <c r="P1687" s="14">
        <f t="shared" si="213"/>
        <v>447.80507495208002</v>
      </c>
      <c r="Q1687" s="14">
        <f t="shared" si="214"/>
        <v>356.3153522619034</v>
      </c>
      <c r="R1687" s="14" t="str">
        <f t="shared" si="215"/>
        <v>Jul</v>
      </c>
    </row>
    <row r="1688" spans="1:18" x14ac:dyDescent="0.3">
      <c r="A1688" t="s">
        <v>3296</v>
      </c>
      <c r="B1688" s="1">
        <v>45640</v>
      </c>
      <c r="C1688" t="s">
        <v>447</v>
      </c>
      <c r="D1688" t="s">
        <v>1415</v>
      </c>
      <c r="E1688" t="s">
        <v>1577</v>
      </c>
      <c r="F1688">
        <v>2.5099238942792299</v>
      </c>
      <c r="G1688" s="14">
        <v>455.85420560354498</v>
      </c>
      <c r="H1688" s="17">
        <v>0.15761070675995301</v>
      </c>
      <c r="I1688" t="s">
        <v>1609</v>
      </c>
      <c r="J1688" s="14">
        <v>966.579941336768</v>
      </c>
      <c r="K1688" s="14">
        <f t="shared" si="208"/>
        <v>106109.65982643924</v>
      </c>
      <c r="L1688" s="14">
        <f t="shared" si="209"/>
        <v>112</v>
      </c>
      <c r="M1688" s="14" t="str">
        <f t="shared" si="210"/>
        <v>14-12-2024</v>
      </c>
      <c r="N1688" s="14">
        <f t="shared" si="211"/>
        <v>0.15866558977193201</v>
      </c>
      <c r="O1688" s="20">
        <f t="shared" si="212"/>
        <v>2.5138378094788192</v>
      </c>
      <c r="P1688" s="14">
        <f t="shared" si="213"/>
        <v>447.77919350303995</v>
      </c>
      <c r="Q1688" s="14">
        <f t="shared" si="214"/>
        <v>356.27542038533807</v>
      </c>
      <c r="R1688" s="14" t="str">
        <f t="shared" si="215"/>
        <v>Dec</v>
      </c>
    </row>
    <row r="1689" spans="1:18" x14ac:dyDescent="0.3">
      <c r="A1689" t="s">
        <v>3297</v>
      </c>
      <c r="B1689" s="1">
        <v>45253</v>
      </c>
      <c r="C1689" t="s">
        <v>1208</v>
      </c>
      <c r="D1689" t="s">
        <v>1485</v>
      </c>
      <c r="E1689" t="s">
        <v>1554</v>
      </c>
      <c r="F1689">
        <v>2.5099489834792199</v>
      </c>
      <c r="G1689" s="14">
        <v>455.80244270546399</v>
      </c>
      <c r="H1689" s="17">
        <v>0.15761746883054301</v>
      </c>
      <c r="I1689" t="s">
        <v>1614</v>
      </c>
      <c r="J1689" s="14">
        <v>966.47194487731701</v>
      </c>
      <c r="K1689" s="14">
        <f t="shared" si="208"/>
        <v>105143.07988510247</v>
      </c>
      <c r="L1689" s="14">
        <f t="shared" si="209"/>
        <v>111</v>
      </c>
      <c r="M1689" s="14" t="str">
        <f t="shared" si="210"/>
        <v>23-11-2023</v>
      </c>
      <c r="N1689" s="14">
        <f t="shared" si="211"/>
        <v>0.15866897080722681</v>
      </c>
      <c r="O1689" s="20">
        <f t="shared" si="212"/>
        <v>2.5138503540788175</v>
      </c>
      <c r="P1689" s="14">
        <f t="shared" si="213"/>
        <v>447.75331205399982</v>
      </c>
      <c r="Q1689" s="14">
        <f t="shared" si="214"/>
        <v>356.23548850877268</v>
      </c>
      <c r="R1689" s="14" t="str">
        <f t="shared" si="215"/>
        <v>Nov</v>
      </c>
    </row>
    <row r="1690" spans="1:18" x14ac:dyDescent="0.3">
      <c r="A1690" t="s">
        <v>3298</v>
      </c>
      <c r="B1690" s="1">
        <v>45225</v>
      </c>
      <c r="C1690" t="s">
        <v>830</v>
      </c>
      <c r="D1690" t="s">
        <v>1515</v>
      </c>
      <c r="E1690" t="s">
        <v>1537</v>
      </c>
      <c r="F1690">
        <v>2.5099740726792201</v>
      </c>
      <c r="G1690" s="14">
        <v>455.75067980738402</v>
      </c>
      <c r="H1690" s="17">
        <v>0.15762423090113201</v>
      </c>
      <c r="I1690" t="s">
        <v>1611</v>
      </c>
      <c r="J1690" s="14">
        <v>966.363948417865</v>
      </c>
      <c r="K1690" s="14">
        <f t="shared" si="208"/>
        <v>105143.07988510247</v>
      </c>
      <c r="L1690" s="14">
        <f t="shared" si="209"/>
        <v>111</v>
      </c>
      <c r="M1690" s="14" t="str">
        <f t="shared" si="210"/>
        <v>26-10-2023</v>
      </c>
      <c r="N1690" s="14">
        <f t="shared" si="211"/>
        <v>0.1586723518425216</v>
      </c>
      <c r="O1690" s="20">
        <f t="shared" si="212"/>
        <v>2.5138628986788163</v>
      </c>
      <c r="P1690" s="14">
        <f t="shared" si="213"/>
        <v>447.72743060495975</v>
      </c>
      <c r="Q1690" s="14">
        <f t="shared" si="214"/>
        <v>356.19555663220734</v>
      </c>
      <c r="R1690" s="14" t="str">
        <f t="shared" si="215"/>
        <v>Oct</v>
      </c>
    </row>
    <row r="1691" spans="1:18" x14ac:dyDescent="0.3">
      <c r="A1691" t="s">
        <v>3299</v>
      </c>
      <c r="B1691" s="1">
        <v>45263</v>
      </c>
      <c r="C1691" t="s">
        <v>523</v>
      </c>
      <c r="D1691" t="s">
        <v>1499</v>
      </c>
      <c r="E1691" t="s">
        <v>1595</v>
      </c>
      <c r="F1691">
        <v>2.5099991618792199</v>
      </c>
      <c r="G1691" s="14">
        <v>455.69891690930399</v>
      </c>
      <c r="H1691" s="17">
        <v>0.15763099297172201</v>
      </c>
      <c r="I1691" t="s">
        <v>1614</v>
      </c>
      <c r="J1691" s="14">
        <v>966.25595195841299</v>
      </c>
      <c r="K1691" s="14">
        <f t="shared" si="208"/>
        <v>105143.07988510247</v>
      </c>
      <c r="L1691" s="14">
        <f t="shared" si="209"/>
        <v>111</v>
      </c>
      <c r="M1691" s="14" t="str">
        <f t="shared" si="210"/>
        <v>03-12-2023</v>
      </c>
      <c r="N1691" s="14">
        <f t="shared" si="211"/>
        <v>0.15867573287781642</v>
      </c>
      <c r="O1691" s="20">
        <f t="shared" si="212"/>
        <v>2.5138754432788146</v>
      </c>
      <c r="P1691" s="14">
        <f t="shared" si="213"/>
        <v>447.70154915591974</v>
      </c>
      <c r="Q1691" s="14">
        <f t="shared" si="214"/>
        <v>356.15562475564195</v>
      </c>
      <c r="R1691" s="14" t="str">
        <f t="shared" si="215"/>
        <v>Dec</v>
      </c>
    </row>
    <row r="1692" spans="1:18" x14ac:dyDescent="0.3">
      <c r="A1692" t="s">
        <v>3300</v>
      </c>
      <c r="B1692" s="1">
        <v>45554</v>
      </c>
      <c r="C1692" t="s">
        <v>1202</v>
      </c>
      <c r="D1692" t="s">
        <v>1469</v>
      </c>
      <c r="E1692" t="s">
        <v>1584</v>
      </c>
      <c r="F1692">
        <v>2.5100242510792201</v>
      </c>
      <c r="G1692" s="14">
        <v>455.64715401122402</v>
      </c>
      <c r="H1692" s="17">
        <v>0.15763775504231101</v>
      </c>
      <c r="I1692" t="s">
        <v>1611</v>
      </c>
      <c r="J1692" s="14">
        <v>966.14795549896098</v>
      </c>
      <c r="K1692" s="14">
        <f t="shared" si="208"/>
        <v>105143.07988510247</v>
      </c>
      <c r="L1692" s="14">
        <f t="shared" si="209"/>
        <v>111</v>
      </c>
      <c r="M1692" s="14" t="str">
        <f t="shared" si="210"/>
        <v>19-09-2024</v>
      </c>
      <c r="N1692" s="14">
        <f t="shared" si="211"/>
        <v>0.15867911391311121</v>
      </c>
      <c r="O1692" s="20">
        <f t="shared" si="212"/>
        <v>2.5138879878788134</v>
      </c>
      <c r="P1692" s="14">
        <f t="shared" si="213"/>
        <v>447.67566770687955</v>
      </c>
      <c r="Q1692" s="14">
        <f t="shared" si="214"/>
        <v>356.11569287907662</v>
      </c>
      <c r="R1692" s="14" t="str">
        <f t="shared" si="215"/>
        <v>Sep</v>
      </c>
    </row>
    <row r="1693" spans="1:18" x14ac:dyDescent="0.3">
      <c r="A1693" t="s">
        <v>3301</v>
      </c>
      <c r="B1693" s="1">
        <v>45569</v>
      </c>
      <c r="C1693" t="s">
        <v>214</v>
      </c>
      <c r="D1693" t="s">
        <v>1340</v>
      </c>
      <c r="E1693" t="s">
        <v>1571</v>
      </c>
      <c r="F1693">
        <v>2.5100493402792101</v>
      </c>
      <c r="G1693" s="14">
        <v>455.59539111314399</v>
      </c>
      <c r="H1693" s="17">
        <v>0.15764451711290101</v>
      </c>
      <c r="I1693" t="s">
        <v>1614</v>
      </c>
      <c r="J1693" s="14">
        <v>966.03995903950999</v>
      </c>
      <c r="K1693" s="14">
        <f t="shared" si="208"/>
        <v>105143.07988510247</v>
      </c>
      <c r="L1693" s="14">
        <f t="shared" si="209"/>
        <v>111</v>
      </c>
      <c r="M1693" s="14" t="str">
        <f t="shared" si="210"/>
        <v>04-10-2024</v>
      </c>
      <c r="N1693" s="14">
        <f t="shared" si="211"/>
        <v>0.158682494948406</v>
      </c>
      <c r="O1693" s="20">
        <f t="shared" si="212"/>
        <v>2.5139005324788122</v>
      </c>
      <c r="P1693" s="14">
        <f t="shared" si="213"/>
        <v>447.64978625783948</v>
      </c>
      <c r="Q1693" s="14">
        <f t="shared" si="214"/>
        <v>356.07576100251151</v>
      </c>
      <c r="R1693" s="14" t="str">
        <f t="shared" si="215"/>
        <v>Oct</v>
      </c>
    </row>
    <row r="1694" spans="1:18" x14ac:dyDescent="0.3">
      <c r="A1694" t="s">
        <v>3302</v>
      </c>
      <c r="B1694" s="1">
        <v>45217</v>
      </c>
      <c r="C1694" t="s">
        <v>724</v>
      </c>
      <c r="D1694" t="s">
        <v>1433</v>
      </c>
      <c r="E1694" t="s">
        <v>1592</v>
      </c>
      <c r="F1694">
        <v>2.5100744294792099</v>
      </c>
      <c r="G1694" s="14">
        <v>455.54362821506402</v>
      </c>
      <c r="H1694" s="17">
        <v>0.15765127918349101</v>
      </c>
      <c r="I1694" t="s">
        <v>1611</v>
      </c>
      <c r="J1694" s="14">
        <v>965.93196258005798</v>
      </c>
      <c r="K1694" s="14">
        <f t="shared" si="208"/>
        <v>105143.07988510247</v>
      </c>
      <c r="L1694" s="14">
        <f t="shared" si="209"/>
        <v>111</v>
      </c>
      <c r="M1694" s="14" t="str">
        <f t="shared" si="210"/>
        <v>18-10-2023</v>
      </c>
      <c r="N1694" s="14">
        <f t="shared" si="211"/>
        <v>0.15868587598370082</v>
      </c>
      <c r="O1694" s="20">
        <f t="shared" si="212"/>
        <v>2.5139130770788105</v>
      </c>
      <c r="P1694" s="14">
        <f t="shared" si="213"/>
        <v>447.62390480879947</v>
      </c>
      <c r="Q1694" s="14">
        <f t="shared" si="214"/>
        <v>356.03582912594618</v>
      </c>
      <c r="R1694" s="14" t="str">
        <f t="shared" si="215"/>
        <v>Oct</v>
      </c>
    </row>
    <row r="1695" spans="1:18" x14ac:dyDescent="0.3">
      <c r="A1695" t="s">
        <v>3303</v>
      </c>
      <c r="B1695" s="1">
        <v>45783</v>
      </c>
      <c r="C1695" t="s">
        <v>1038</v>
      </c>
      <c r="D1695" t="s">
        <v>1417</v>
      </c>
      <c r="E1695" t="s">
        <v>1561</v>
      </c>
      <c r="F1695">
        <v>2.5100995186792101</v>
      </c>
      <c r="G1695" s="14">
        <v>455.49186531698399</v>
      </c>
      <c r="H1695" s="17">
        <v>0.15765804125408001</v>
      </c>
      <c r="I1695" t="s">
        <v>1611</v>
      </c>
      <c r="J1695" s="14">
        <v>965.82396612060597</v>
      </c>
      <c r="K1695" s="14">
        <f t="shared" si="208"/>
        <v>105143.07988510247</v>
      </c>
      <c r="L1695" s="14">
        <f t="shared" si="209"/>
        <v>111</v>
      </c>
      <c r="M1695" s="14" t="str">
        <f t="shared" si="210"/>
        <v>06-05-2025</v>
      </c>
      <c r="N1695" s="14">
        <f t="shared" si="211"/>
        <v>0.15868925701899564</v>
      </c>
      <c r="O1695" s="20">
        <f t="shared" si="212"/>
        <v>2.5139256216788093</v>
      </c>
      <c r="P1695" s="14">
        <f t="shared" si="213"/>
        <v>447.5980233597594</v>
      </c>
      <c r="Q1695" s="14">
        <f t="shared" si="214"/>
        <v>355.99589724938085</v>
      </c>
      <c r="R1695" s="14" t="str">
        <f t="shared" si="215"/>
        <v>May</v>
      </c>
    </row>
    <row r="1696" spans="1:18" x14ac:dyDescent="0.3">
      <c r="A1696" t="s">
        <v>3304</v>
      </c>
      <c r="B1696" s="1">
        <v>45371</v>
      </c>
      <c r="C1696" t="s">
        <v>648</v>
      </c>
      <c r="D1696" t="s">
        <v>1336</v>
      </c>
      <c r="E1696" t="s">
        <v>1546</v>
      </c>
      <c r="F1696">
        <v>2.5101246078792099</v>
      </c>
      <c r="G1696" s="14">
        <v>455.440102418903</v>
      </c>
      <c r="H1696" s="17">
        <v>0.15766480332467001</v>
      </c>
      <c r="I1696" t="s">
        <v>1611</v>
      </c>
      <c r="J1696" s="14">
        <v>965.71596966115396</v>
      </c>
      <c r="K1696" s="14">
        <f t="shared" si="208"/>
        <v>105143.07988510247</v>
      </c>
      <c r="L1696" s="14">
        <f t="shared" si="209"/>
        <v>111</v>
      </c>
      <c r="M1696" s="14" t="str">
        <f t="shared" si="210"/>
        <v>20-03-2024</v>
      </c>
      <c r="N1696" s="14">
        <f t="shared" si="211"/>
        <v>0.15869263805429043</v>
      </c>
      <c r="O1696" s="20">
        <f t="shared" si="212"/>
        <v>2.5139381662788081</v>
      </c>
      <c r="P1696" s="14">
        <f t="shared" si="213"/>
        <v>447.57214191071938</v>
      </c>
      <c r="Q1696" s="14">
        <f t="shared" si="214"/>
        <v>355.95596537281523</v>
      </c>
      <c r="R1696" s="14" t="str">
        <f t="shared" si="215"/>
        <v>Mar</v>
      </c>
    </row>
    <row r="1697" spans="1:18" x14ac:dyDescent="0.3">
      <c r="A1697" t="s">
        <v>3305</v>
      </c>
      <c r="B1697" s="1">
        <v>45453</v>
      </c>
      <c r="C1697" t="s">
        <v>1112</v>
      </c>
      <c r="D1697" t="s">
        <v>1515</v>
      </c>
      <c r="E1697" t="s">
        <v>1592</v>
      </c>
      <c r="F1697">
        <v>2.5101496970791999</v>
      </c>
      <c r="G1697" s="14">
        <v>455.38833952082302</v>
      </c>
      <c r="H1697" s="17">
        <v>0.15767156539525901</v>
      </c>
      <c r="I1697" t="s">
        <v>1614</v>
      </c>
      <c r="J1697" s="14">
        <v>965.60797320170298</v>
      </c>
      <c r="K1697" s="14">
        <f t="shared" si="208"/>
        <v>105143.07988510247</v>
      </c>
      <c r="L1697" s="14">
        <f t="shared" si="209"/>
        <v>111</v>
      </c>
      <c r="M1697" s="14" t="str">
        <f t="shared" si="210"/>
        <v>10-06-2024</v>
      </c>
      <c r="N1697" s="14">
        <f t="shared" si="211"/>
        <v>0.15869601908958522</v>
      </c>
      <c r="O1697" s="20">
        <f t="shared" si="212"/>
        <v>2.5139507108788064</v>
      </c>
      <c r="P1697" s="14">
        <f t="shared" si="213"/>
        <v>447.54626046167914</v>
      </c>
      <c r="Q1697" s="14">
        <f t="shared" si="214"/>
        <v>355.91603349625012</v>
      </c>
      <c r="R1697" s="14" t="str">
        <f t="shared" si="215"/>
        <v>Jun</v>
      </c>
    </row>
    <row r="1698" spans="1:18" x14ac:dyDescent="0.3">
      <c r="A1698" t="s">
        <v>3306</v>
      </c>
      <c r="B1698" s="1">
        <v>45526</v>
      </c>
      <c r="C1698" t="s">
        <v>1074</v>
      </c>
      <c r="D1698" t="s">
        <v>1455</v>
      </c>
      <c r="E1698" t="s">
        <v>1561</v>
      </c>
      <c r="F1698">
        <v>2.5101747862792001</v>
      </c>
      <c r="G1698" s="14">
        <v>455.336576622743</v>
      </c>
      <c r="H1698" s="17">
        <v>0.15767832746584901</v>
      </c>
      <c r="I1698" t="s">
        <v>1614</v>
      </c>
      <c r="J1698" s="14">
        <v>965.49997674225096</v>
      </c>
      <c r="K1698" s="14">
        <f t="shared" si="208"/>
        <v>105143.07988510247</v>
      </c>
      <c r="L1698" s="14">
        <f t="shared" si="209"/>
        <v>111</v>
      </c>
      <c r="M1698" s="14" t="str">
        <f t="shared" si="210"/>
        <v>22-08-2024</v>
      </c>
      <c r="N1698" s="14">
        <f t="shared" si="211"/>
        <v>0.15869940012488001</v>
      </c>
      <c r="O1698" s="20">
        <f t="shared" si="212"/>
        <v>2.5139632554788052</v>
      </c>
      <c r="P1698" s="14">
        <f t="shared" si="213"/>
        <v>447.52037901263913</v>
      </c>
      <c r="Q1698" s="14">
        <f t="shared" si="214"/>
        <v>355.87610161968473</v>
      </c>
      <c r="R1698" s="14" t="str">
        <f t="shared" si="215"/>
        <v>Aug</v>
      </c>
    </row>
    <row r="1699" spans="1:18" x14ac:dyDescent="0.3">
      <c r="A1699" t="s">
        <v>3307</v>
      </c>
      <c r="B1699" s="1">
        <v>45756</v>
      </c>
      <c r="C1699" t="s">
        <v>1243</v>
      </c>
      <c r="D1699" t="s">
        <v>1350</v>
      </c>
      <c r="E1699" t="s">
        <v>1554</v>
      </c>
      <c r="F1699">
        <v>2.5101998754791999</v>
      </c>
      <c r="G1699" s="14">
        <v>455.28481372466302</v>
      </c>
      <c r="H1699" s="17">
        <v>0.157685089536439</v>
      </c>
      <c r="I1699" t="s">
        <v>1611</v>
      </c>
      <c r="J1699" s="14">
        <v>965.39198028279895</v>
      </c>
      <c r="K1699" s="14">
        <f t="shared" si="208"/>
        <v>105143.07988510247</v>
      </c>
      <c r="L1699" s="14">
        <f t="shared" si="209"/>
        <v>111</v>
      </c>
      <c r="M1699" s="14" t="str">
        <f t="shared" si="210"/>
        <v>09-04-2025</v>
      </c>
      <c r="N1699" s="14">
        <f t="shared" si="211"/>
        <v>0.15870278116017483</v>
      </c>
      <c r="O1699" s="20">
        <f t="shared" si="212"/>
        <v>2.5139758000788044</v>
      </c>
      <c r="P1699" s="14">
        <f t="shared" si="213"/>
        <v>447.49449756359905</v>
      </c>
      <c r="Q1699" s="14">
        <f t="shared" si="214"/>
        <v>355.8361697431194</v>
      </c>
      <c r="R1699" s="14" t="str">
        <f t="shared" si="215"/>
        <v>Apr</v>
      </c>
    </row>
    <row r="1700" spans="1:18" x14ac:dyDescent="0.3">
      <c r="A1700" t="s">
        <v>3308</v>
      </c>
      <c r="B1700" s="1">
        <v>45657</v>
      </c>
      <c r="C1700" t="s">
        <v>1139</v>
      </c>
      <c r="D1700" t="s">
        <v>1425</v>
      </c>
      <c r="E1700" t="s">
        <v>1577</v>
      </c>
      <c r="F1700">
        <v>2.5102249646792001</v>
      </c>
      <c r="G1700" s="14">
        <v>455.233050826583</v>
      </c>
      <c r="H1700" s="17">
        <v>0.15769185160702801</v>
      </c>
      <c r="I1700" t="s">
        <v>1611</v>
      </c>
      <c r="J1700" s="14">
        <v>965.28398382334694</v>
      </c>
      <c r="K1700" s="14">
        <f t="shared" si="208"/>
        <v>105143.07988510247</v>
      </c>
      <c r="L1700" s="14">
        <f t="shared" si="209"/>
        <v>111</v>
      </c>
      <c r="M1700" s="14" t="str">
        <f t="shared" si="210"/>
        <v>31-12-2024</v>
      </c>
      <c r="N1700" s="14">
        <f t="shared" si="211"/>
        <v>0.15870616219546965</v>
      </c>
      <c r="O1700" s="20">
        <f t="shared" si="212"/>
        <v>2.5139883446788027</v>
      </c>
      <c r="P1700" s="14">
        <f t="shared" si="213"/>
        <v>447.46861611455887</v>
      </c>
      <c r="Q1700" s="14">
        <f t="shared" si="214"/>
        <v>355.79623786655407</v>
      </c>
      <c r="R1700" s="14" t="str">
        <f t="shared" si="215"/>
        <v>Dec</v>
      </c>
    </row>
    <row r="1701" spans="1:18" x14ac:dyDescent="0.3">
      <c r="A1701" t="s">
        <v>3309</v>
      </c>
      <c r="B1701" s="1">
        <v>45716</v>
      </c>
      <c r="C1701" t="s">
        <v>241</v>
      </c>
      <c r="D1701" t="s">
        <v>1373</v>
      </c>
      <c r="E1701" t="s">
        <v>1567</v>
      </c>
      <c r="F1701">
        <v>2.5102500538791901</v>
      </c>
      <c r="G1701" s="14">
        <v>455.18128792850302</v>
      </c>
      <c r="H1701" s="17">
        <v>0.157698613677618</v>
      </c>
      <c r="I1701" t="s">
        <v>1611</v>
      </c>
      <c r="J1701" s="14">
        <v>965.17598736389596</v>
      </c>
      <c r="K1701" s="14">
        <f t="shared" si="208"/>
        <v>105143.07988510247</v>
      </c>
      <c r="L1701" s="14">
        <f t="shared" si="209"/>
        <v>111</v>
      </c>
      <c r="M1701" s="14" t="str">
        <f t="shared" si="210"/>
        <v>28-02-2025</v>
      </c>
      <c r="N1701" s="14">
        <f t="shared" si="211"/>
        <v>0.15870954323076444</v>
      </c>
      <c r="O1701" s="20">
        <f t="shared" si="212"/>
        <v>2.5140008892788015</v>
      </c>
      <c r="P1701" s="14">
        <f t="shared" si="213"/>
        <v>447.44273466551897</v>
      </c>
      <c r="Q1701" s="14">
        <f t="shared" si="214"/>
        <v>355.75630598998896</v>
      </c>
      <c r="R1701" s="14" t="str">
        <f t="shared" si="215"/>
        <v>Feb</v>
      </c>
    </row>
    <row r="1702" spans="1:18" x14ac:dyDescent="0.3">
      <c r="A1702" t="s">
        <v>3310</v>
      </c>
      <c r="B1702" s="1">
        <v>45313</v>
      </c>
      <c r="C1702" t="s">
        <v>335</v>
      </c>
      <c r="D1702" t="s">
        <v>1451</v>
      </c>
      <c r="E1702" t="s">
        <v>1577</v>
      </c>
      <c r="F1702">
        <v>2.5102751430791899</v>
      </c>
      <c r="G1702" s="14">
        <v>455.12952503042197</v>
      </c>
      <c r="H1702" s="17">
        <v>0.15770537574820701</v>
      </c>
      <c r="I1702" t="s">
        <v>1611</v>
      </c>
      <c r="J1702" s="14">
        <v>965.06799090444395</v>
      </c>
      <c r="K1702" s="14">
        <f t="shared" si="208"/>
        <v>105143.07988510247</v>
      </c>
      <c r="L1702" s="14">
        <f t="shared" si="209"/>
        <v>111</v>
      </c>
      <c r="M1702" s="14" t="str">
        <f t="shared" si="210"/>
        <v>22-01-2024</v>
      </c>
      <c r="N1702" s="14">
        <f t="shared" si="211"/>
        <v>0.15871292426605926</v>
      </c>
      <c r="O1702" s="20">
        <f t="shared" si="212"/>
        <v>2.5140134338788003</v>
      </c>
      <c r="P1702" s="14">
        <f t="shared" si="213"/>
        <v>447.41685321647878</v>
      </c>
      <c r="Q1702" s="14">
        <f t="shared" si="214"/>
        <v>355.71637411342334</v>
      </c>
      <c r="R1702" s="14" t="str">
        <f t="shared" si="215"/>
        <v>Jan</v>
      </c>
    </row>
    <row r="1703" spans="1:18" x14ac:dyDescent="0.3">
      <c r="A1703" t="s">
        <v>3311</v>
      </c>
      <c r="B1703" s="1">
        <v>45372</v>
      </c>
      <c r="C1703" t="s">
        <v>20</v>
      </c>
      <c r="D1703" t="s">
        <v>1505</v>
      </c>
      <c r="E1703" t="s">
        <v>1571</v>
      </c>
      <c r="F1703">
        <v>2.5103002322791901</v>
      </c>
      <c r="G1703" s="14">
        <v>455.077762132342</v>
      </c>
      <c r="H1703" s="17">
        <v>0.157712137818797</v>
      </c>
      <c r="I1703" t="s">
        <v>1609</v>
      </c>
      <c r="J1703" s="14">
        <v>964.95999444499205</v>
      </c>
      <c r="K1703" s="14">
        <f t="shared" si="208"/>
        <v>105143.07988510247</v>
      </c>
      <c r="L1703" s="14">
        <f t="shared" si="209"/>
        <v>111</v>
      </c>
      <c r="M1703" s="14" t="str">
        <f t="shared" si="210"/>
        <v>21-03-2024</v>
      </c>
      <c r="N1703" s="14">
        <f t="shared" si="211"/>
        <v>0.15871630530135411</v>
      </c>
      <c r="O1703" s="20">
        <f t="shared" si="212"/>
        <v>2.5140259784787991</v>
      </c>
      <c r="P1703" s="14">
        <f t="shared" si="213"/>
        <v>447.39097176743866</v>
      </c>
      <c r="Q1703" s="14">
        <f t="shared" si="214"/>
        <v>355.67644223685801</v>
      </c>
      <c r="R1703" s="14" t="str">
        <f t="shared" si="215"/>
        <v>Mar</v>
      </c>
    </row>
    <row r="1704" spans="1:18" x14ac:dyDescent="0.3">
      <c r="A1704" t="s">
        <v>3312</v>
      </c>
      <c r="B1704" s="1">
        <v>45648</v>
      </c>
      <c r="C1704" t="s">
        <v>1226</v>
      </c>
      <c r="D1704" t="s">
        <v>1369</v>
      </c>
      <c r="E1704" t="s">
        <v>1558</v>
      </c>
      <c r="F1704">
        <v>2.5103253214791899</v>
      </c>
      <c r="G1704" s="14">
        <v>455.02599923426197</v>
      </c>
      <c r="H1704" s="17">
        <v>0.157718899889387</v>
      </c>
      <c r="I1704" t="s">
        <v>1611</v>
      </c>
      <c r="J1704" s="14">
        <v>964.85199798554004</v>
      </c>
      <c r="K1704" s="14">
        <f t="shared" si="208"/>
        <v>104178.11989065749</v>
      </c>
      <c r="L1704" s="14">
        <f t="shared" si="209"/>
        <v>110</v>
      </c>
      <c r="M1704" s="14" t="str">
        <f t="shared" si="210"/>
        <v>22-12-2024</v>
      </c>
      <c r="N1704" s="14">
        <f t="shared" si="211"/>
        <v>0.1587196863366489</v>
      </c>
      <c r="O1704" s="20">
        <f t="shared" si="212"/>
        <v>2.5140385230787978</v>
      </c>
      <c r="P1704" s="14">
        <f t="shared" si="213"/>
        <v>447.36509031839859</v>
      </c>
      <c r="Q1704" s="14">
        <f t="shared" si="214"/>
        <v>355.63651036029262</v>
      </c>
      <c r="R1704" s="14" t="str">
        <f t="shared" si="215"/>
        <v>Dec</v>
      </c>
    </row>
    <row r="1705" spans="1:18" x14ac:dyDescent="0.3">
      <c r="A1705" t="s">
        <v>3313</v>
      </c>
      <c r="B1705" s="1">
        <v>45384</v>
      </c>
      <c r="C1705" t="s">
        <v>571</v>
      </c>
      <c r="D1705" t="s">
        <v>1491</v>
      </c>
      <c r="E1705" t="s">
        <v>1551</v>
      </c>
      <c r="F1705">
        <v>2.5103504106791799</v>
      </c>
      <c r="G1705" s="14">
        <v>454.974236336182</v>
      </c>
      <c r="H1705" s="17">
        <v>0.157725661959976</v>
      </c>
      <c r="I1705" t="s">
        <v>1609</v>
      </c>
      <c r="J1705" s="14">
        <v>964.74400152608905</v>
      </c>
      <c r="K1705" s="14">
        <f t="shared" si="208"/>
        <v>104178.11989065749</v>
      </c>
      <c r="L1705" s="14">
        <f t="shared" si="209"/>
        <v>110</v>
      </c>
      <c r="M1705" s="14" t="str">
        <f t="shared" si="210"/>
        <v>02-04-2024</v>
      </c>
      <c r="N1705" s="14">
        <f t="shared" si="211"/>
        <v>0.15872306737194367</v>
      </c>
      <c r="O1705" s="20">
        <f t="shared" si="212"/>
        <v>2.5140510676787966</v>
      </c>
      <c r="P1705" s="14">
        <f t="shared" si="213"/>
        <v>447.33920886935852</v>
      </c>
      <c r="Q1705" s="14">
        <f t="shared" si="214"/>
        <v>355.59657848372757</v>
      </c>
      <c r="R1705" s="14" t="str">
        <f t="shared" si="215"/>
        <v>Apr</v>
      </c>
    </row>
    <row r="1706" spans="1:18" x14ac:dyDescent="0.3">
      <c r="A1706" t="s">
        <v>3314</v>
      </c>
      <c r="B1706" s="1">
        <v>45687</v>
      </c>
      <c r="C1706" t="s">
        <v>1291</v>
      </c>
      <c r="D1706" t="s">
        <v>1491</v>
      </c>
      <c r="E1706" t="s">
        <v>1571</v>
      </c>
      <c r="F1706">
        <v>2.5103754998791801</v>
      </c>
      <c r="G1706" s="14">
        <v>454.92247343810197</v>
      </c>
      <c r="H1706" s="17">
        <v>0.157732424030566</v>
      </c>
      <c r="I1706" t="s">
        <v>1614</v>
      </c>
      <c r="J1706" s="14">
        <v>964.63600506663704</v>
      </c>
      <c r="K1706" s="14">
        <f t="shared" si="208"/>
        <v>103213.37588913138</v>
      </c>
      <c r="L1706" s="14">
        <f t="shared" si="209"/>
        <v>109</v>
      </c>
      <c r="M1706" s="14" t="str">
        <f t="shared" si="210"/>
        <v>30-01-2025</v>
      </c>
      <c r="N1706" s="14">
        <f t="shared" si="211"/>
        <v>0.15872644840723849</v>
      </c>
      <c r="O1706" s="20">
        <f t="shared" si="212"/>
        <v>2.5140636122787954</v>
      </c>
      <c r="P1706" s="14">
        <f t="shared" si="213"/>
        <v>447.31332742031839</v>
      </c>
      <c r="Q1706" s="14">
        <f t="shared" si="214"/>
        <v>355.55664660716218</v>
      </c>
      <c r="R1706" s="14" t="str">
        <f t="shared" si="215"/>
        <v>Jan</v>
      </c>
    </row>
    <row r="1707" spans="1:18" x14ac:dyDescent="0.3">
      <c r="A1707" t="s">
        <v>3315</v>
      </c>
      <c r="B1707" s="1">
        <v>45747</v>
      </c>
      <c r="C1707" t="s">
        <v>631</v>
      </c>
      <c r="D1707" t="s">
        <v>1467</v>
      </c>
      <c r="E1707" t="s">
        <v>1567</v>
      </c>
      <c r="F1707">
        <v>2.5104005890791798</v>
      </c>
      <c r="G1707" s="14">
        <v>454.870710540022</v>
      </c>
      <c r="H1707" s="17">
        <v>0.157739186101155</v>
      </c>
      <c r="I1707" t="s">
        <v>1611</v>
      </c>
      <c r="J1707" s="14">
        <v>964.52800860718503</v>
      </c>
      <c r="K1707" s="14">
        <f t="shared" si="208"/>
        <v>103213.37588913138</v>
      </c>
      <c r="L1707" s="14">
        <f t="shared" si="209"/>
        <v>109</v>
      </c>
      <c r="M1707" s="14" t="str">
        <f t="shared" si="210"/>
        <v>31-03-2025</v>
      </c>
      <c r="N1707" s="14">
        <f t="shared" si="211"/>
        <v>0.15872982944253328</v>
      </c>
      <c r="O1707" s="20">
        <f t="shared" si="212"/>
        <v>2.5140761568787942</v>
      </c>
      <c r="P1707" s="14">
        <f t="shared" si="213"/>
        <v>447.28744597127832</v>
      </c>
      <c r="Q1707" s="14">
        <f t="shared" si="214"/>
        <v>355.51671473059685</v>
      </c>
      <c r="R1707" s="14" t="str">
        <f t="shared" si="215"/>
        <v>Mar</v>
      </c>
    </row>
    <row r="1708" spans="1:18" x14ac:dyDescent="0.3">
      <c r="A1708" t="s">
        <v>3316</v>
      </c>
      <c r="B1708" s="1">
        <v>45687</v>
      </c>
      <c r="C1708" t="s">
        <v>353</v>
      </c>
      <c r="D1708" t="s">
        <v>1381</v>
      </c>
      <c r="E1708" t="s">
        <v>1564</v>
      </c>
      <c r="F1708">
        <v>2.5104256782791698</v>
      </c>
      <c r="G1708" s="14">
        <v>454.81894764194101</v>
      </c>
      <c r="H1708" s="17">
        <v>0.157745948171745</v>
      </c>
      <c r="I1708" t="s">
        <v>1611</v>
      </c>
      <c r="J1708" s="14">
        <v>964.42001214773404</v>
      </c>
      <c r="K1708" s="14">
        <f t="shared" si="208"/>
        <v>103213.37588913138</v>
      </c>
      <c r="L1708" s="14">
        <f t="shared" si="209"/>
        <v>109</v>
      </c>
      <c r="M1708" s="14" t="str">
        <f t="shared" si="210"/>
        <v>30-01-2025</v>
      </c>
      <c r="N1708" s="14">
        <f t="shared" si="211"/>
        <v>0.1587332104778281</v>
      </c>
      <c r="O1708" s="20">
        <f t="shared" si="212"/>
        <v>2.5140887014787929</v>
      </c>
      <c r="P1708" s="14">
        <f t="shared" si="213"/>
        <v>447.26156452223819</v>
      </c>
      <c r="Q1708" s="14">
        <f t="shared" si="214"/>
        <v>355.47678285403151</v>
      </c>
      <c r="R1708" s="14" t="str">
        <f t="shared" si="215"/>
        <v>Jan</v>
      </c>
    </row>
    <row r="1709" spans="1:18" x14ac:dyDescent="0.3">
      <c r="A1709" t="s">
        <v>3317</v>
      </c>
      <c r="B1709" s="1">
        <v>45916</v>
      </c>
      <c r="C1709" t="s">
        <v>422</v>
      </c>
      <c r="D1709" t="s">
        <v>1521</v>
      </c>
      <c r="E1709" t="s">
        <v>1542</v>
      </c>
      <c r="F1709">
        <v>2.5104507674791701</v>
      </c>
      <c r="G1709" s="14">
        <v>454.76718474386098</v>
      </c>
      <c r="H1709" s="17">
        <v>0.157752710242335</v>
      </c>
      <c r="I1709" t="s">
        <v>1614</v>
      </c>
      <c r="J1709" s="14">
        <v>964.31201568828203</v>
      </c>
      <c r="K1709" s="14">
        <f t="shared" si="208"/>
        <v>103213.37588913138</v>
      </c>
      <c r="L1709" s="14">
        <f t="shared" si="209"/>
        <v>109</v>
      </c>
      <c r="M1709" s="14" t="str">
        <f t="shared" si="210"/>
        <v>16-09-2025</v>
      </c>
      <c r="N1709" s="14">
        <f t="shared" si="211"/>
        <v>0.15873659151312292</v>
      </c>
      <c r="O1709" s="20">
        <f t="shared" si="212"/>
        <v>2.5141012460787917</v>
      </c>
      <c r="P1709" s="14">
        <f t="shared" si="213"/>
        <v>447.23568307319812</v>
      </c>
      <c r="Q1709" s="14">
        <f t="shared" si="214"/>
        <v>355.43685097746612</v>
      </c>
      <c r="R1709" s="14" t="str">
        <f t="shared" si="215"/>
        <v>Sep</v>
      </c>
    </row>
    <row r="1710" spans="1:18" x14ac:dyDescent="0.3">
      <c r="A1710" t="s">
        <v>3318</v>
      </c>
      <c r="B1710" s="1">
        <v>45917</v>
      </c>
      <c r="C1710" t="s">
        <v>648</v>
      </c>
      <c r="D1710" t="s">
        <v>1467</v>
      </c>
      <c r="E1710" t="s">
        <v>1574</v>
      </c>
      <c r="F1710">
        <v>2.5104758566791698</v>
      </c>
      <c r="G1710" s="14">
        <v>454.71542184578101</v>
      </c>
      <c r="H1710" s="17">
        <v>0.157759472312924</v>
      </c>
      <c r="I1710" t="s">
        <v>1614</v>
      </c>
      <c r="J1710" s="14">
        <v>964.20401922883002</v>
      </c>
      <c r="K1710" s="14">
        <f t="shared" si="208"/>
        <v>103213.37588913138</v>
      </c>
      <c r="L1710" s="14">
        <f t="shared" si="209"/>
        <v>109</v>
      </c>
      <c r="M1710" s="14" t="str">
        <f t="shared" si="210"/>
        <v>17-09-2025</v>
      </c>
      <c r="N1710" s="14">
        <f t="shared" si="211"/>
        <v>0.15873997254841771</v>
      </c>
      <c r="O1710" s="20">
        <f t="shared" si="212"/>
        <v>2.5141137906787905</v>
      </c>
      <c r="P1710" s="14">
        <f t="shared" si="213"/>
        <v>447.20980162415805</v>
      </c>
      <c r="Q1710" s="14">
        <f t="shared" si="214"/>
        <v>355.39691910090079</v>
      </c>
      <c r="R1710" s="14" t="str">
        <f t="shared" si="215"/>
        <v>Sep</v>
      </c>
    </row>
    <row r="1711" spans="1:18" x14ac:dyDescent="0.3">
      <c r="A1711" t="s">
        <v>3319</v>
      </c>
      <c r="B1711" s="1">
        <v>45941</v>
      </c>
      <c r="C1711" t="s">
        <v>1023</v>
      </c>
      <c r="D1711" t="s">
        <v>1497</v>
      </c>
      <c r="E1711" t="s">
        <v>1551</v>
      </c>
      <c r="F1711">
        <v>2.5105009458791701</v>
      </c>
      <c r="G1711" s="14">
        <v>454.66365894770098</v>
      </c>
      <c r="H1711" s="17">
        <v>0.157766234383514</v>
      </c>
      <c r="I1711" t="s">
        <v>1614</v>
      </c>
      <c r="J1711" s="14">
        <v>964.09602276937801</v>
      </c>
      <c r="K1711" s="14">
        <f t="shared" si="208"/>
        <v>103213.37588913138</v>
      </c>
      <c r="L1711" s="14">
        <f t="shared" si="209"/>
        <v>109</v>
      </c>
      <c r="M1711" s="14" t="str">
        <f t="shared" si="210"/>
        <v>11-10-2025</v>
      </c>
      <c r="N1711" s="14">
        <f t="shared" si="211"/>
        <v>0.15874335358371253</v>
      </c>
      <c r="O1711" s="20">
        <f t="shared" si="212"/>
        <v>2.5141263352787893</v>
      </c>
      <c r="P1711" s="14">
        <f t="shared" si="213"/>
        <v>447.18392017511803</v>
      </c>
      <c r="Q1711" s="14">
        <f t="shared" si="214"/>
        <v>355.3569872243354</v>
      </c>
      <c r="R1711" s="14" t="str">
        <f t="shared" si="215"/>
        <v>Oct</v>
      </c>
    </row>
    <row r="1712" spans="1:18" x14ac:dyDescent="0.3">
      <c r="A1712" t="s">
        <v>3320</v>
      </c>
      <c r="B1712" s="1">
        <v>45778</v>
      </c>
      <c r="C1712" t="s">
        <v>794</v>
      </c>
      <c r="D1712" t="s">
        <v>1401</v>
      </c>
      <c r="E1712" t="s">
        <v>1551</v>
      </c>
      <c r="F1712">
        <v>2.5105260350791601</v>
      </c>
      <c r="G1712" s="14">
        <v>454.61189604962101</v>
      </c>
      <c r="H1712" s="17">
        <v>0.157772996454104</v>
      </c>
      <c r="I1712" t="s">
        <v>1614</v>
      </c>
      <c r="J1712" s="14">
        <v>963.98802630992702</v>
      </c>
      <c r="K1712" s="14">
        <f t="shared" si="208"/>
        <v>103213.37588913138</v>
      </c>
      <c r="L1712" s="14">
        <f t="shared" si="209"/>
        <v>109</v>
      </c>
      <c r="M1712" s="14" t="str">
        <f t="shared" si="210"/>
        <v>01-05-2025</v>
      </c>
      <c r="N1712" s="14">
        <f t="shared" si="211"/>
        <v>0.15874673461900735</v>
      </c>
      <c r="O1712" s="20">
        <f t="shared" si="212"/>
        <v>2.514138879878788</v>
      </c>
      <c r="P1712" s="14">
        <f t="shared" si="213"/>
        <v>447.1580387260779</v>
      </c>
      <c r="Q1712" s="14">
        <f t="shared" si="214"/>
        <v>355.31705534777035</v>
      </c>
      <c r="R1712" s="14" t="str">
        <f t="shared" si="215"/>
        <v>May</v>
      </c>
    </row>
    <row r="1713" spans="1:18" x14ac:dyDescent="0.3">
      <c r="A1713" t="s">
        <v>3321</v>
      </c>
      <c r="B1713" s="1">
        <v>45740</v>
      </c>
      <c r="C1713" t="s">
        <v>1038</v>
      </c>
      <c r="D1713" t="s">
        <v>1477</v>
      </c>
      <c r="E1713" t="s">
        <v>1577</v>
      </c>
      <c r="F1713">
        <v>2.5105511242791598</v>
      </c>
      <c r="G1713" s="14">
        <v>454.56013315154098</v>
      </c>
      <c r="H1713" s="17">
        <v>0.157779758524693</v>
      </c>
      <c r="I1713" t="s">
        <v>1614</v>
      </c>
      <c r="J1713" s="14">
        <v>963.88002985047501</v>
      </c>
      <c r="K1713" s="14">
        <f t="shared" si="208"/>
        <v>103213.37588913138</v>
      </c>
      <c r="L1713" s="14">
        <f t="shared" si="209"/>
        <v>109</v>
      </c>
      <c r="M1713" s="14" t="str">
        <f t="shared" si="210"/>
        <v>24-03-2025</v>
      </c>
      <c r="N1713" s="14">
        <f t="shared" si="211"/>
        <v>0.15875011565430214</v>
      </c>
      <c r="O1713" s="20">
        <f t="shared" si="212"/>
        <v>2.5141514244787873</v>
      </c>
      <c r="P1713" s="14">
        <f t="shared" si="213"/>
        <v>447.13215727703778</v>
      </c>
      <c r="Q1713" s="14">
        <f t="shared" si="214"/>
        <v>355.27712347120496</v>
      </c>
      <c r="R1713" s="14" t="str">
        <f t="shared" si="215"/>
        <v>Mar</v>
      </c>
    </row>
    <row r="1714" spans="1:18" x14ac:dyDescent="0.3">
      <c r="A1714" t="s">
        <v>3322</v>
      </c>
      <c r="B1714" s="1">
        <v>45598</v>
      </c>
      <c r="C1714" t="s">
        <v>321</v>
      </c>
      <c r="D1714" t="s">
        <v>1451</v>
      </c>
      <c r="E1714" t="s">
        <v>1561</v>
      </c>
      <c r="F1714">
        <v>2.51057621347916</v>
      </c>
      <c r="G1714" s="14">
        <v>454.50837025346101</v>
      </c>
      <c r="H1714" s="17">
        <v>0.157786520595283</v>
      </c>
      <c r="I1714" t="s">
        <v>1611</v>
      </c>
      <c r="J1714" s="14">
        <v>963.772033391023</v>
      </c>
      <c r="K1714" s="14">
        <f t="shared" si="208"/>
        <v>103213.37588913138</v>
      </c>
      <c r="L1714" s="14">
        <f t="shared" si="209"/>
        <v>109</v>
      </c>
      <c r="M1714" s="14" t="str">
        <f t="shared" si="210"/>
        <v>02-11-2024</v>
      </c>
      <c r="N1714" s="14">
        <f t="shared" si="211"/>
        <v>0.15875349668959693</v>
      </c>
      <c r="O1714" s="20">
        <f t="shared" si="212"/>
        <v>2.514163969078786</v>
      </c>
      <c r="P1714" s="14">
        <f t="shared" si="213"/>
        <v>447.10627582799776</v>
      </c>
      <c r="Q1714" s="14">
        <f t="shared" si="214"/>
        <v>355.23719159463963</v>
      </c>
      <c r="R1714" s="14" t="str">
        <f t="shared" si="215"/>
        <v>Nov</v>
      </c>
    </row>
    <row r="1715" spans="1:18" x14ac:dyDescent="0.3">
      <c r="A1715" t="s">
        <v>3323</v>
      </c>
      <c r="B1715" s="1">
        <v>45591</v>
      </c>
      <c r="C1715" t="s">
        <v>643</v>
      </c>
      <c r="D1715" t="s">
        <v>1411</v>
      </c>
      <c r="E1715" t="s">
        <v>1592</v>
      </c>
      <c r="F1715">
        <v>2.5106013026791598</v>
      </c>
      <c r="G1715" s="14">
        <v>454.45660735538002</v>
      </c>
      <c r="H1715" s="17">
        <v>0.157793282665872</v>
      </c>
      <c r="I1715" t="s">
        <v>1609</v>
      </c>
      <c r="J1715" s="14">
        <v>963.66403693157099</v>
      </c>
      <c r="K1715" s="14">
        <f t="shared" si="208"/>
        <v>103213.37588913138</v>
      </c>
      <c r="L1715" s="14">
        <f t="shared" si="209"/>
        <v>109</v>
      </c>
      <c r="M1715" s="14" t="str">
        <f t="shared" si="210"/>
        <v>26-10-2024</v>
      </c>
      <c r="N1715" s="14">
        <f t="shared" si="211"/>
        <v>0.15875687772489175</v>
      </c>
      <c r="O1715" s="20">
        <f t="shared" si="212"/>
        <v>2.5141765136787844</v>
      </c>
      <c r="P1715" s="14">
        <f t="shared" si="213"/>
        <v>447.08039437895769</v>
      </c>
      <c r="Q1715" s="14">
        <f t="shared" si="214"/>
        <v>355.19725971807401</v>
      </c>
      <c r="R1715" s="14" t="str">
        <f t="shared" si="215"/>
        <v>Oct</v>
      </c>
    </row>
    <row r="1716" spans="1:18" x14ac:dyDescent="0.3">
      <c r="A1716" t="s">
        <v>3324</v>
      </c>
      <c r="B1716" s="1">
        <v>45546</v>
      </c>
      <c r="C1716" t="s">
        <v>585</v>
      </c>
      <c r="D1716" t="s">
        <v>1417</v>
      </c>
      <c r="E1716" t="s">
        <v>1584</v>
      </c>
      <c r="F1716">
        <v>2.5106263918791498</v>
      </c>
      <c r="G1716" s="14">
        <v>454.40484445729999</v>
      </c>
      <c r="H1716" s="17">
        <v>0.157800044736462</v>
      </c>
      <c r="I1716" t="s">
        <v>1611</v>
      </c>
      <c r="J1716" s="14">
        <v>963.55604047212</v>
      </c>
      <c r="K1716" s="14">
        <f t="shared" si="208"/>
        <v>102249.71185219982</v>
      </c>
      <c r="L1716" s="14">
        <f t="shared" si="209"/>
        <v>108</v>
      </c>
      <c r="M1716" s="14" t="str">
        <f t="shared" si="210"/>
        <v>11-09-2024</v>
      </c>
      <c r="N1716" s="14">
        <f t="shared" si="211"/>
        <v>0.15876025876018651</v>
      </c>
      <c r="O1716" s="20">
        <f t="shared" si="212"/>
        <v>2.5141890582787831</v>
      </c>
      <c r="P1716" s="14">
        <f t="shared" si="213"/>
        <v>447.05451292991762</v>
      </c>
      <c r="Q1716" s="14">
        <f t="shared" si="214"/>
        <v>355.1573278415089</v>
      </c>
      <c r="R1716" s="14" t="str">
        <f t="shared" si="215"/>
        <v>Sep</v>
      </c>
    </row>
    <row r="1717" spans="1:18" x14ac:dyDescent="0.3">
      <c r="A1717" t="s">
        <v>3325</v>
      </c>
      <c r="B1717" s="1">
        <v>45483</v>
      </c>
      <c r="C1717" t="s">
        <v>1017</v>
      </c>
      <c r="D1717" t="s">
        <v>1395</v>
      </c>
      <c r="E1717" t="s">
        <v>1595</v>
      </c>
      <c r="F1717">
        <v>2.51065148107915</v>
      </c>
      <c r="G1717" s="14">
        <v>454.35308155922002</v>
      </c>
      <c r="H1717" s="17">
        <v>0.157806806807052</v>
      </c>
      <c r="I1717" t="s">
        <v>1609</v>
      </c>
      <c r="J1717" s="14">
        <v>963.44804401266799</v>
      </c>
      <c r="K1717" s="14">
        <f t="shared" si="208"/>
        <v>102249.71185219982</v>
      </c>
      <c r="L1717" s="14">
        <f t="shared" si="209"/>
        <v>108</v>
      </c>
      <c r="M1717" s="14" t="str">
        <f t="shared" si="210"/>
        <v>10-07-2024</v>
      </c>
      <c r="N1717" s="14">
        <f t="shared" si="211"/>
        <v>0.15876363979548133</v>
      </c>
      <c r="O1717" s="20">
        <f t="shared" si="212"/>
        <v>2.5142016028787819</v>
      </c>
      <c r="P1717" s="14">
        <f t="shared" si="213"/>
        <v>447.02863148087755</v>
      </c>
      <c r="Q1717" s="14">
        <f t="shared" si="214"/>
        <v>355.11739596494357</v>
      </c>
      <c r="R1717" s="14" t="str">
        <f t="shared" si="215"/>
        <v>Jul</v>
      </c>
    </row>
    <row r="1718" spans="1:18" x14ac:dyDescent="0.3">
      <c r="A1718" t="s">
        <v>3326</v>
      </c>
      <c r="B1718" s="1">
        <v>45786</v>
      </c>
      <c r="C1718" t="s">
        <v>672</v>
      </c>
      <c r="D1718" t="s">
        <v>1342</v>
      </c>
      <c r="E1718" t="s">
        <v>1564</v>
      </c>
      <c r="F1718">
        <v>2.5106765702791498</v>
      </c>
      <c r="G1718" s="14">
        <v>454.30131866113999</v>
      </c>
      <c r="H1718" s="17">
        <v>0.157813568877641</v>
      </c>
      <c r="I1718" t="s">
        <v>1611</v>
      </c>
      <c r="J1718" s="14">
        <v>963.34004755321598</v>
      </c>
      <c r="K1718" s="14">
        <f t="shared" si="208"/>
        <v>101286.26380818716</v>
      </c>
      <c r="L1718" s="14">
        <f t="shared" si="209"/>
        <v>107</v>
      </c>
      <c r="M1718" s="14" t="str">
        <f t="shared" si="210"/>
        <v>09-05-2025</v>
      </c>
      <c r="N1718" s="14">
        <f t="shared" si="211"/>
        <v>0.15876702083077612</v>
      </c>
      <c r="O1718" s="20">
        <f t="shared" si="212"/>
        <v>2.5142141474787807</v>
      </c>
      <c r="P1718" s="14">
        <f t="shared" si="213"/>
        <v>447.00275003183742</v>
      </c>
      <c r="Q1718" s="14">
        <f t="shared" si="214"/>
        <v>355.07746408837818</v>
      </c>
      <c r="R1718" s="14" t="str">
        <f t="shared" si="215"/>
        <v>May</v>
      </c>
    </row>
    <row r="1719" spans="1:18" x14ac:dyDescent="0.3">
      <c r="A1719" t="s">
        <v>3327</v>
      </c>
      <c r="B1719" s="1">
        <v>45475</v>
      </c>
      <c r="C1719" t="s">
        <v>666</v>
      </c>
      <c r="D1719" t="s">
        <v>1529</v>
      </c>
      <c r="E1719" t="s">
        <v>1598</v>
      </c>
      <c r="F1719">
        <v>2.51070165947915</v>
      </c>
      <c r="G1719" s="14">
        <v>454.24955576306002</v>
      </c>
      <c r="H1719" s="17">
        <v>0.157820330948231</v>
      </c>
      <c r="I1719" t="s">
        <v>1611</v>
      </c>
      <c r="J1719" s="14">
        <v>963.23205109376397</v>
      </c>
      <c r="K1719" s="14">
        <f t="shared" si="208"/>
        <v>101286.26380818716</v>
      </c>
      <c r="L1719" s="14">
        <f t="shared" si="209"/>
        <v>107</v>
      </c>
      <c r="M1719" s="14" t="str">
        <f t="shared" si="210"/>
        <v>02-07-2024</v>
      </c>
      <c r="N1719" s="14">
        <f t="shared" si="211"/>
        <v>0.15877040186607094</v>
      </c>
      <c r="O1719" s="20">
        <f t="shared" si="212"/>
        <v>2.514226692078779</v>
      </c>
      <c r="P1719" s="14">
        <f t="shared" si="213"/>
        <v>446.97686858279735</v>
      </c>
      <c r="Q1719" s="14">
        <f t="shared" si="214"/>
        <v>355.03753221181285</v>
      </c>
      <c r="R1719" s="14" t="str">
        <f t="shared" si="215"/>
        <v>Jul</v>
      </c>
    </row>
    <row r="1720" spans="1:18" x14ac:dyDescent="0.3">
      <c r="A1720" t="s">
        <v>3328</v>
      </c>
      <c r="B1720" s="1">
        <v>45470</v>
      </c>
      <c r="C1720" t="s">
        <v>996</v>
      </c>
      <c r="D1720" t="s">
        <v>1373</v>
      </c>
      <c r="E1720" t="s">
        <v>1577</v>
      </c>
      <c r="F1720">
        <v>2.51072674867914</v>
      </c>
      <c r="G1720" s="14">
        <v>454.19779286497999</v>
      </c>
      <c r="H1720" s="17">
        <v>0.15782709301882</v>
      </c>
      <c r="I1720" t="s">
        <v>1614</v>
      </c>
      <c r="J1720" s="14">
        <v>963.12405463431298</v>
      </c>
      <c r="K1720" s="14">
        <f t="shared" si="208"/>
        <v>101286.26380818716</v>
      </c>
      <c r="L1720" s="14">
        <f t="shared" si="209"/>
        <v>107</v>
      </c>
      <c r="M1720" s="14" t="str">
        <f t="shared" si="210"/>
        <v>27-06-2024</v>
      </c>
      <c r="N1720" s="14">
        <f t="shared" si="211"/>
        <v>0.15877378290136576</v>
      </c>
      <c r="O1720" s="20">
        <f t="shared" si="212"/>
        <v>2.5142392366787774</v>
      </c>
      <c r="P1720" s="14">
        <f t="shared" si="213"/>
        <v>446.95098713375728</v>
      </c>
      <c r="Q1720" s="14">
        <f t="shared" si="214"/>
        <v>354.99760033524774</v>
      </c>
      <c r="R1720" s="14" t="str">
        <f t="shared" si="215"/>
        <v>Jun</v>
      </c>
    </row>
    <row r="1721" spans="1:18" x14ac:dyDescent="0.3">
      <c r="A1721" t="s">
        <v>3329</v>
      </c>
      <c r="B1721" s="1">
        <v>45243</v>
      </c>
      <c r="C1721" t="s">
        <v>863</v>
      </c>
      <c r="D1721" t="s">
        <v>1481</v>
      </c>
      <c r="E1721" t="s">
        <v>1558</v>
      </c>
      <c r="F1721">
        <v>2.5107518378791398</v>
      </c>
      <c r="G1721" s="14">
        <v>454.14602996689899</v>
      </c>
      <c r="H1721" s="17">
        <v>0.15783385508941</v>
      </c>
      <c r="I1721" t="s">
        <v>1611</v>
      </c>
      <c r="J1721" s="14">
        <v>963.01605817486097</v>
      </c>
      <c r="K1721" s="14">
        <f t="shared" si="208"/>
        <v>101286.26380818716</v>
      </c>
      <c r="L1721" s="14">
        <f t="shared" si="209"/>
        <v>107</v>
      </c>
      <c r="M1721" s="14" t="str">
        <f t="shared" si="210"/>
        <v>13-11-2023</v>
      </c>
      <c r="N1721" s="14">
        <f t="shared" si="211"/>
        <v>0.15877716393666055</v>
      </c>
      <c r="O1721" s="20">
        <f t="shared" si="212"/>
        <v>2.5142517812787757</v>
      </c>
      <c r="P1721" s="14">
        <f t="shared" si="213"/>
        <v>446.92510568471727</v>
      </c>
      <c r="Q1721" s="14">
        <f t="shared" si="214"/>
        <v>354.95766845868212</v>
      </c>
      <c r="R1721" s="14" t="str">
        <f t="shared" si="215"/>
        <v>Nov</v>
      </c>
    </row>
    <row r="1722" spans="1:18" x14ac:dyDescent="0.3">
      <c r="A1722" t="s">
        <v>3330</v>
      </c>
      <c r="B1722" s="1">
        <v>45341</v>
      </c>
      <c r="C1722" t="s">
        <v>32</v>
      </c>
      <c r="D1722" t="s">
        <v>1455</v>
      </c>
      <c r="E1722" t="s">
        <v>1579</v>
      </c>
      <c r="F1722">
        <v>2.51077692707914</v>
      </c>
      <c r="G1722" s="14">
        <v>454.09426706881902</v>
      </c>
      <c r="H1722" s="17">
        <v>0.15784061716</v>
      </c>
      <c r="I1722" t="s">
        <v>1609</v>
      </c>
      <c r="J1722" s="14">
        <v>962.90806171540896</v>
      </c>
      <c r="K1722" s="14">
        <f t="shared" si="208"/>
        <v>101286.26380818716</v>
      </c>
      <c r="L1722" s="14">
        <f t="shared" si="209"/>
        <v>107</v>
      </c>
      <c r="M1722" s="14" t="str">
        <f t="shared" si="210"/>
        <v>19-02-2024</v>
      </c>
      <c r="N1722" s="14">
        <f t="shared" si="211"/>
        <v>0.15878054497195535</v>
      </c>
      <c r="O1722" s="20">
        <f t="shared" si="212"/>
        <v>2.5142643258787749</v>
      </c>
      <c r="P1722" s="14">
        <f t="shared" si="213"/>
        <v>446.8992242356772</v>
      </c>
      <c r="Q1722" s="14">
        <f t="shared" si="214"/>
        <v>354.91773658211679</v>
      </c>
      <c r="R1722" s="14" t="str">
        <f t="shared" si="215"/>
        <v>Feb</v>
      </c>
    </row>
    <row r="1723" spans="1:18" x14ac:dyDescent="0.3">
      <c r="A1723" t="s">
        <v>3331</v>
      </c>
      <c r="B1723" s="1">
        <v>45371</v>
      </c>
      <c r="C1723" t="s">
        <v>550</v>
      </c>
      <c r="D1723" t="s">
        <v>1489</v>
      </c>
      <c r="E1723" t="s">
        <v>1542</v>
      </c>
      <c r="F1723">
        <v>2.5108020162791398</v>
      </c>
      <c r="G1723" s="14">
        <v>454.04250417073899</v>
      </c>
      <c r="H1723" s="17">
        <v>0.157847379230589</v>
      </c>
      <c r="I1723" t="s">
        <v>1611</v>
      </c>
      <c r="J1723" s="14">
        <v>962.80006525595797</v>
      </c>
      <c r="K1723" s="14">
        <f t="shared" si="208"/>
        <v>100323.35574647175</v>
      </c>
      <c r="L1723" s="14">
        <f t="shared" si="209"/>
        <v>106</v>
      </c>
      <c r="M1723" s="14" t="str">
        <f t="shared" si="210"/>
        <v>20-03-2024</v>
      </c>
      <c r="N1723" s="14">
        <f t="shared" si="211"/>
        <v>0.15878392600725014</v>
      </c>
      <c r="O1723" s="20">
        <f t="shared" si="212"/>
        <v>2.5142768704787732</v>
      </c>
      <c r="P1723" s="14">
        <f t="shared" si="213"/>
        <v>446.87334278663707</v>
      </c>
      <c r="Q1723" s="14">
        <f t="shared" si="214"/>
        <v>354.87780470555168</v>
      </c>
      <c r="R1723" s="14" t="str">
        <f t="shared" si="215"/>
        <v>Mar</v>
      </c>
    </row>
    <row r="1724" spans="1:18" x14ac:dyDescent="0.3">
      <c r="A1724" t="s">
        <v>3332</v>
      </c>
      <c r="B1724" s="1">
        <v>45360</v>
      </c>
      <c r="C1724" t="s">
        <v>14</v>
      </c>
      <c r="D1724" t="s">
        <v>1467</v>
      </c>
      <c r="E1724" t="s">
        <v>1537</v>
      </c>
      <c r="F1724">
        <v>2.5108271054791298</v>
      </c>
      <c r="G1724" s="14">
        <v>453.99074127265902</v>
      </c>
      <c r="H1724" s="17">
        <v>0.157854141301179</v>
      </c>
      <c r="I1724" t="s">
        <v>1614</v>
      </c>
      <c r="J1724" s="14">
        <v>962.69206879650596</v>
      </c>
      <c r="K1724" s="14">
        <f t="shared" si="208"/>
        <v>100323.35574647175</v>
      </c>
      <c r="L1724" s="14">
        <f t="shared" si="209"/>
        <v>106</v>
      </c>
      <c r="M1724" s="14" t="str">
        <f t="shared" si="210"/>
        <v>09-03-2024</v>
      </c>
      <c r="N1724" s="14">
        <f t="shared" si="211"/>
        <v>0.15878730704254496</v>
      </c>
      <c r="O1724" s="20">
        <f t="shared" si="212"/>
        <v>2.514289415078772</v>
      </c>
      <c r="P1724" s="14">
        <f t="shared" si="213"/>
        <v>446.84746133759694</v>
      </c>
      <c r="Q1724" s="14">
        <f t="shared" si="214"/>
        <v>354.83787282898629</v>
      </c>
      <c r="R1724" s="14" t="str">
        <f t="shared" si="215"/>
        <v>Mar</v>
      </c>
    </row>
    <row r="1725" spans="1:18" x14ac:dyDescent="0.3">
      <c r="A1725" t="s">
        <v>3333</v>
      </c>
      <c r="B1725" s="1">
        <v>45499</v>
      </c>
      <c r="C1725" t="s">
        <v>360</v>
      </c>
      <c r="D1725" t="s">
        <v>1338</v>
      </c>
      <c r="E1725" t="s">
        <v>1595</v>
      </c>
      <c r="F1725">
        <v>2.51085219467913</v>
      </c>
      <c r="G1725" s="14">
        <v>453.93897837457899</v>
      </c>
      <c r="H1725" s="17">
        <v>0.157860903371768</v>
      </c>
      <c r="I1725" t="s">
        <v>1611</v>
      </c>
      <c r="J1725" s="14">
        <v>962.58407233705395</v>
      </c>
      <c r="K1725" s="14">
        <f t="shared" si="208"/>
        <v>100323.35574647175</v>
      </c>
      <c r="L1725" s="14">
        <f t="shared" si="209"/>
        <v>106</v>
      </c>
      <c r="M1725" s="14" t="str">
        <f t="shared" si="210"/>
        <v>26-07-2024</v>
      </c>
      <c r="N1725" s="14">
        <f t="shared" si="211"/>
        <v>0.15879068807783975</v>
      </c>
      <c r="O1725" s="20">
        <f t="shared" si="212"/>
        <v>2.5143019596787703</v>
      </c>
      <c r="P1725" s="14">
        <f t="shared" si="213"/>
        <v>446.82157988855693</v>
      </c>
      <c r="Q1725" s="14">
        <f t="shared" si="214"/>
        <v>354.79794095242096</v>
      </c>
      <c r="R1725" s="14" t="str">
        <f t="shared" si="215"/>
        <v>Jul</v>
      </c>
    </row>
    <row r="1726" spans="1:18" x14ac:dyDescent="0.3">
      <c r="A1726" t="s">
        <v>3334</v>
      </c>
      <c r="B1726" s="1">
        <v>45745</v>
      </c>
      <c r="C1726" t="s">
        <v>1226</v>
      </c>
      <c r="D1726" t="s">
        <v>1381</v>
      </c>
      <c r="E1726" t="s">
        <v>1551</v>
      </c>
      <c r="F1726">
        <v>2.5108772838791298</v>
      </c>
      <c r="G1726" s="14">
        <v>453.88721547649902</v>
      </c>
      <c r="H1726" s="17">
        <v>0.157867665442358</v>
      </c>
      <c r="I1726" t="s">
        <v>1609</v>
      </c>
      <c r="J1726" s="14">
        <v>962.47607587760206</v>
      </c>
      <c r="K1726" s="14">
        <f t="shared" si="208"/>
        <v>100323.35574647175</v>
      </c>
      <c r="L1726" s="14">
        <f t="shared" si="209"/>
        <v>106</v>
      </c>
      <c r="M1726" s="14" t="str">
        <f t="shared" si="210"/>
        <v>29-03-2025</v>
      </c>
      <c r="N1726" s="14">
        <f t="shared" si="211"/>
        <v>0.15879406911313457</v>
      </c>
      <c r="O1726" s="20">
        <f t="shared" si="212"/>
        <v>2.5143145042787691</v>
      </c>
      <c r="P1726" s="14">
        <f t="shared" si="213"/>
        <v>446.79569843951685</v>
      </c>
      <c r="Q1726" s="14">
        <f t="shared" si="214"/>
        <v>354.75800907585563</v>
      </c>
      <c r="R1726" s="14" t="str">
        <f t="shared" si="215"/>
        <v>Mar</v>
      </c>
    </row>
    <row r="1727" spans="1:18" x14ac:dyDescent="0.3">
      <c r="A1727" t="s">
        <v>3335</v>
      </c>
      <c r="B1727" s="1">
        <v>45718</v>
      </c>
      <c r="C1727" t="s">
        <v>1297</v>
      </c>
      <c r="D1727" t="s">
        <v>1369</v>
      </c>
      <c r="E1727" t="s">
        <v>1561</v>
      </c>
      <c r="F1727">
        <v>2.51090237307913</v>
      </c>
      <c r="G1727" s="14">
        <v>453.83545257841803</v>
      </c>
      <c r="H1727" s="17">
        <v>0.157874427512948</v>
      </c>
      <c r="I1727" t="s">
        <v>1609</v>
      </c>
      <c r="J1727" s="14">
        <v>962.36807941815096</v>
      </c>
      <c r="K1727" s="14">
        <f t="shared" si="208"/>
        <v>99360.87967059415</v>
      </c>
      <c r="L1727" s="14">
        <f t="shared" si="209"/>
        <v>105</v>
      </c>
      <c r="M1727" s="14" t="str">
        <f t="shared" si="210"/>
        <v>02-03-2025</v>
      </c>
      <c r="N1727" s="14">
        <f t="shared" si="211"/>
        <v>0.15879745014842939</v>
      </c>
      <c r="O1727" s="20">
        <f t="shared" si="212"/>
        <v>2.5143270488787679</v>
      </c>
      <c r="P1727" s="14">
        <f t="shared" si="213"/>
        <v>446.76981699047673</v>
      </c>
      <c r="Q1727" s="14">
        <f t="shared" si="214"/>
        <v>354.71807719929029</v>
      </c>
      <c r="R1727" s="14" t="str">
        <f t="shared" si="215"/>
        <v>Mar</v>
      </c>
    </row>
    <row r="1728" spans="1:18" x14ac:dyDescent="0.3">
      <c r="A1728" t="s">
        <v>3336</v>
      </c>
      <c r="B1728" s="1">
        <v>45454</v>
      </c>
      <c r="C1728" t="s">
        <v>937</v>
      </c>
      <c r="D1728" t="s">
        <v>1413</v>
      </c>
      <c r="E1728" t="s">
        <v>1567</v>
      </c>
      <c r="F1728">
        <v>2.51092746227912</v>
      </c>
      <c r="G1728" s="14">
        <v>453.783689680338</v>
      </c>
      <c r="H1728" s="17">
        <v>0.157881189583537</v>
      </c>
      <c r="I1728" t="s">
        <v>1614</v>
      </c>
      <c r="J1728" s="14">
        <v>962.26008295869894</v>
      </c>
      <c r="K1728" s="14">
        <f t="shared" si="208"/>
        <v>98398.511591175993</v>
      </c>
      <c r="L1728" s="14">
        <f t="shared" si="209"/>
        <v>104</v>
      </c>
      <c r="M1728" s="14" t="str">
        <f t="shared" si="210"/>
        <v>11-06-2024</v>
      </c>
      <c r="N1728" s="14">
        <f t="shared" si="211"/>
        <v>0.15880083118372421</v>
      </c>
      <c r="O1728" s="20">
        <f t="shared" si="212"/>
        <v>2.5143395934787662</v>
      </c>
      <c r="P1728" s="14">
        <f t="shared" si="213"/>
        <v>446.74393554143671</v>
      </c>
      <c r="Q1728" s="14">
        <f t="shared" si="214"/>
        <v>354.6781453227249</v>
      </c>
      <c r="R1728" s="14" t="str">
        <f t="shared" si="215"/>
        <v>Jun</v>
      </c>
    </row>
    <row r="1729" spans="1:18" x14ac:dyDescent="0.3">
      <c r="A1729" t="s">
        <v>3337</v>
      </c>
      <c r="B1729" s="1">
        <v>45434</v>
      </c>
      <c r="C1729" t="s">
        <v>1258</v>
      </c>
      <c r="D1729" t="s">
        <v>1399</v>
      </c>
      <c r="E1729" t="s">
        <v>1577</v>
      </c>
      <c r="F1729">
        <v>2.5109525514791202</v>
      </c>
      <c r="G1729" s="14">
        <v>453.73192678225797</v>
      </c>
      <c r="H1729" s="17">
        <v>0.157887951654127</v>
      </c>
      <c r="I1729" t="s">
        <v>1611</v>
      </c>
      <c r="J1729" s="14">
        <v>962.15208649924705</v>
      </c>
      <c r="K1729" s="14">
        <f t="shared" si="208"/>
        <v>98398.511591175993</v>
      </c>
      <c r="L1729" s="14">
        <f t="shared" si="209"/>
        <v>104</v>
      </c>
      <c r="M1729" s="14" t="str">
        <f t="shared" si="210"/>
        <v>22-05-2024</v>
      </c>
      <c r="N1729" s="14">
        <f t="shared" si="211"/>
        <v>0.15880421221901897</v>
      </c>
      <c r="O1729" s="20">
        <f t="shared" si="212"/>
        <v>2.514352138078765</v>
      </c>
      <c r="P1729" s="14">
        <f t="shared" si="213"/>
        <v>446.71805409239659</v>
      </c>
      <c r="Q1729" s="14">
        <f t="shared" si="214"/>
        <v>354.63821344615957</v>
      </c>
      <c r="R1729" s="14" t="str">
        <f t="shared" si="215"/>
        <v>May</v>
      </c>
    </row>
    <row r="1730" spans="1:18" x14ac:dyDescent="0.3">
      <c r="A1730" t="s">
        <v>3338</v>
      </c>
      <c r="B1730" s="1">
        <v>45486</v>
      </c>
      <c r="C1730" t="s">
        <v>582</v>
      </c>
      <c r="D1730" t="s">
        <v>1499</v>
      </c>
      <c r="E1730" t="s">
        <v>1537</v>
      </c>
      <c r="F1730">
        <v>2.51097764067912</v>
      </c>
      <c r="G1730" s="14">
        <v>453.680163884178</v>
      </c>
      <c r="H1730" s="17">
        <v>0.157894713724717</v>
      </c>
      <c r="I1730" t="s">
        <v>1611</v>
      </c>
      <c r="J1730" s="14">
        <v>962.04409003979504</v>
      </c>
      <c r="K1730" s="14">
        <f t="shared" ref="K1730:K1793" si="216">SUMIF(I1730:I3729,"Credit Card",J1730:J3729)</f>
        <v>98398.511591175993</v>
      </c>
      <c r="L1730" s="14">
        <f t="shared" ref="L1730:L1793" si="217">COUNTIF(I1730:I3729,"Credit Card")</f>
        <v>104</v>
      </c>
      <c r="M1730" s="14" t="str">
        <f t="shared" ref="M1730:M1793" si="218">TEXT(B1730:B3729,"dd-mm-yyyy")</f>
        <v>13-07-2024</v>
      </c>
      <c r="N1730" s="14">
        <f t="shared" ref="N1730:N1793" si="219">AVERAGE(H1730:H3729)</f>
        <v>0.15880759325431379</v>
      </c>
      <c r="O1730" s="20">
        <f t="shared" ref="O1730:O1793" si="220">AVERAGE(F1730:F3729)</f>
        <v>2.5143646826787633</v>
      </c>
      <c r="P1730" s="14">
        <f t="shared" ref="P1730:P1793" si="221">AVERAGE(G1730:G3729)</f>
        <v>446.69217264335651</v>
      </c>
      <c r="Q1730" s="14">
        <f t="shared" ref="Q1730:Q1793" si="222">AVERAGE(F1730,G1730,H1730,J1730)</f>
        <v>354.59828156959423</v>
      </c>
      <c r="R1730" s="14" t="str">
        <f t="shared" ref="R1730:R1793" si="223">TEXT(M1730,"mmm")</f>
        <v>Jul</v>
      </c>
    </row>
    <row r="1731" spans="1:18" x14ac:dyDescent="0.3">
      <c r="A1731" t="s">
        <v>3339</v>
      </c>
      <c r="B1731" s="1">
        <v>45902</v>
      </c>
      <c r="C1731" t="s">
        <v>369</v>
      </c>
      <c r="D1731" t="s">
        <v>1407</v>
      </c>
      <c r="E1731" t="s">
        <v>1561</v>
      </c>
      <c r="F1731">
        <v>2.51100272987911</v>
      </c>
      <c r="G1731" s="14">
        <v>453.62840098609797</v>
      </c>
      <c r="H1731" s="17">
        <v>0.157901475795306</v>
      </c>
      <c r="I1731" t="s">
        <v>1614</v>
      </c>
      <c r="J1731" s="14">
        <v>961.93609358034405</v>
      </c>
      <c r="K1731" s="14">
        <f t="shared" si="216"/>
        <v>98398.511591175993</v>
      </c>
      <c r="L1731" s="14">
        <f t="shared" si="217"/>
        <v>104</v>
      </c>
      <c r="M1731" s="14" t="str">
        <f t="shared" si="218"/>
        <v>02-09-2025</v>
      </c>
      <c r="N1731" s="14">
        <f t="shared" si="219"/>
        <v>0.15881097428960858</v>
      </c>
      <c r="O1731" s="20">
        <f t="shared" si="220"/>
        <v>2.5143772272787621</v>
      </c>
      <c r="P1731" s="14">
        <f t="shared" si="221"/>
        <v>446.6662911943165</v>
      </c>
      <c r="Q1731" s="14">
        <f t="shared" si="222"/>
        <v>354.55834969302913</v>
      </c>
      <c r="R1731" s="14" t="str">
        <f t="shared" si="223"/>
        <v>Sep</v>
      </c>
    </row>
    <row r="1732" spans="1:18" x14ac:dyDescent="0.3">
      <c r="A1732" t="s">
        <v>3340</v>
      </c>
      <c r="B1732" s="1">
        <v>45762</v>
      </c>
      <c r="C1732" t="s">
        <v>255</v>
      </c>
      <c r="D1732" t="s">
        <v>1383</v>
      </c>
      <c r="E1732" t="s">
        <v>1592</v>
      </c>
      <c r="F1732">
        <v>2.5110278190791102</v>
      </c>
      <c r="G1732" s="14">
        <v>453.576638088018</v>
      </c>
      <c r="H1732" s="17">
        <v>0.157908237865896</v>
      </c>
      <c r="I1732" t="s">
        <v>1609</v>
      </c>
      <c r="J1732" s="14">
        <v>961.82809712089204</v>
      </c>
      <c r="K1732" s="14">
        <f t="shared" si="216"/>
        <v>98398.511591175993</v>
      </c>
      <c r="L1732" s="14">
        <f t="shared" si="217"/>
        <v>104</v>
      </c>
      <c r="M1732" s="14" t="str">
        <f t="shared" si="218"/>
        <v>15-04-2025</v>
      </c>
      <c r="N1732" s="14">
        <f t="shared" si="219"/>
        <v>0.15881435532490337</v>
      </c>
      <c r="O1732" s="20">
        <f t="shared" si="220"/>
        <v>2.5143897718787609</v>
      </c>
      <c r="P1732" s="14">
        <f t="shared" si="221"/>
        <v>446.64040974527643</v>
      </c>
      <c r="Q1732" s="14">
        <f t="shared" si="222"/>
        <v>354.51841781646374</v>
      </c>
      <c r="R1732" s="14" t="str">
        <f t="shared" si="223"/>
        <v>Apr</v>
      </c>
    </row>
    <row r="1733" spans="1:18" x14ac:dyDescent="0.3">
      <c r="A1733" t="s">
        <v>3341</v>
      </c>
      <c r="B1733" s="1">
        <v>45752</v>
      </c>
      <c r="C1733" t="s">
        <v>791</v>
      </c>
      <c r="D1733" t="s">
        <v>1353</v>
      </c>
      <c r="E1733" t="s">
        <v>1554</v>
      </c>
      <c r="F1733">
        <v>2.51105290827911</v>
      </c>
      <c r="G1733" s="14">
        <v>453.52487518993701</v>
      </c>
      <c r="H1733" s="17">
        <v>0.157914999936485</v>
      </c>
      <c r="I1733" t="s">
        <v>1609</v>
      </c>
      <c r="J1733" s="14">
        <v>961.72010066144003</v>
      </c>
      <c r="K1733" s="14">
        <f t="shared" si="216"/>
        <v>97436.683494055105</v>
      </c>
      <c r="L1733" s="14">
        <f t="shared" si="217"/>
        <v>103</v>
      </c>
      <c r="M1733" s="14" t="str">
        <f t="shared" si="218"/>
        <v>05-04-2025</v>
      </c>
      <c r="N1733" s="14">
        <f t="shared" si="219"/>
        <v>0.15881773636019819</v>
      </c>
      <c r="O1733" s="20">
        <f t="shared" si="220"/>
        <v>2.5144023164787601</v>
      </c>
      <c r="P1733" s="14">
        <f t="shared" si="221"/>
        <v>446.6145282962363</v>
      </c>
      <c r="Q1733" s="14">
        <f t="shared" si="222"/>
        <v>354.47848593989818</v>
      </c>
      <c r="R1733" s="14" t="str">
        <f t="shared" si="223"/>
        <v>Apr</v>
      </c>
    </row>
    <row r="1734" spans="1:18" x14ac:dyDescent="0.3">
      <c r="A1734" t="s">
        <v>3342</v>
      </c>
      <c r="B1734" s="1">
        <v>45254</v>
      </c>
      <c r="C1734" t="s">
        <v>1098</v>
      </c>
      <c r="D1734" t="s">
        <v>1517</v>
      </c>
      <c r="E1734" t="s">
        <v>1598</v>
      </c>
      <c r="F1734">
        <v>2.5110779974791102</v>
      </c>
      <c r="G1734" s="14">
        <v>453.47311229185698</v>
      </c>
      <c r="H1734" s="17">
        <v>0.157921762007075</v>
      </c>
      <c r="I1734" t="s">
        <v>1614</v>
      </c>
      <c r="J1734" s="14">
        <v>961.61210420198802</v>
      </c>
      <c r="K1734" s="14">
        <f t="shared" si="216"/>
        <v>96474.963393393671</v>
      </c>
      <c r="L1734" s="14">
        <f t="shared" si="217"/>
        <v>102</v>
      </c>
      <c r="M1734" s="14" t="str">
        <f t="shared" si="218"/>
        <v>24-11-2023</v>
      </c>
      <c r="N1734" s="14">
        <f t="shared" si="219"/>
        <v>0.15882111739549301</v>
      </c>
      <c r="O1734" s="20">
        <f t="shared" si="220"/>
        <v>2.514414861078758</v>
      </c>
      <c r="P1734" s="14">
        <f t="shared" si="221"/>
        <v>446.58864684719617</v>
      </c>
      <c r="Q1734" s="14">
        <f t="shared" si="222"/>
        <v>354.43855406333279</v>
      </c>
      <c r="R1734" s="14" t="str">
        <f t="shared" si="223"/>
        <v>Nov</v>
      </c>
    </row>
    <row r="1735" spans="1:18" x14ac:dyDescent="0.3">
      <c r="A1735" t="s">
        <v>3343</v>
      </c>
      <c r="B1735" s="1">
        <v>45683</v>
      </c>
      <c r="C1735" t="s">
        <v>188</v>
      </c>
      <c r="D1735" t="s">
        <v>1485</v>
      </c>
      <c r="E1735" t="s">
        <v>1546</v>
      </c>
      <c r="F1735">
        <v>2.5111030866791002</v>
      </c>
      <c r="G1735" s="14">
        <v>453.42134939377701</v>
      </c>
      <c r="H1735" s="17">
        <v>0.157928524077665</v>
      </c>
      <c r="I1735" t="s">
        <v>1611</v>
      </c>
      <c r="J1735" s="14">
        <v>961.50410774253703</v>
      </c>
      <c r="K1735" s="14">
        <f t="shared" si="216"/>
        <v>96474.963393393671</v>
      </c>
      <c r="L1735" s="14">
        <f t="shared" si="217"/>
        <v>102</v>
      </c>
      <c r="M1735" s="14" t="str">
        <f t="shared" si="218"/>
        <v>26-01-2025</v>
      </c>
      <c r="N1735" s="14">
        <f t="shared" si="219"/>
        <v>0.15882449843078777</v>
      </c>
      <c r="O1735" s="20">
        <f t="shared" si="220"/>
        <v>2.5144274056787572</v>
      </c>
      <c r="P1735" s="14">
        <f t="shared" si="221"/>
        <v>446.5627653981561</v>
      </c>
      <c r="Q1735" s="14">
        <f t="shared" si="222"/>
        <v>354.39862218676768</v>
      </c>
      <c r="R1735" s="14" t="str">
        <f t="shared" si="223"/>
        <v>Jan</v>
      </c>
    </row>
    <row r="1736" spans="1:18" x14ac:dyDescent="0.3">
      <c r="A1736" t="s">
        <v>3344</v>
      </c>
      <c r="B1736" s="1">
        <v>45804</v>
      </c>
      <c r="C1736" t="s">
        <v>1229</v>
      </c>
      <c r="D1736" t="s">
        <v>1501</v>
      </c>
      <c r="E1736" t="s">
        <v>1592</v>
      </c>
      <c r="F1736">
        <v>2.5111281758791</v>
      </c>
      <c r="G1736" s="14">
        <v>453.36958649569698</v>
      </c>
      <c r="H1736" s="17">
        <v>0.157935286148254</v>
      </c>
      <c r="I1736" t="s">
        <v>1614</v>
      </c>
      <c r="J1736" s="14">
        <v>961.39611128308502</v>
      </c>
      <c r="K1736" s="14">
        <f t="shared" si="216"/>
        <v>96474.963393393671</v>
      </c>
      <c r="L1736" s="14">
        <f t="shared" si="217"/>
        <v>102</v>
      </c>
      <c r="M1736" s="14" t="str">
        <f t="shared" si="218"/>
        <v>27-05-2025</v>
      </c>
      <c r="N1736" s="14">
        <f t="shared" si="219"/>
        <v>0.15882787946608259</v>
      </c>
      <c r="O1736" s="20">
        <f t="shared" si="220"/>
        <v>2.514439950278756</v>
      </c>
      <c r="P1736" s="14">
        <f t="shared" si="221"/>
        <v>446.53688394911603</v>
      </c>
      <c r="Q1736" s="14">
        <f t="shared" si="222"/>
        <v>354.35869031020235</v>
      </c>
      <c r="R1736" s="14" t="str">
        <f t="shared" si="223"/>
        <v>May</v>
      </c>
    </row>
    <row r="1737" spans="1:18" x14ac:dyDescent="0.3">
      <c r="A1737" t="s">
        <v>3345</v>
      </c>
      <c r="B1737" s="1">
        <v>45821</v>
      </c>
      <c r="C1737" t="s">
        <v>559</v>
      </c>
      <c r="D1737" t="s">
        <v>1521</v>
      </c>
      <c r="E1737" t="s">
        <v>1584</v>
      </c>
      <c r="F1737">
        <v>2.5111532650791002</v>
      </c>
      <c r="G1737" s="14">
        <v>453.31782359761701</v>
      </c>
      <c r="H1737" s="17">
        <v>0.157942048218844</v>
      </c>
      <c r="I1737" t="s">
        <v>1614</v>
      </c>
      <c r="J1737" s="14">
        <v>961.28811482363301</v>
      </c>
      <c r="K1737" s="14">
        <f t="shared" si="216"/>
        <v>96474.963393393671</v>
      </c>
      <c r="L1737" s="14">
        <f t="shared" si="217"/>
        <v>102</v>
      </c>
      <c r="M1737" s="14" t="str">
        <f t="shared" si="218"/>
        <v>13-06-2025</v>
      </c>
      <c r="N1737" s="14">
        <f t="shared" si="219"/>
        <v>0.15883126050137739</v>
      </c>
      <c r="O1737" s="20">
        <f t="shared" si="220"/>
        <v>2.5144524948787548</v>
      </c>
      <c r="P1737" s="14">
        <f t="shared" si="221"/>
        <v>446.51100250007596</v>
      </c>
      <c r="Q1737" s="14">
        <f t="shared" si="222"/>
        <v>354.31875843363696</v>
      </c>
      <c r="R1737" s="14" t="str">
        <f t="shared" si="223"/>
        <v>Jun</v>
      </c>
    </row>
    <row r="1738" spans="1:18" x14ac:dyDescent="0.3">
      <c r="A1738" t="s">
        <v>3346</v>
      </c>
      <c r="B1738" s="1">
        <v>45472</v>
      </c>
      <c r="C1738" t="s">
        <v>773</v>
      </c>
      <c r="D1738" t="s">
        <v>1373</v>
      </c>
      <c r="E1738" t="s">
        <v>1554</v>
      </c>
      <c r="F1738">
        <v>2.5111783542791</v>
      </c>
      <c r="G1738" s="14">
        <v>453.26606069953698</v>
      </c>
      <c r="H1738" s="17">
        <v>0.157948810289433</v>
      </c>
      <c r="I1738" t="s">
        <v>1614</v>
      </c>
      <c r="J1738" s="14">
        <v>961.18011836418202</v>
      </c>
      <c r="K1738" s="14">
        <f t="shared" si="216"/>
        <v>96474.963393393671</v>
      </c>
      <c r="L1738" s="14">
        <f t="shared" si="217"/>
        <v>102</v>
      </c>
      <c r="M1738" s="14" t="str">
        <f t="shared" si="218"/>
        <v>29-06-2024</v>
      </c>
      <c r="N1738" s="14">
        <f t="shared" si="219"/>
        <v>0.15883464153667215</v>
      </c>
      <c r="O1738" s="20">
        <f t="shared" si="220"/>
        <v>2.5144650394787535</v>
      </c>
      <c r="P1738" s="14">
        <f t="shared" si="221"/>
        <v>446.48512105103589</v>
      </c>
      <c r="Q1738" s="14">
        <f t="shared" si="222"/>
        <v>354.27882655707185</v>
      </c>
      <c r="R1738" s="14" t="str">
        <f t="shared" si="223"/>
        <v>Jun</v>
      </c>
    </row>
    <row r="1739" spans="1:18" x14ac:dyDescent="0.3">
      <c r="A1739" t="s">
        <v>3347</v>
      </c>
      <c r="B1739" s="1">
        <v>45331</v>
      </c>
      <c r="C1739" t="s">
        <v>1136</v>
      </c>
      <c r="D1739" t="s">
        <v>1515</v>
      </c>
      <c r="E1739" t="s">
        <v>1579</v>
      </c>
      <c r="F1739">
        <v>2.51120344347909</v>
      </c>
      <c r="G1739" s="14">
        <v>453.21429780145701</v>
      </c>
      <c r="H1739" s="17">
        <v>0.157955572360023</v>
      </c>
      <c r="I1739" t="s">
        <v>1614</v>
      </c>
      <c r="J1739" s="14">
        <v>961.07212190473001</v>
      </c>
      <c r="K1739" s="14">
        <f t="shared" si="216"/>
        <v>96474.963393393671</v>
      </c>
      <c r="L1739" s="14">
        <f t="shared" si="217"/>
        <v>102</v>
      </c>
      <c r="M1739" s="14" t="str">
        <f t="shared" si="218"/>
        <v>09-02-2024</v>
      </c>
      <c r="N1739" s="14">
        <f t="shared" si="219"/>
        <v>0.158838022571967</v>
      </c>
      <c r="O1739" s="20">
        <f t="shared" si="220"/>
        <v>2.5144775840787523</v>
      </c>
      <c r="P1739" s="14">
        <f t="shared" si="221"/>
        <v>446.45923960199571</v>
      </c>
      <c r="Q1739" s="14">
        <f t="shared" si="222"/>
        <v>354.23889468050652</v>
      </c>
      <c r="R1739" s="14" t="str">
        <f t="shared" si="223"/>
        <v>Feb</v>
      </c>
    </row>
    <row r="1740" spans="1:18" x14ac:dyDescent="0.3">
      <c r="A1740" t="s">
        <v>3348</v>
      </c>
      <c r="B1740" s="1">
        <v>45451</v>
      </c>
      <c r="C1740" t="s">
        <v>147</v>
      </c>
      <c r="D1740" t="s">
        <v>1489</v>
      </c>
      <c r="E1740" t="s">
        <v>1586</v>
      </c>
      <c r="F1740">
        <v>2.5112285326790902</v>
      </c>
      <c r="G1740" s="14">
        <v>453.16253490337601</v>
      </c>
      <c r="H1740" s="17">
        <v>0.157962334430613</v>
      </c>
      <c r="I1740" t="s">
        <v>1611</v>
      </c>
      <c r="J1740" s="14">
        <v>960.964125445278</v>
      </c>
      <c r="K1740" s="14">
        <f t="shared" si="216"/>
        <v>96474.963393393671</v>
      </c>
      <c r="L1740" s="14">
        <f t="shared" si="217"/>
        <v>102</v>
      </c>
      <c r="M1740" s="14" t="str">
        <f t="shared" si="218"/>
        <v>08-06-2024</v>
      </c>
      <c r="N1740" s="14">
        <f t="shared" si="219"/>
        <v>0.15884140360726179</v>
      </c>
      <c r="O1740" s="20">
        <f t="shared" si="220"/>
        <v>2.5144901286787511</v>
      </c>
      <c r="P1740" s="14">
        <f t="shared" si="221"/>
        <v>446.43335815295569</v>
      </c>
      <c r="Q1740" s="14">
        <f t="shared" si="222"/>
        <v>354.19896280394096</v>
      </c>
      <c r="R1740" s="14" t="str">
        <f t="shared" si="223"/>
        <v>Jun</v>
      </c>
    </row>
    <row r="1741" spans="1:18" x14ac:dyDescent="0.3">
      <c r="A1741" t="s">
        <v>3349</v>
      </c>
      <c r="B1741" s="1">
        <v>45386</v>
      </c>
      <c r="C1741" t="s">
        <v>767</v>
      </c>
      <c r="D1741" t="s">
        <v>1505</v>
      </c>
      <c r="E1741" t="s">
        <v>1551</v>
      </c>
      <c r="F1741">
        <v>2.51125362187909</v>
      </c>
      <c r="G1741" s="14">
        <v>453.11077200529598</v>
      </c>
      <c r="H1741" s="17">
        <v>0.157969096501202</v>
      </c>
      <c r="I1741" t="s">
        <v>1609</v>
      </c>
      <c r="J1741" s="14">
        <v>960.85612898582599</v>
      </c>
      <c r="K1741" s="14">
        <f t="shared" si="216"/>
        <v>96474.963393393671</v>
      </c>
      <c r="L1741" s="14">
        <f t="shared" si="217"/>
        <v>102</v>
      </c>
      <c r="M1741" s="14" t="str">
        <f t="shared" si="218"/>
        <v>04-04-2024</v>
      </c>
      <c r="N1741" s="14">
        <f t="shared" si="219"/>
        <v>0.15884478464255661</v>
      </c>
      <c r="O1741" s="20">
        <f t="shared" si="220"/>
        <v>2.5145026732787499</v>
      </c>
      <c r="P1741" s="14">
        <f t="shared" si="221"/>
        <v>446.40747670391562</v>
      </c>
      <c r="Q1741" s="14">
        <f t="shared" si="222"/>
        <v>354.15903092737557</v>
      </c>
      <c r="R1741" s="14" t="str">
        <f t="shared" si="223"/>
        <v>Apr</v>
      </c>
    </row>
    <row r="1742" spans="1:18" x14ac:dyDescent="0.3">
      <c r="A1742" t="s">
        <v>3350</v>
      </c>
      <c r="B1742" s="1">
        <v>45477</v>
      </c>
      <c r="C1742" t="s">
        <v>1317</v>
      </c>
      <c r="D1742" t="s">
        <v>1511</v>
      </c>
      <c r="E1742" t="s">
        <v>1584</v>
      </c>
      <c r="F1742">
        <v>2.5112787110790902</v>
      </c>
      <c r="G1742" s="14">
        <v>453.05900910721601</v>
      </c>
      <c r="H1742" s="17">
        <v>0.157975858571792</v>
      </c>
      <c r="I1742" t="s">
        <v>1611</v>
      </c>
      <c r="J1742" s="14">
        <v>960.748132526375</v>
      </c>
      <c r="K1742" s="14">
        <f t="shared" si="216"/>
        <v>95514.107264407838</v>
      </c>
      <c r="L1742" s="14">
        <f t="shared" si="217"/>
        <v>101</v>
      </c>
      <c r="M1742" s="14" t="str">
        <f t="shared" si="218"/>
        <v>04-07-2024</v>
      </c>
      <c r="N1742" s="14">
        <f t="shared" si="219"/>
        <v>0.15884816567785143</v>
      </c>
      <c r="O1742" s="20">
        <f t="shared" si="220"/>
        <v>2.5145152178787491</v>
      </c>
      <c r="P1742" s="14">
        <f t="shared" si="221"/>
        <v>446.38159525487555</v>
      </c>
      <c r="Q1742" s="14">
        <f t="shared" si="222"/>
        <v>354.11909905081046</v>
      </c>
      <c r="R1742" s="14" t="str">
        <f t="shared" si="223"/>
        <v>Jul</v>
      </c>
    </row>
    <row r="1743" spans="1:18" x14ac:dyDescent="0.3">
      <c r="A1743" t="s">
        <v>3351</v>
      </c>
      <c r="B1743" s="1">
        <v>45433</v>
      </c>
      <c r="C1743" t="s">
        <v>1316</v>
      </c>
      <c r="D1743" t="s">
        <v>1413</v>
      </c>
      <c r="E1743" t="s">
        <v>1579</v>
      </c>
      <c r="F1743">
        <v>2.5113038002790802</v>
      </c>
      <c r="G1743" s="14">
        <v>453.00724620913599</v>
      </c>
      <c r="H1743" s="17">
        <v>0.157982620642381</v>
      </c>
      <c r="I1743" t="s">
        <v>1609</v>
      </c>
      <c r="J1743" s="14">
        <v>960.64013606692299</v>
      </c>
      <c r="K1743" s="14">
        <f t="shared" si="216"/>
        <v>95514.107264407838</v>
      </c>
      <c r="L1743" s="14">
        <f t="shared" si="217"/>
        <v>101</v>
      </c>
      <c r="M1743" s="14" t="str">
        <f t="shared" si="218"/>
        <v>21-05-2024</v>
      </c>
      <c r="N1743" s="14">
        <f t="shared" si="219"/>
        <v>0.15885154671314619</v>
      </c>
      <c r="O1743" s="20">
        <f t="shared" si="220"/>
        <v>2.5145277624787479</v>
      </c>
      <c r="P1743" s="14">
        <f t="shared" si="221"/>
        <v>446.35571380583548</v>
      </c>
      <c r="Q1743" s="14">
        <f t="shared" si="222"/>
        <v>354.07916717424513</v>
      </c>
      <c r="R1743" s="14" t="str">
        <f t="shared" si="223"/>
        <v>May</v>
      </c>
    </row>
    <row r="1744" spans="1:18" x14ac:dyDescent="0.3">
      <c r="A1744" t="s">
        <v>3352</v>
      </c>
      <c r="B1744" s="1">
        <v>45759</v>
      </c>
      <c r="C1744" t="s">
        <v>1237</v>
      </c>
      <c r="D1744" t="s">
        <v>1529</v>
      </c>
      <c r="E1744" t="s">
        <v>1564</v>
      </c>
      <c r="F1744">
        <v>2.51132888947908</v>
      </c>
      <c r="G1744" s="14">
        <v>452.95548331105601</v>
      </c>
      <c r="H1744" s="17">
        <v>0.157989382712971</v>
      </c>
      <c r="I1744" t="s">
        <v>1614</v>
      </c>
      <c r="J1744" s="14">
        <v>960.53213960747098</v>
      </c>
      <c r="K1744" s="14">
        <f t="shared" si="216"/>
        <v>94553.467128340912</v>
      </c>
      <c r="L1744" s="14">
        <f t="shared" si="217"/>
        <v>100</v>
      </c>
      <c r="M1744" s="14" t="str">
        <f t="shared" si="218"/>
        <v>12-04-2025</v>
      </c>
      <c r="N1744" s="14">
        <f t="shared" si="219"/>
        <v>0.15885492774844098</v>
      </c>
      <c r="O1744" s="20">
        <f t="shared" si="220"/>
        <v>2.5145403070787467</v>
      </c>
      <c r="P1744" s="14">
        <f t="shared" si="221"/>
        <v>446.32983235679541</v>
      </c>
      <c r="Q1744" s="14">
        <f t="shared" si="222"/>
        <v>354.03923529767974</v>
      </c>
      <c r="R1744" s="14" t="str">
        <f t="shared" si="223"/>
        <v>Apr</v>
      </c>
    </row>
    <row r="1745" spans="1:18" x14ac:dyDescent="0.3">
      <c r="A1745" t="s">
        <v>3353</v>
      </c>
      <c r="B1745" s="1">
        <v>45794</v>
      </c>
      <c r="C1745" t="s">
        <v>1295</v>
      </c>
      <c r="D1745" t="s">
        <v>1531</v>
      </c>
      <c r="E1745" t="s">
        <v>1595</v>
      </c>
      <c r="F1745">
        <v>2.5113539786790802</v>
      </c>
      <c r="G1745" s="14">
        <v>452.90372041297599</v>
      </c>
      <c r="H1745" s="17">
        <v>0.157996144783561</v>
      </c>
      <c r="I1745" t="s">
        <v>1614</v>
      </c>
      <c r="J1745" s="14">
        <v>960.42414314801897</v>
      </c>
      <c r="K1745" s="14">
        <f t="shared" si="216"/>
        <v>94553.467128340912</v>
      </c>
      <c r="L1745" s="14">
        <f t="shared" si="217"/>
        <v>100</v>
      </c>
      <c r="M1745" s="14" t="str">
        <f t="shared" si="218"/>
        <v>17-05-2025</v>
      </c>
      <c r="N1745" s="14">
        <f t="shared" si="219"/>
        <v>0.15885830878373583</v>
      </c>
      <c r="O1745" s="20">
        <f t="shared" si="220"/>
        <v>2.5145528516787454</v>
      </c>
      <c r="P1745" s="14">
        <f t="shared" si="221"/>
        <v>446.30395090775534</v>
      </c>
      <c r="Q1745" s="14">
        <f t="shared" si="222"/>
        <v>353.9993034211144</v>
      </c>
      <c r="R1745" s="14" t="str">
        <f t="shared" si="223"/>
        <v>May</v>
      </c>
    </row>
    <row r="1746" spans="1:18" x14ac:dyDescent="0.3">
      <c r="A1746" t="s">
        <v>3354</v>
      </c>
      <c r="B1746" s="1">
        <v>45764</v>
      </c>
      <c r="C1746" t="s">
        <v>1178</v>
      </c>
      <c r="D1746" t="s">
        <v>1473</v>
      </c>
      <c r="E1746" t="s">
        <v>1595</v>
      </c>
      <c r="F1746">
        <v>2.5113790678790799</v>
      </c>
      <c r="G1746" s="14">
        <v>452.85195751489499</v>
      </c>
      <c r="H1746" s="17">
        <v>0.15800290685415</v>
      </c>
      <c r="I1746" t="s">
        <v>1614</v>
      </c>
      <c r="J1746" s="14">
        <v>960.31614668856798</v>
      </c>
      <c r="K1746" s="14">
        <f t="shared" si="216"/>
        <v>94553.467128340912</v>
      </c>
      <c r="L1746" s="14">
        <f t="shared" si="217"/>
        <v>100</v>
      </c>
      <c r="M1746" s="14" t="str">
        <f t="shared" si="218"/>
        <v>17-04-2025</v>
      </c>
      <c r="N1746" s="14">
        <f t="shared" si="219"/>
        <v>0.15886168981903065</v>
      </c>
      <c r="O1746" s="20">
        <f t="shared" si="220"/>
        <v>2.5145653962787438</v>
      </c>
      <c r="P1746" s="14">
        <f t="shared" si="221"/>
        <v>446.27806945871527</v>
      </c>
      <c r="Q1746" s="14">
        <f t="shared" si="222"/>
        <v>353.95937154454907</v>
      </c>
      <c r="R1746" s="14" t="str">
        <f t="shared" si="223"/>
        <v>Apr</v>
      </c>
    </row>
    <row r="1747" spans="1:18" x14ac:dyDescent="0.3">
      <c r="A1747" t="s">
        <v>3355</v>
      </c>
      <c r="B1747" s="1">
        <v>45279</v>
      </c>
      <c r="C1747" t="s">
        <v>188</v>
      </c>
      <c r="D1747" t="s">
        <v>1479</v>
      </c>
      <c r="E1747" t="s">
        <v>1582</v>
      </c>
      <c r="F1747">
        <v>2.5114041570790699</v>
      </c>
      <c r="G1747" s="14">
        <v>452.80019461681502</v>
      </c>
      <c r="H1747" s="17">
        <v>0.15800966892474</v>
      </c>
      <c r="I1747" t="s">
        <v>1609</v>
      </c>
      <c r="J1747" s="14">
        <v>960.20815022911597</v>
      </c>
      <c r="K1747" s="14">
        <f t="shared" si="216"/>
        <v>94553.467128340912</v>
      </c>
      <c r="L1747" s="14">
        <f t="shared" si="217"/>
        <v>100</v>
      </c>
      <c r="M1747" s="14" t="str">
        <f t="shared" si="218"/>
        <v>19-12-2023</v>
      </c>
      <c r="N1747" s="14">
        <f t="shared" si="219"/>
        <v>0.15886507085432544</v>
      </c>
      <c r="O1747" s="20">
        <f t="shared" si="220"/>
        <v>2.514577940878743</v>
      </c>
      <c r="P1747" s="14">
        <f t="shared" si="221"/>
        <v>446.25218800967519</v>
      </c>
      <c r="Q1747" s="14">
        <f t="shared" si="222"/>
        <v>353.91943966798374</v>
      </c>
      <c r="R1747" s="14" t="str">
        <f t="shared" si="223"/>
        <v>Dec</v>
      </c>
    </row>
    <row r="1748" spans="1:18" x14ac:dyDescent="0.3">
      <c r="A1748" t="s">
        <v>3356</v>
      </c>
      <c r="B1748" s="1">
        <v>45602</v>
      </c>
      <c r="C1748" t="s">
        <v>926</v>
      </c>
      <c r="D1748" t="s">
        <v>1531</v>
      </c>
      <c r="E1748" t="s">
        <v>1551</v>
      </c>
      <c r="F1748">
        <v>2.5114292462790702</v>
      </c>
      <c r="G1748" s="14">
        <v>452.74843171873499</v>
      </c>
      <c r="H1748" s="17">
        <v>0.158016430995329</v>
      </c>
      <c r="I1748" t="s">
        <v>1611</v>
      </c>
      <c r="J1748" s="14">
        <v>960.10015376966396</v>
      </c>
      <c r="K1748" s="14">
        <f t="shared" si="216"/>
        <v>93593.2589781118</v>
      </c>
      <c r="L1748" s="14">
        <f t="shared" si="217"/>
        <v>99</v>
      </c>
      <c r="M1748" s="14" t="str">
        <f t="shared" si="218"/>
        <v>06-11-2024</v>
      </c>
      <c r="N1748" s="14">
        <f t="shared" si="219"/>
        <v>0.15886845188962023</v>
      </c>
      <c r="O1748" s="20">
        <f t="shared" si="220"/>
        <v>2.5145904854787422</v>
      </c>
      <c r="P1748" s="14">
        <f t="shared" si="221"/>
        <v>446.22630656063512</v>
      </c>
      <c r="Q1748" s="14">
        <f t="shared" si="222"/>
        <v>353.87950779141835</v>
      </c>
      <c r="R1748" s="14" t="str">
        <f t="shared" si="223"/>
        <v>Nov</v>
      </c>
    </row>
    <row r="1749" spans="1:18" x14ac:dyDescent="0.3">
      <c r="A1749" t="s">
        <v>3357</v>
      </c>
      <c r="B1749" s="1">
        <v>45793</v>
      </c>
      <c r="C1749" t="s">
        <v>585</v>
      </c>
      <c r="D1749" t="s">
        <v>1407</v>
      </c>
      <c r="E1749" t="s">
        <v>1598</v>
      </c>
      <c r="F1749">
        <v>2.5114543354790699</v>
      </c>
      <c r="G1749" s="14">
        <v>452.69666882065502</v>
      </c>
      <c r="H1749" s="17">
        <v>0.158023193065919</v>
      </c>
      <c r="I1749" t="s">
        <v>1609</v>
      </c>
      <c r="J1749" s="14">
        <v>959.99215731021195</v>
      </c>
      <c r="K1749" s="14">
        <f t="shared" si="216"/>
        <v>93593.2589781118</v>
      </c>
      <c r="L1749" s="14">
        <f t="shared" si="217"/>
        <v>99</v>
      </c>
      <c r="M1749" s="14" t="str">
        <f t="shared" si="218"/>
        <v>16-05-2025</v>
      </c>
      <c r="N1749" s="14">
        <f t="shared" si="219"/>
        <v>0.15887183292491505</v>
      </c>
      <c r="O1749" s="20">
        <f t="shared" si="220"/>
        <v>2.5146030300787405</v>
      </c>
      <c r="P1749" s="14">
        <f t="shared" si="221"/>
        <v>446.200425111595</v>
      </c>
      <c r="Q1749" s="14">
        <f t="shared" si="222"/>
        <v>353.83957591485296</v>
      </c>
      <c r="R1749" s="14" t="str">
        <f t="shared" si="223"/>
        <v>May</v>
      </c>
    </row>
    <row r="1750" spans="1:18" x14ac:dyDescent="0.3">
      <c r="A1750" t="s">
        <v>3358</v>
      </c>
      <c r="B1750" s="1">
        <v>45778</v>
      </c>
      <c r="C1750" t="s">
        <v>1296</v>
      </c>
      <c r="D1750" t="s">
        <v>1479</v>
      </c>
      <c r="E1750" t="s">
        <v>1554</v>
      </c>
      <c r="F1750">
        <v>2.5114794246790701</v>
      </c>
      <c r="G1750" s="14">
        <v>452.64490592257499</v>
      </c>
      <c r="H1750" s="17">
        <v>0.158029955136509</v>
      </c>
      <c r="I1750" t="s">
        <v>1614</v>
      </c>
      <c r="J1750" s="14">
        <v>959.88416085076096</v>
      </c>
      <c r="K1750" s="14">
        <f t="shared" si="216"/>
        <v>92633.266820801582</v>
      </c>
      <c r="L1750" s="14">
        <f t="shared" si="217"/>
        <v>98</v>
      </c>
      <c r="M1750" s="14" t="str">
        <f t="shared" si="218"/>
        <v>01-05-2025</v>
      </c>
      <c r="N1750" s="14">
        <f t="shared" si="219"/>
        <v>0.15887521396020984</v>
      </c>
      <c r="O1750" s="20">
        <f t="shared" si="220"/>
        <v>2.5146155746787393</v>
      </c>
      <c r="P1750" s="14">
        <f t="shared" si="221"/>
        <v>446.17454366255492</v>
      </c>
      <c r="Q1750" s="14">
        <f t="shared" si="222"/>
        <v>353.79964403828785</v>
      </c>
      <c r="R1750" s="14" t="str">
        <f t="shared" si="223"/>
        <v>May</v>
      </c>
    </row>
    <row r="1751" spans="1:18" x14ac:dyDescent="0.3">
      <c r="A1751" t="s">
        <v>3359</v>
      </c>
      <c r="B1751" s="1">
        <v>45325</v>
      </c>
      <c r="C1751" t="s">
        <v>1157</v>
      </c>
      <c r="D1751" t="s">
        <v>1340</v>
      </c>
      <c r="E1751" t="s">
        <v>1558</v>
      </c>
      <c r="F1751">
        <v>2.5115045138790602</v>
      </c>
      <c r="G1751" s="14">
        <v>452.59314302449502</v>
      </c>
      <c r="H1751" s="17">
        <v>0.158036717207098</v>
      </c>
      <c r="I1751" t="s">
        <v>1609</v>
      </c>
      <c r="J1751" s="14">
        <v>959.77616439130895</v>
      </c>
      <c r="K1751" s="14">
        <f t="shared" si="216"/>
        <v>92633.266820801582</v>
      </c>
      <c r="L1751" s="14">
        <f t="shared" si="217"/>
        <v>98</v>
      </c>
      <c r="M1751" s="14" t="str">
        <f t="shared" si="218"/>
        <v>03-02-2024</v>
      </c>
      <c r="N1751" s="14">
        <f t="shared" si="219"/>
        <v>0.15887859499550464</v>
      </c>
      <c r="O1751" s="20">
        <f t="shared" si="220"/>
        <v>2.5146281192787376</v>
      </c>
      <c r="P1751" s="14">
        <f t="shared" si="221"/>
        <v>446.14866221351485</v>
      </c>
      <c r="Q1751" s="14">
        <f t="shared" si="222"/>
        <v>353.75971216172252</v>
      </c>
      <c r="R1751" s="14" t="str">
        <f t="shared" si="223"/>
        <v>Feb</v>
      </c>
    </row>
    <row r="1752" spans="1:18" x14ac:dyDescent="0.3">
      <c r="A1752" t="s">
        <v>3360</v>
      </c>
      <c r="B1752" s="1">
        <v>45875</v>
      </c>
      <c r="C1752" t="s">
        <v>1283</v>
      </c>
      <c r="D1752" t="s">
        <v>1497</v>
      </c>
      <c r="E1752" t="s">
        <v>1574</v>
      </c>
      <c r="F1752">
        <v>2.5115296030790599</v>
      </c>
      <c r="G1752" s="14">
        <v>452.54138012641403</v>
      </c>
      <c r="H1752" s="17">
        <v>0.158043479277688</v>
      </c>
      <c r="I1752" t="s">
        <v>1609</v>
      </c>
      <c r="J1752" s="14">
        <v>959.66816793185706</v>
      </c>
      <c r="K1752" s="14">
        <f t="shared" si="216"/>
        <v>91673.490656410271</v>
      </c>
      <c r="L1752" s="14">
        <f t="shared" si="217"/>
        <v>97</v>
      </c>
      <c r="M1752" s="14" t="str">
        <f t="shared" si="218"/>
        <v>06-08-2025</v>
      </c>
      <c r="N1752" s="14">
        <f t="shared" si="219"/>
        <v>0.15888197603079945</v>
      </c>
      <c r="O1752" s="20">
        <f t="shared" si="220"/>
        <v>2.5146406638787364</v>
      </c>
      <c r="P1752" s="14">
        <f t="shared" si="221"/>
        <v>446.12278076447484</v>
      </c>
      <c r="Q1752" s="14">
        <f t="shared" si="222"/>
        <v>353.71978028515696</v>
      </c>
      <c r="R1752" s="14" t="str">
        <f t="shared" si="223"/>
        <v>Aug</v>
      </c>
    </row>
    <row r="1753" spans="1:18" x14ac:dyDescent="0.3">
      <c r="A1753" t="s">
        <v>3361</v>
      </c>
      <c r="B1753" s="1">
        <v>45320</v>
      </c>
      <c r="C1753" t="s">
        <v>458</v>
      </c>
      <c r="D1753" t="s">
        <v>1347</v>
      </c>
      <c r="E1753" t="s">
        <v>1542</v>
      </c>
      <c r="F1753">
        <v>2.5115546922790601</v>
      </c>
      <c r="G1753" s="14">
        <v>452.489617228334</v>
      </c>
      <c r="H1753" s="17">
        <v>0.158050241348277</v>
      </c>
      <c r="I1753" t="s">
        <v>1611</v>
      </c>
      <c r="J1753" s="14">
        <v>959.56017147240505</v>
      </c>
      <c r="K1753" s="14">
        <f t="shared" si="216"/>
        <v>90713.822488478414</v>
      </c>
      <c r="L1753" s="14">
        <f t="shared" si="217"/>
        <v>96</v>
      </c>
      <c r="M1753" s="14" t="str">
        <f t="shared" si="218"/>
        <v>29-01-2024</v>
      </c>
      <c r="N1753" s="14">
        <f t="shared" si="219"/>
        <v>0.15888535706609427</v>
      </c>
      <c r="O1753" s="20">
        <f t="shared" si="220"/>
        <v>2.5146532084787347</v>
      </c>
      <c r="P1753" s="14">
        <f t="shared" si="221"/>
        <v>446.09689931543471</v>
      </c>
      <c r="Q1753" s="14">
        <f t="shared" si="222"/>
        <v>353.67984840859162</v>
      </c>
      <c r="R1753" s="14" t="str">
        <f t="shared" si="223"/>
        <v>Jan</v>
      </c>
    </row>
    <row r="1754" spans="1:18" x14ac:dyDescent="0.3">
      <c r="A1754" t="s">
        <v>3362</v>
      </c>
      <c r="B1754" s="1">
        <v>45870</v>
      </c>
      <c r="C1754" t="s">
        <v>1289</v>
      </c>
      <c r="D1754" t="s">
        <v>1371</v>
      </c>
      <c r="E1754" t="s">
        <v>1586</v>
      </c>
      <c r="F1754">
        <v>2.5115797814790501</v>
      </c>
      <c r="G1754" s="14">
        <v>452.43785433025403</v>
      </c>
      <c r="H1754" s="17">
        <v>0.158057003418867</v>
      </c>
      <c r="I1754" t="s">
        <v>1614</v>
      </c>
      <c r="J1754" s="14">
        <v>959.45217501295394</v>
      </c>
      <c r="K1754" s="14">
        <f t="shared" si="216"/>
        <v>90713.822488478414</v>
      </c>
      <c r="L1754" s="14">
        <f t="shared" si="217"/>
        <v>96</v>
      </c>
      <c r="M1754" s="14" t="str">
        <f t="shared" si="218"/>
        <v>01-08-2025</v>
      </c>
      <c r="N1754" s="14">
        <f t="shared" si="219"/>
        <v>0.15888873810138909</v>
      </c>
      <c r="O1754" s="20">
        <f t="shared" si="220"/>
        <v>2.5146657530787331</v>
      </c>
      <c r="P1754" s="14">
        <f t="shared" si="221"/>
        <v>446.07101786639464</v>
      </c>
      <c r="Q1754" s="14">
        <f t="shared" si="222"/>
        <v>353.63991653202646</v>
      </c>
      <c r="R1754" s="14" t="str">
        <f t="shared" si="223"/>
        <v>Aug</v>
      </c>
    </row>
    <row r="1755" spans="1:18" x14ac:dyDescent="0.3">
      <c r="A1755" t="s">
        <v>3363</v>
      </c>
      <c r="B1755" s="1">
        <v>45577</v>
      </c>
      <c r="C1755" t="s">
        <v>678</v>
      </c>
      <c r="D1755" t="s">
        <v>1415</v>
      </c>
      <c r="E1755" t="s">
        <v>1595</v>
      </c>
      <c r="F1755">
        <v>2.5116048706790499</v>
      </c>
      <c r="G1755" s="14">
        <v>452.386091432174</v>
      </c>
      <c r="H1755" s="17">
        <v>0.158063765489457</v>
      </c>
      <c r="I1755" t="s">
        <v>1614</v>
      </c>
      <c r="J1755" s="14">
        <v>959.34417855350205</v>
      </c>
      <c r="K1755" s="14">
        <f t="shared" si="216"/>
        <v>90713.822488478414</v>
      </c>
      <c r="L1755" s="14">
        <f t="shared" si="217"/>
        <v>96</v>
      </c>
      <c r="M1755" s="14" t="str">
        <f t="shared" si="218"/>
        <v>12-10-2024</v>
      </c>
      <c r="N1755" s="14">
        <f t="shared" si="219"/>
        <v>0.15889211913668388</v>
      </c>
      <c r="O1755" s="20">
        <f t="shared" si="220"/>
        <v>2.5146782976787319</v>
      </c>
      <c r="P1755" s="14">
        <f t="shared" si="221"/>
        <v>446.04513641735451</v>
      </c>
      <c r="Q1755" s="14">
        <f t="shared" si="222"/>
        <v>353.59998465546113</v>
      </c>
      <c r="R1755" s="14" t="str">
        <f t="shared" si="223"/>
        <v>Oct</v>
      </c>
    </row>
    <row r="1756" spans="1:18" x14ac:dyDescent="0.3">
      <c r="A1756" t="s">
        <v>3364</v>
      </c>
      <c r="B1756" s="1">
        <v>45745</v>
      </c>
      <c r="C1756" t="s">
        <v>547</v>
      </c>
      <c r="D1756" t="s">
        <v>1417</v>
      </c>
      <c r="E1756" t="s">
        <v>1537</v>
      </c>
      <c r="F1756">
        <v>2.5116299598790501</v>
      </c>
      <c r="G1756" s="14">
        <v>452.33432853409403</v>
      </c>
      <c r="H1756" s="17">
        <v>0.158070527560046</v>
      </c>
      <c r="I1756" t="s">
        <v>1614</v>
      </c>
      <c r="J1756" s="14">
        <v>959.23618209405004</v>
      </c>
      <c r="K1756" s="14">
        <f t="shared" si="216"/>
        <v>90713.822488478414</v>
      </c>
      <c r="L1756" s="14">
        <f t="shared" si="217"/>
        <v>96</v>
      </c>
      <c r="M1756" s="14" t="str">
        <f t="shared" si="218"/>
        <v>29-03-2025</v>
      </c>
      <c r="N1756" s="14">
        <f t="shared" si="219"/>
        <v>0.1588955001719787</v>
      </c>
      <c r="O1756" s="20">
        <f t="shared" si="220"/>
        <v>2.5146908422787306</v>
      </c>
      <c r="P1756" s="14">
        <f t="shared" si="221"/>
        <v>446.0192549683145</v>
      </c>
      <c r="Q1756" s="14">
        <f t="shared" si="222"/>
        <v>353.56005277889579</v>
      </c>
      <c r="R1756" s="14" t="str">
        <f t="shared" si="223"/>
        <v>Mar</v>
      </c>
    </row>
    <row r="1757" spans="1:18" x14ac:dyDescent="0.3">
      <c r="A1757" t="s">
        <v>3365</v>
      </c>
      <c r="B1757" s="1">
        <v>45772</v>
      </c>
      <c r="C1757" t="s">
        <v>1026</v>
      </c>
      <c r="D1757" t="s">
        <v>1471</v>
      </c>
      <c r="E1757" t="s">
        <v>1567</v>
      </c>
      <c r="F1757">
        <v>2.5116550490790499</v>
      </c>
      <c r="G1757" s="14">
        <v>452.282565636014</v>
      </c>
      <c r="H1757" s="17">
        <v>0.158077289630636</v>
      </c>
      <c r="I1757" t="s">
        <v>1609</v>
      </c>
      <c r="J1757" s="14">
        <v>959.12818563459905</v>
      </c>
      <c r="K1757" s="14">
        <f t="shared" si="216"/>
        <v>90713.822488478414</v>
      </c>
      <c r="L1757" s="14">
        <f t="shared" si="217"/>
        <v>96</v>
      </c>
      <c r="M1757" s="14" t="str">
        <f t="shared" si="218"/>
        <v>25-04-2025</v>
      </c>
      <c r="N1757" s="14">
        <f t="shared" si="219"/>
        <v>0.1588988812072735</v>
      </c>
      <c r="O1757" s="20">
        <f t="shared" si="220"/>
        <v>2.5147033868787294</v>
      </c>
      <c r="P1757" s="14">
        <f t="shared" si="221"/>
        <v>445.99337351927437</v>
      </c>
      <c r="Q1757" s="14">
        <f t="shared" si="222"/>
        <v>353.52012090233069</v>
      </c>
      <c r="R1757" s="14" t="str">
        <f t="shared" si="223"/>
        <v>Apr</v>
      </c>
    </row>
    <row r="1758" spans="1:18" x14ac:dyDescent="0.3">
      <c r="A1758" t="s">
        <v>3366</v>
      </c>
      <c r="B1758" s="1">
        <v>45299</v>
      </c>
      <c r="C1758" t="s">
        <v>198</v>
      </c>
      <c r="D1758" t="s">
        <v>1435</v>
      </c>
      <c r="E1758" t="s">
        <v>1589</v>
      </c>
      <c r="F1758">
        <v>2.5116801382790399</v>
      </c>
      <c r="G1758" s="14">
        <v>452.23080273793403</v>
      </c>
      <c r="H1758" s="17">
        <v>0.158084051701225</v>
      </c>
      <c r="I1758" t="s">
        <v>1614</v>
      </c>
      <c r="J1758" s="14">
        <v>959.02018917514704</v>
      </c>
      <c r="K1758" s="14">
        <f t="shared" si="216"/>
        <v>89754.694302843811</v>
      </c>
      <c r="L1758" s="14">
        <f t="shared" si="217"/>
        <v>95</v>
      </c>
      <c r="M1758" s="14" t="str">
        <f t="shared" si="218"/>
        <v>08-01-2024</v>
      </c>
      <c r="N1758" s="14">
        <f t="shared" si="219"/>
        <v>0.15890226224256832</v>
      </c>
      <c r="O1758" s="20">
        <f t="shared" si="220"/>
        <v>2.5147159314787277</v>
      </c>
      <c r="P1758" s="14">
        <f t="shared" si="221"/>
        <v>445.96749207023436</v>
      </c>
      <c r="Q1758" s="14">
        <f t="shared" si="222"/>
        <v>353.4801890257653</v>
      </c>
      <c r="R1758" s="14" t="str">
        <f t="shared" si="223"/>
        <v>Jan</v>
      </c>
    </row>
    <row r="1759" spans="1:18" x14ac:dyDescent="0.3">
      <c r="A1759" t="s">
        <v>3367</v>
      </c>
      <c r="B1759" s="1">
        <v>45447</v>
      </c>
      <c r="C1759" t="s">
        <v>387</v>
      </c>
      <c r="D1759" t="s">
        <v>1347</v>
      </c>
      <c r="E1759" t="s">
        <v>1592</v>
      </c>
      <c r="F1759">
        <v>2.5117052274790401</v>
      </c>
      <c r="G1759" s="14">
        <v>452.17903983985298</v>
      </c>
      <c r="H1759" s="17">
        <v>0.158090813771815</v>
      </c>
      <c r="I1759" t="s">
        <v>1614</v>
      </c>
      <c r="J1759" s="14">
        <v>958.91219271569503</v>
      </c>
      <c r="K1759" s="14">
        <f t="shared" si="216"/>
        <v>89754.694302843811</v>
      </c>
      <c r="L1759" s="14">
        <f t="shared" si="217"/>
        <v>95</v>
      </c>
      <c r="M1759" s="14" t="str">
        <f t="shared" si="218"/>
        <v>04-06-2024</v>
      </c>
      <c r="N1759" s="14">
        <f t="shared" si="219"/>
        <v>0.15890564327786311</v>
      </c>
      <c r="O1759" s="20">
        <f t="shared" si="220"/>
        <v>2.5147284760787265</v>
      </c>
      <c r="P1759" s="14">
        <f t="shared" si="221"/>
        <v>445.94161062119423</v>
      </c>
      <c r="Q1759" s="14">
        <f t="shared" si="222"/>
        <v>353.44025714919974</v>
      </c>
      <c r="R1759" s="14" t="str">
        <f t="shared" si="223"/>
        <v>Jun</v>
      </c>
    </row>
    <row r="1760" spans="1:18" x14ac:dyDescent="0.3">
      <c r="A1760" t="s">
        <v>3368</v>
      </c>
      <c r="B1760" s="1">
        <v>45717</v>
      </c>
      <c r="C1760" t="s">
        <v>347</v>
      </c>
      <c r="D1760" t="s">
        <v>1369</v>
      </c>
      <c r="E1760" t="s">
        <v>1571</v>
      </c>
      <c r="F1760">
        <v>2.5117303166790399</v>
      </c>
      <c r="G1760" s="14">
        <v>452.127276941773</v>
      </c>
      <c r="H1760" s="17">
        <v>0.158097575842405</v>
      </c>
      <c r="I1760" t="s">
        <v>1611</v>
      </c>
      <c r="J1760" s="14">
        <v>958.80419625624302</v>
      </c>
      <c r="K1760" s="14">
        <f t="shared" si="216"/>
        <v>89754.694302843811</v>
      </c>
      <c r="L1760" s="14">
        <f t="shared" si="217"/>
        <v>95</v>
      </c>
      <c r="M1760" s="14" t="str">
        <f t="shared" si="218"/>
        <v>01-03-2025</v>
      </c>
      <c r="N1760" s="14">
        <f t="shared" si="219"/>
        <v>0.15890902431315793</v>
      </c>
      <c r="O1760" s="20">
        <f t="shared" si="220"/>
        <v>2.5147410206787248</v>
      </c>
      <c r="P1760" s="14">
        <f t="shared" si="221"/>
        <v>445.91572917215416</v>
      </c>
      <c r="Q1760" s="14">
        <f t="shared" si="222"/>
        <v>353.4003252726344</v>
      </c>
      <c r="R1760" s="14" t="str">
        <f t="shared" si="223"/>
        <v>Mar</v>
      </c>
    </row>
    <row r="1761" spans="1:18" x14ac:dyDescent="0.3">
      <c r="A1761" t="s">
        <v>3369</v>
      </c>
      <c r="B1761" s="1">
        <v>45213</v>
      </c>
      <c r="C1761" t="s">
        <v>755</v>
      </c>
      <c r="D1761" t="s">
        <v>1517</v>
      </c>
      <c r="E1761" t="s">
        <v>1577</v>
      </c>
      <c r="F1761">
        <v>2.5117554058790401</v>
      </c>
      <c r="G1761" s="14">
        <v>452.07551404369298</v>
      </c>
      <c r="H1761" s="17">
        <v>0.158104337912994</v>
      </c>
      <c r="I1761" t="s">
        <v>1609</v>
      </c>
      <c r="J1761" s="14">
        <v>958.69619979679203</v>
      </c>
      <c r="K1761" s="14">
        <f t="shared" si="216"/>
        <v>89754.694302843811</v>
      </c>
      <c r="L1761" s="14">
        <f t="shared" si="217"/>
        <v>95</v>
      </c>
      <c r="M1761" s="14" t="str">
        <f t="shared" si="218"/>
        <v>14-10-2023</v>
      </c>
      <c r="N1761" s="14">
        <f t="shared" si="219"/>
        <v>0.15891240534845272</v>
      </c>
      <c r="O1761" s="20">
        <f t="shared" si="220"/>
        <v>2.5147535652787236</v>
      </c>
      <c r="P1761" s="14">
        <f t="shared" si="221"/>
        <v>445.88984772311409</v>
      </c>
      <c r="Q1761" s="14">
        <f t="shared" si="222"/>
        <v>353.3603933960693</v>
      </c>
      <c r="R1761" s="14" t="str">
        <f t="shared" si="223"/>
        <v>Oct</v>
      </c>
    </row>
    <row r="1762" spans="1:18" x14ac:dyDescent="0.3">
      <c r="A1762" t="s">
        <v>3370</v>
      </c>
      <c r="B1762" s="1">
        <v>45837</v>
      </c>
      <c r="C1762" t="s">
        <v>1190</v>
      </c>
      <c r="D1762" t="s">
        <v>1417</v>
      </c>
      <c r="E1762" t="s">
        <v>1595</v>
      </c>
      <c r="F1762">
        <v>2.5117804950790301</v>
      </c>
      <c r="G1762" s="14">
        <v>452.02375114561301</v>
      </c>
      <c r="H1762" s="17">
        <v>0.158111099983584</v>
      </c>
      <c r="I1762" t="s">
        <v>1614</v>
      </c>
      <c r="J1762" s="14">
        <v>958.58820333734002</v>
      </c>
      <c r="K1762" s="14">
        <f t="shared" si="216"/>
        <v>88795.998103047008</v>
      </c>
      <c r="L1762" s="14">
        <f t="shared" si="217"/>
        <v>94</v>
      </c>
      <c r="M1762" s="14" t="str">
        <f t="shared" si="218"/>
        <v>29-06-2025</v>
      </c>
      <c r="N1762" s="14">
        <f t="shared" si="219"/>
        <v>0.15891578638374756</v>
      </c>
      <c r="O1762" s="20">
        <f t="shared" si="220"/>
        <v>2.5147661098787224</v>
      </c>
      <c r="P1762" s="14">
        <f t="shared" si="221"/>
        <v>445.86396627407402</v>
      </c>
      <c r="Q1762" s="14">
        <f t="shared" si="222"/>
        <v>353.32046151950391</v>
      </c>
      <c r="R1762" s="14" t="str">
        <f t="shared" si="223"/>
        <v>Jun</v>
      </c>
    </row>
    <row r="1763" spans="1:18" x14ac:dyDescent="0.3">
      <c r="A1763" t="s">
        <v>3371</v>
      </c>
      <c r="B1763" s="1">
        <v>45277</v>
      </c>
      <c r="C1763" t="s">
        <v>1089</v>
      </c>
      <c r="D1763" t="s">
        <v>1479</v>
      </c>
      <c r="E1763" t="s">
        <v>1564</v>
      </c>
      <c r="F1763">
        <v>2.5118055842790299</v>
      </c>
      <c r="G1763" s="14">
        <v>451.97198824753298</v>
      </c>
      <c r="H1763" s="17">
        <v>0.158117862054174</v>
      </c>
      <c r="I1763" t="s">
        <v>1614</v>
      </c>
      <c r="J1763" s="14">
        <v>958.48020687788801</v>
      </c>
      <c r="K1763" s="14">
        <f t="shared" si="216"/>
        <v>88795.998103047008</v>
      </c>
      <c r="L1763" s="14">
        <f t="shared" si="217"/>
        <v>94</v>
      </c>
      <c r="M1763" s="14" t="str">
        <f t="shared" si="218"/>
        <v>17-12-2023</v>
      </c>
      <c r="N1763" s="14">
        <f t="shared" si="219"/>
        <v>0.15891916741904236</v>
      </c>
      <c r="O1763" s="20">
        <f t="shared" si="220"/>
        <v>2.5147786544787207</v>
      </c>
      <c r="P1763" s="14">
        <f t="shared" si="221"/>
        <v>445.83808482503395</v>
      </c>
      <c r="Q1763" s="14">
        <f t="shared" si="222"/>
        <v>353.28052964293852</v>
      </c>
      <c r="R1763" s="14" t="str">
        <f t="shared" si="223"/>
        <v>Dec</v>
      </c>
    </row>
    <row r="1764" spans="1:18" x14ac:dyDescent="0.3">
      <c r="A1764" t="s">
        <v>3372</v>
      </c>
      <c r="B1764" s="1">
        <v>45248</v>
      </c>
      <c r="C1764" t="s">
        <v>1065</v>
      </c>
      <c r="D1764" t="s">
        <v>1334</v>
      </c>
      <c r="E1764" t="s">
        <v>1554</v>
      </c>
      <c r="F1764">
        <v>2.5118306734790301</v>
      </c>
      <c r="G1764" s="14">
        <v>451.92022534945301</v>
      </c>
      <c r="H1764" s="17">
        <v>0.158124624124763</v>
      </c>
      <c r="I1764" t="s">
        <v>1611</v>
      </c>
      <c r="J1764" s="14">
        <v>958.372210418436</v>
      </c>
      <c r="K1764" s="14">
        <f t="shared" si="216"/>
        <v>88795.998103047008</v>
      </c>
      <c r="L1764" s="14">
        <f t="shared" si="217"/>
        <v>94</v>
      </c>
      <c r="M1764" s="14" t="str">
        <f t="shared" si="218"/>
        <v>18-11-2023</v>
      </c>
      <c r="N1764" s="14">
        <f t="shared" si="219"/>
        <v>0.15892254845433715</v>
      </c>
      <c r="O1764" s="20">
        <f t="shared" si="220"/>
        <v>2.5147911990787195</v>
      </c>
      <c r="P1764" s="14">
        <f t="shared" si="221"/>
        <v>445.81220337599393</v>
      </c>
      <c r="Q1764" s="14">
        <f t="shared" si="222"/>
        <v>353.24059776637318</v>
      </c>
      <c r="R1764" s="14" t="str">
        <f t="shared" si="223"/>
        <v>Nov</v>
      </c>
    </row>
    <row r="1765" spans="1:18" x14ac:dyDescent="0.3">
      <c r="A1765" t="s">
        <v>3373</v>
      </c>
      <c r="B1765" s="1">
        <v>45741</v>
      </c>
      <c r="C1765" t="s">
        <v>1047</v>
      </c>
      <c r="D1765" t="s">
        <v>1515</v>
      </c>
      <c r="E1765" t="s">
        <v>1551</v>
      </c>
      <c r="F1765">
        <v>2.5118557626790299</v>
      </c>
      <c r="G1765" s="14">
        <v>451.86846245137201</v>
      </c>
      <c r="H1765" s="17">
        <v>0.158131386195353</v>
      </c>
      <c r="I1765" t="s">
        <v>1611</v>
      </c>
      <c r="J1765" s="14">
        <v>958.26421395898501</v>
      </c>
      <c r="K1765" s="14">
        <f t="shared" si="216"/>
        <v>88795.998103047008</v>
      </c>
      <c r="L1765" s="14">
        <f t="shared" si="217"/>
        <v>94</v>
      </c>
      <c r="M1765" s="14" t="str">
        <f t="shared" si="218"/>
        <v>25-03-2025</v>
      </c>
      <c r="N1765" s="14">
        <f t="shared" si="219"/>
        <v>0.15892592948963194</v>
      </c>
      <c r="O1765" s="20">
        <f t="shared" si="220"/>
        <v>2.5148037436787183</v>
      </c>
      <c r="P1765" s="14">
        <f t="shared" si="221"/>
        <v>445.7863219269538</v>
      </c>
      <c r="Q1765" s="14">
        <f t="shared" si="222"/>
        <v>353.20066588980785</v>
      </c>
      <c r="R1765" s="14" t="str">
        <f t="shared" si="223"/>
        <v>Mar</v>
      </c>
    </row>
    <row r="1766" spans="1:18" x14ac:dyDescent="0.3">
      <c r="A1766" t="s">
        <v>3374</v>
      </c>
      <c r="B1766" s="1">
        <v>45778</v>
      </c>
      <c r="C1766" t="s">
        <v>966</v>
      </c>
      <c r="D1766" t="s">
        <v>1340</v>
      </c>
      <c r="E1766" t="s">
        <v>1574</v>
      </c>
      <c r="F1766">
        <v>2.5118808518790199</v>
      </c>
      <c r="G1766" s="14">
        <v>451.81669955329198</v>
      </c>
      <c r="H1766" s="17">
        <v>0.158138148265942</v>
      </c>
      <c r="I1766" t="s">
        <v>1614</v>
      </c>
      <c r="J1766" s="14">
        <v>958.156217499533</v>
      </c>
      <c r="K1766" s="14">
        <f t="shared" si="216"/>
        <v>88795.998103047008</v>
      </c>
      <c r="L1766" s="14">
        <f t="shared" si="217"/>
        <v>94</v>
      </c>
      <c r="M1766" s="14" t="str">
        <f t="shared" si="218"/>
        <v>01-05-2025</v>
      </c>
      <c r="N1766" s="14">
        <f t="shared" si="219"/>
        <v>0.15892931052492676</v>
      </c>
      <c r="O1766" s="20">
        <f t="shared" si="220"/>
        <v>2.5148162882787166</v>
      </c>
      <c r="P1766" s="14">
        <f t="shared" si="221"/>
        <v>445.76044047791368</v>
      </c>
      <c r="Q1766" s="14">
        <f t="shared" si="222"/>
        <v>353.16073401324252</v>
      </c>
      <c r="R1766" s="14" t="str">
        <f t="shared" si="223"/>
        <v>May</v>
      </c>
    </row>
    <row r="1767" spans="1:18" x14ac:dyDescent="0.3">
      <c r="A1767" t="s">
        <v>3375</v>
      </c>
      <c r="B1767" s="1">
        <v>45361</v>
      </c>
      <c r="C1767" t="s">
        <v>932</v>
      </c>
      <c r="D1767" t="s">
        <v>1417</v>
      </c>
      <c r="E1767" t="s">
        <v>1577</v>
      </c>
      <c r="F1767">
        <v>2.5119059410790201</v>
      </c>
      <c r="G1767" s="14">
        <v>451.76493665521201</v>
      </c>
      <c r="H1767" s="17">
        <v>0.158144910336532</v>
      </c>
      <c r="I1767" t="s">
        <v>1609</v>
      </c>
      <c r="J1767" s="14">
        <v>958.04822104008099</v>
      </c>
      <c r="K1767" s="14">
        <f t="shared" si="216"/>
        <v>88795.998103047008</v>
      </c>
      <c r="L1767" s="14">
        <f t="shared" si="217"/>
        <v>94</v>
      </c>
      <c r="M1767" s="14" t="str">
        <f t="shared" si="218"/>
        <v>10-03-2024</v>
      </c>
      <c r="N1767" s="14">
        <f t="shared" si="219"/>
        <v>0.15893269156022158</v>
      </c>
      <c r="O1767" s="20">
        <f t="shared" si="220"/>
        <v>2.5148288328787158</v>
      </c>
      <c r="P1767" s="14">
        <f t="shared" si="221"/>
        <v>445.73455902887366</v>
      </c>
      <c r="Q1767" s="14">
        <f t="shared" si="222"/>
        <v>353.12080213667713</v>
      </c>
      <c r="R1767" s="14" t="str">
        <f t="shared" si="223"/>
        <v>Mar</v>
      </c>
    </row>
    <row r="1768" spans="1:18" x14ac:dyDescent="0.3">
      <c r="A1768" t="s">
        <v>3376</v>
      </c>
      <c r="B1768" s="1">
        <v>45414</v>
      </c>
      <c r="C1768" t="s">
        <v>875</v>
      </c>
      <c r="D1768" t="s">
        <v>1501</v>
      </c>
      <c r="E1768" t="s">
        <v>1567</v>
      </c>
      <c r="F1768">
        <v>2.5119310302790199</v>
      </c>
      <c r="G1768" s="14">
        <v>451.71317375713198</v>
      </c>
      <c r="H1768" s="17">
        <v>0.158151672407122</v>
      </c>
      <c r="I1768" t="s">
        <v>1614</v>
      </c>
      <c r="J1768" s="14">
        <v>957.94022458062898</v>
      </c>
      <c r="K1768" s="14">
        <f t="shared" si="216"/>
        <v>87837.949882006928</v>
      </c>
      <c r="L1768" s="14">
        <f t="shared" si="217"/>
        <v>93</v>
      </c>
      <c r="M1768" s="14" t="str">
        <f t="shared" si="218"/>
        <v>02-05-2024</v>
      </c>
      <c r="N1768" s="14">
        <f t="shared" si="219"/>
        <v>0.15893607259551637</v>
      </c>
      <c r="O1768" s="20">
        <f t="shared" si="220"/>
        <v>2.5148413774787142</v>
      </c>
      <c r="P1768" s="14">
        <f t="shared" si="221"/>
        <v>445.70867757983359</v>
      </c>
      <c r="Q1768" s="14">
        <f t="shared" si="222"/>
        <v>353.08087026011179</v>
      </c>
      <c r="R1768" s="14" t="str">
        <f t="shared" si="223"/>
        <v>May</v>
      </c>
    </row>
    <row r="1769" spans="1:18" x14ac:dyDescent="0.3">
      <c r="A1769" t="s">
        <v>3377</v>
      </c>
      <c r="B1769" s="1">
        <v>45734</v>
      </c>
      <c r="C1769" t="s">
        <v>568</v>
      </c>
      <c r="D1769" t="s">
        <v>1509</v>
      </c>
      <c r="E1769" t="s">
        <v>1586</v>
      </c>
      <c r="F1769">
        <v>2.5119561194790201</v>
      </c>
      <c r="G1769" s="14">
        <v>451.66141085905201</v>
      </c>
      <c r="H1769" s="17">
        <v>0.158158434477711</v>
      </c>
      <c r="I1769" t="s">
        <v>1609</v>
      </c>
      <c r="J1769" s="14">
        <v>957.83222812117799</v>
      </c>
      <c r="K1769" s="14">
        <f t="shared" si="216"/>
        <v>87837.949882006928</v>
      </c>
      <c r="L1769" s="14">
        <f t="shared" si="217"/>
        <v>93</v>
      </c>
      <c r="M1769" s="14" t="str">
        <f t="shared" si="218"/>
        <v>18-03-2025</v>
      </c>
      <c r="N1769" s="14">
        <f t="shared" si="219"/>
        <v>0.15893945363081122</v>
      </c>
      <c r="O1769" s="20">
        <f t="shared" si="220"/>
        <v>2.5148539220787134</v>
      </c>
      <c r="P1769" s="14">
        <f t="shared" si="221"/>
        <v>445.68279613079352</v>
      </c>
      <c r="Q1769" s="14">
        <f t="shared" si="222"/>
        <v>353.04093838354669</v>
      </c>
      <c r="R1769" s="14" t="str">
        <f t="shared" si="223"/>
        <v>Mar</v>
      </c>
    </row>
    <row r="1770" spans="1:18" x14ac:dyDescent="0.3">
      <c r="A1770" t="s">
        <v>3378</v>
      </c>
      <c r="B1770" s="1">
        <v>45623</v>
      </c>
      <c r="C1770" t="s">
        <v>719</v>
      </c>
      <c r="D1770" t="s">
        <v>1389</v>
      </c>
      <c r="E1770" t="s">
        <v>1546</v>
      </c>
      <c r="F1770">
        <v>2.5119812086790101</v>
      </c>
      <c r="G1770" s="14">
        <v>451.60964796097198</v>
      </c>
      <c r="H1770" s="17">
        <v>0.158165196548301</v>
      </c>
      <c r="I1770" t="s">
        <v>1609</v>
      </c>
      <c r="J1770" s="14">
        <v>957.72423166172598</v>
      </c>
      <c r="K1770" s="14">
        <f t="shared" si="216"/>
        <v>86880.117653885754</v>
      </c>
      <c r="L1770" s="14">
        <f t="shared" si="217"/>
        <v>92</v>
      </c>
      <c r="M1770" s="14" t="str">
        <f t="shared" si="218"/>
        <v>27-11-2024</v>
      </c>
      <c r="N1770" s="14">
        <f t="shared" si="219"/>
        <v>0.15894283466610604</v>
      </c>
      <c r="O1770" s="20">
        <f t="shared" si="220"/>
        <v>2.5148664666787122</v>
      </c>
      <c r="P1770" s="14">
        <f t="shared" si="221"/>
        <v>445.65691468175339</v>
      </c>
      <c r="Q1770" s="14">
        <f t="shared" si="222"/>
        <v>353.0010065069813</v>
      </c>
      <c r="R1770" s="14" t="str">
        <f t="shared" si="223"/>
        <v>Nov</v>
      </c>
    </row>
    <row r="1771" spans="1:18" x14ac:dyDescent="0.3">
      <c r="A1771" t="s">
        <v>3379</v>
      </c>
      <c r="B1771" s="1">
        <v>45340</v>
      </c>
      <c r="C1771" t="s">
        <v>247</v>
      </c>
      <c r="D1771" t="s">
        <v>1334</v>
      </c>
      <c r="E1771" t="s">
        <v>1554</v>
      </c>
      <c r="F1771">
        <v>2.5120062978790099</v>
      </c>
      <c r="G1771" s="14">
        <v>451.55788506289099</v>
      </c>
      <c r="H1771" s="17">
        <v>0.15817195861889</v>
      </c>
      <c r="I1771" t="s">
        <v>1609</v>
      </c>
      <c r="J1771" s="14">
        <v>957.61623520227397</v>
      </c>
      <c r="K1771" s="14">
        <f t="shared" si="216"/>
        <v>85922.393422224035</v>
      </c>
      <c r="L1771" s="14">
        <f t="shared" si="217"/>
        <v>91</v>
      </c>
      <c r="M1771" s="14" t="str">
        <f t="shared" si="218"/>
        <v>18-02-2024</v>
      </c>
      <c r="N1771" s="14">
        <f t="shared" si="219"/>
        <v>0.15894621570140083</v>
      </c>
      <c r="O1771" s="20">
        <f t="shared" si="220"/>
        <v>2.5148790112787109</v>
      </c>
      <c r="P1771" s="14">
        <f t="shared" si="221"/>
        <v>445.63103323271332</v>
      </c>
      <c r="Q1771" s="14">
        <f t="shared" si="222"/>
        <v>352.96107463041574</v>
      </c>
      <c r="R1771" s="14" t="str">
        <f t="shared" si="223"/>
        <v>Feb</v>
      </c>
    </row>
    <row r="1772" spans="1:18" x14ac:dyDescent="0.3">
      <c r="A1772" t="s">
        <v>3380</v>
      </c>
      <c r="B1772" s="1">
        <v>45447</v>
      </c>
      <c r="C1772" t="s">
        <v>63</v>
      </c>
      <c r="D1772" t="s">
        <v>1334</v>
      </c>
      <c r="E1772" t="s">
        <v>1574</v>
      </c>
      <c r="F1772">
        <v>2.5120313870790101</v>
      </c>
      <c r="G1772" s="14">
        <v>451.50612216481102</v>
      </c>
      <c r="H1772" s="17">
        <v>0.15817872068948</v>
      </c>
      <c r="I1772" t="s">
        <v>1614</v>
      </c>
      <c r="J1772" s="14">
        <v>957.50823874282298</v>
      </c>
      <c r="K1772" s="14">
        <f t="shared" si="216"/>
        <v>84964.777187021755</v>
      </c>
      <c r="L1772" s="14">
        <f t="shared" si="217"/>
        <v>90</v>
      </c>
      <c r="M1772" s="14" t="str">
        <f t="shared" si="218"/>
        <v>04-06-2024</v>
      </c>
      <c r="N1772" s="14">
        <f t="shared" si="219"/>
        <v>0.15894959673669562</v>
      </c>
      <c r="O1772" s="20">
        <f t="shared" si="220"/>
        <v>2.5148915558787097</v>
      </c>
      <c r="P1772" s="14">
        <f t="shared" si="221"/>
        <v>445.60515178367325</v>
      </c>
      <c r="Q1772" s="14">
        <f t="shared" si="222"/>
        <v>352.92114275385063</v>
      </c>
      <c r="R1772" s="14" t="str">
        <f t="shared" si="223"/>
        <v>Jun</v>
      </c>
    </row>
    <row r="1773" spans="1:18" x14ac:dyDescent="0.3">
      <c r="A1773" t="s">
        <v>3381</v>
      </c>
      <c r="B1773" s="1">
        <v>45513</v>
      </c>
      <c r="C1773" t="s">
        <v>1290</v>
      </c>
      <c r="D1773" t="s">
        <v>1493</v>
      </c>
      <c r="E1773" t="s">
        <v>1595</v>
      </c>
      <c r="F1773">
        <v>2.5120564762790001</v>
      </c>
      <c r="G1773" s="14">
        <v>451.45435926673099</v>
      </c>
      <c r="H1773" s="17">
        <v>0.15818548276007</v>
      </c>
      <c r="I1773" t="s">
        <v>1609</v>
      </c>
      <c r="J1773" s="14">
        <v>957.40024228337097</v>
      </c>
      <c r="K1773" s="14">
        <f t="shared" si="216"/>
        <v>84964.777187021755</v>
      </c>
      <c r="L1773" s="14">
        <f t="shared" si="217"/>
        <v>90</v>
      </c>
      <c r="M1773" s="14" t="str">
        <f t="shared" si="218"/>
        <v>09-08-2024</v>
      </c>
      <c r="N1773" s="14">
        <f t="shared" si="219"/>
        <v>0.15895297777199041</v>
      </c>
      <c r="O1773" s="20">
        <f t="shared" si="220"/>
        <v>2.5149041004787076</v>
      </c>
      <c r="P1773" s="14">
        <f t="shared" si="221"/>
        <v>445.57927033463318</v>
      </c>
      <c r="Q1773" s="14">
        <f t="shared" si="222"/>
        <v>352.88121087728524</v>
      </c>
      <c r="R1773" s="14" t="str">
        <f t="shared" si="223"/>
        <v>Aug</v>
      </c>
    </row>
    <row r="1774" spans="1:18" x14ac:dyDescent="0.3">
      <c r="A1774" t="s">
        <v>3382</v>
      </c>
      <c r="B1774" s="1">
        <v>45486</v>
      </c>
      <c r="C1774" t="s">
        <v>740</v>
      </c>
      <c r="D1774" t="s">
        <v>1469</v>
      </c>
      <c r="E1774" t="s">
        <v>1582</v>
      </c>
      <c r="F1774">
        <v>2.5120815654789999</v>
      </c>
      <c r="G1774" s="14">
        <v>451.40259636865102</v>
      </c>
      <c r="H1774" s="17">
        <v>0.158192244830659</v>
      </c>
      <c r="I1774" t="s">
        <v>1614</v>
      </c>
      <c r="J1774" s="14">
        <v>957.29224582391896</v>
      </c>
      <c r="K1774" s="14">
        <f t="shared" si="216"/>
        <v>84007.376944738382</v>
      </c>
      <c r="L1774" s="14">
        <f t="shared" si="217"/>
        <v>89</v>
      </c>
      <c r="M1774" s="14" t="str">
        <f t="shared" si="218"/>
        <v>13-07-2024</v>
      </c>
      <c r="N1774" s="14">
        <f t="shared" si="219"/>
        <v>0.15895635880728523</v>
      </c>
      <c r="O1774" s="20">
        <f t="shared" si="220"/>
        <v>2.5149166450787068</v>
      </c>
      <c r="P1774" s="14">
        <f t="shared" si="221"/>
        <v>445.55338888559317</v>
      </c>
      <c r="Q1774" s="14">
        <f t="shared" si="222"/>
        <v>352.84127900071991</v>
      </c>
      <c r="R1774" s="14" t="str">
        <f t="shared" si="223"/>
        <v>Jul</v>
      </c>
    </row>
    <row r="1775" spans="1:18" x14ac:dyDescent="0.3">
      <c r="A1775" t="s">
        <v>3383</v>
      </c>
      <c r="B1775" s="1">
        <v>45890</v>
      </c>
      <c r="C1775" t="s">
        <v>1050</v>
      </c>
      <c r="D1775" t="s">
        <v>1441</v>
      </c>
      <c r="E1775" t="s">
        <v>1574</v>
      </c>
      <c r="F1775">
        <v>2.5121066546790001</v>
      </c>
      <c r="G1775" s="14">
        <v>451.35083347057099</v>
      </c>
      <c r="H1775" s="17">
        <v>0.158199006901249</v>
      </c>
      <c r="I1775" t="s">
        <v>1611</v>
      </c>
      <c r="J1775" s="14">
        <v>957.18424936446695</v>
      </c>
      <c r="K1775" s="14">
        <f t="shared" si="216"/>
        <v>84007.376944738382</v>
      </c>
      <c r="L1775" s="14">
        <f t="shared" si="217"/>
        <v>89</v>
      </c>
      <c r="M1775" s="14" t="str">
        <f t="shared" si="218"/>
        <v>21-08-2025</v>
      </c>
      <c r="N1775" s="14">
        <f t="shared" si="219"/>
        <v>0.15895973984258002</v>
      </c>
      <c r="O1775" s="20">
        <f t="shared" si="220"/>
        <v>2.5149291896787052</v>
      </c>
      <c r="P1775" s="14">
        <f t="shared" si="221"/>
        <v>445.52750743655304</v>
      </c>
      <c r="Q1775" s="14">
        <f t="shared" si="222"/>
        <v>352.80134712415452</v>
      </c>
      <c r="R1775" s="14" t="str">
        <f t="shared" si="223"/>
        <v>Aug</v>
      </c>
    </row>
    <row r="1776" spans="1:18" x14ac:dyDescent="0.3">
      <c r="A1776" t="s">
        <v>3384</v>
      </c>
      <c r="B1776" s="1">
        <v>45876</v>
      </c>
      <c r="C1776" t="s">
        <v>911</v>
      </c>
      <c r="D1776" t="s">
        <v>1471</v>
      </c>
      <c r="E1776" t="s">
        <v>1598</v>
      </c>
      <c r="F1776">
        <v>2.5121317438789998</v>
      </c>
      <c r="G1776" s="14">
        <v>451.29907057249102</v>
      </c>
      <c r="H1776" s="17">
        <v>0.15820576897183899</v>
      </c>
      <c r="I1776" t="s">
        <v>1614</v>
      </c>
      <c r="J1776" s="14">
        <v>957.07625290501596</v>
      </c>
      <c r="K1776" s="14">
        <f t="shared" si="216"/>
        <v>84007.376944738382</v>
      </c>
      <c r="L1776" s="14">
        <f t="shared" si="217"/>
        <v>89</v>
      </c>
      <c r="M1776" s="14" t="str">
        <f t="shared" si="218"/>
        <v>07-08-2025</v>
      </c>
      <c r="N1776" s="14">
        <f t="shared" si="219"/>
        <v>0.15896312087787484</v>
      </c>
      <c r="O1776" s="20">
        <f t="shared" si="220"/>
        <v>2.5149417342787048</v>
      </c>
      <c r="P1776" s="14">
        <f t="shared" si="221"/>
        <v>445.50162598751297</v>
      </c>
      <c r="Q1776" s="14">
        <f t="shared" si="222"/>
        <v>352.76141524758947</v>
      </c>
      <c r="R1776" s="14" t="str">
        <f t="shared" si="223"/>
        <v>Aug</v>
      </c>
    </row>
    <row r="1777" spans="1:18" x14ac:dyDescent="0.3">
      <c r="A1777" t="s">
        <v>3385</v>
      </c>
      <c r="B1777" s="1">
        <v>45398</v>
      </c>
      <c r="C1777" t="s">
        <v>244</v>
      </c>
      <c r="D1777" t="s">
        <v>1336</v>
      </c>
      <c r="E1777" t="s">
        <v>1571</v>
      </c>
      <c r="F1777">
        <v>2.5121568330789898</v>
      </c>
      <c r="G1777" s="14">
        <v>451.24730767441002</v>
      </c>
      <c r="H1777" s="17">
        <v>0.158212531042428</v>
      </c>
      <c r="I1777" t="s">
        <v>1611</v>
      </c>
      <c r="J1777" s="14">
        <v>956.96825644556395</v>
      </c>
      <c r="K1777" s="14">
        <f t="shared" si="216"/>
        <v>84007.376944738382</v>
      </c>
      <c r="L1777" s="14">
        <f t="shared" si="217"/>
        <v>89</v>
      </c>
      <c r="M1777" s="14" t="str">
        <f t="shared" si="218"/>
        <v>16-04-2024</v>
      </c>
      <c r="N1777" s="14">
        <f t="shared" si="219"/>
        <v>0.15896650191316966</v>
      </c>
      <c r="O1777" s="20">
        <f t="shared" si="220"/>
        <v>2.5149542788787036</v>
      </c>
      <c r="P1777" s="14">
        <f t="shared" si="221"/>
        <v>445.47574453847284</v>
      </c>
      <c r="Q1777" s="14">
        <f t="shared" si="222"/>
        <v>352.72148337102385</v>
      </c>
      <c r="R1777" s="14" t="str">
        <f t="shared" si="223"/>
        <v>Apr</v>
      </c>
    </row>
    <row r="1778" spans="1:18" x14ac:dyDescent="0.3">
      <c r="A1778" t="s">
        <v>3386</v>
      </c>
      <c r="B1778" s="1">
        <v>45390</v>
      </c>
      <c r="C1778" t="s">
        <v>387</v>
      </c>
      <c r="D1778" t="s">
        <v>1521</v>
      </c>
      <c r="E1778" t="s">
        <v>1592</v>
      </c>
      <c r="F1778">
        <v>2.5121819222789901</v>
      </c>
      <c r="G1778" s="14">
        <v>451.19554477633</v>
      </c>
      <c r="H1778" s="17">
        <v>0.15821929311301799</v>
      </c>
      <c r="I1778" t="s">
        <v>1609</v>
      </c>
      <c r="J1778" s="14">
        <v>956.86025998611206</v>
      </c>
      <c r="K1778" s="14">
        <f t="shared" si="216"/>
        <v>84007.376944738382</v>
      </c>
      <c r="L1778" s="14">
        <f t="shared" si="217"/>
        <v>89</v>
      </c>
      <c r="M1778" s="14" t="str">
        <f t="shared" si="218"/>
        <v>08-04-2024</v>
      </c>
      <c r="N1778" s="14">
        <f t="shared" si="219"/>
        <v>0.15896988294846445</v>
      </c>
      <c r="O1778" s="20">
        <f t="shared" si="220"/>
        <v>2.5149668234787024</v>
      </c>
      <c r="P1778" s="14">
        <f t="shared" si="221"/>
        <v>445.44986308943277</v>
      </c>
      <c r="Q1778" s="14">
        <f t="shared" si="222"/>
        <v>352.68155149445852</v>
      </c>
      <c r="R1778" s="14" t="str">
        <f t="shared" si="223"/>
        <v>Apr</v>
      </c>
    </row>
    <row r="1779" spans="1:18" x14ac:dyDescent="0.3">
      <c r="A1779" t="s">
        <v>3387</v>
      </c>
      <c r="B1779" s="1">
        <v>45406</v>
      </c>
      <c r="C1779" t="s">
        <v>625</v>
      </c>
      <c r="D1779" t="s">
        <v>1387</v>
      </c>
      <c r="E1779" t="s">
        <v>1598</v>
      </c>
      <c r="F1779">
        <v>2.5122070114789898</v>
      </c>
      <c r="G1779" s="14">
        <v>451.14378187825002</v>
      </c>
      <c r="H1779" s="17">
        <v>0.158226055183607</v>
      </c>
      <c r="I1779" t="s">
        <v>1614</v>
      </c>
      <c r="J1779" s="14">
        <v>956.75226352666004</v>
      </c>
      <c r="K1779" s="14">
        <f t="shared" si="216"/>
        <v>83050.516684752278</v>
      </c>
      <c r="L1779" s="14">
        <f t="shared" si="217"/>
        <v>88</v>
      </c>
      <c r="M1779" s="14" t="str">
        <f t="shared" si="218"/>
        <v>24-04-2024</v>
      </c>
      <c r="N1779" s="14">
        <f t="shared" si="219"/>
        <v>0.15897326398375924</v>
      </c>
      <c r="O1779" s="20">
        <f t="shared" si="220"/>
        <v>2.5149793680787011</v>
      </c>
      <c r="P1779" s="14">
        <f t="shared" si="221"/>
        <v>445.42398164039275</v>
      </c>
      <c r="Q1779" s="14">
        <f t="shared" si="222"/>
        <v>352.64161961789318</v>
      </c>
      <c r="R1779" s="14" t="str">
        <f t="shared" si="223"/>
        <v>Apr</v>
      </c>
    </row>
    <row r="1780" spans="1:18" x14ac:dyDescent="0.3">
      <c r="A1780" t="s">
        <v>3388</v>
      </c>
      <c r="B1780" s="1">
        <v>45844</v>
      </c>
      <c r="C1780" t="s">
        <v>356</v>
      </c>
      <c r="D1780" t="s">
        <v>1521</v>
      </c>
      <c r="E1780" t="s">
        <v>1537</v>
      </c>
      <c r="F1780">
        <v>2.5122321006789901</v>
      </c>
      <c r="G1780" s="14">
        <v>451.09201898017</v>
      </c>
      <c r="H1780" s="17">
        <v>0.15823281725419699</v>
      </c>
      <c r="I1780" t="s">
        <v>1609</v>
      </c>
      <c r="J1780" s="14">
        <v>956.64426706720894</v>
      </c>
      <c r="K1780" s="14">
        <f t="shared" si="216"/>
        <v>83050.516684752278</v>
      </c>
      <c r="L1780" s="14">
        <f t="shared" si="217"/>
        <v>88</v>
      </c>
      <c r="M1780" s="14" t="str">
        <f t="shared" si="218"/>
        <v>06-07-2025</v>
      </c>
      <c r="N1780" s="14">
        <f t="shared" si="219"/>
        <v>0.15897664501905406</v>
      </c>
      <c r="O1780" s="20">
        <f t="shared" si="220"/>
        <v>2.5149919126786999</v>
      </c>
      <c r="P1780" s="14">
        <f t="shared" si="221"/>
        <v>445.39810019135263</v>
      </c>
      <c r="Q1780" s="14">
        <f t="shared" si="222"/>
        <v>352.60168774132802</v>
      </c>
      <c r="R1780" s="14" t="str">
        <f t="shared" si="223"/>
        <v>Jul</v>
      </c>
    </row>
    <row r="1781" spans="1:18" x14ac:dyDescent="0.3">
      <c r="A1781" t="s">
        <v>3389</v>
      </c>
      <c r="B1781" s="1">
        <v>45697</v>
      </c>
      <c r="C1781" t="s">
        <v>996</v>
      </c>
      <c r="D1781" t="s">
        <v>1481</v>
      </c>
      <c r="E1781" t="s">
        <v>1537</v>
      </c>
      <c r="F1781">
        <v>2.5122571898789801</v>
      </c>
      <c r="G1781" s="14">
        <v>451.04025608209002</v>
      </c>
      <c r="H1781" s="17">
        <v>0.15823957932478699</v>
      </c>
      <c r="I1781" t="s">
        <v>1614</v>
      </c>
      <c r="J1781" s="14">
        <v>956.53627060775705</v>
      </c>
      <c r="K1781" s="14">
        <f t="shared" si="216"/>
        <v>82093.872417685037</v>
      </c>
      <c r="L1781" s="14">
        <f t="shared" si="217"/>
        <v>87</v>
      </c>
      <c r="M1781" s="14" t="str">
        <f t="shared" si="218"/>
        <v>09-02-2025</v>
      </c>
      <c r="N1781" s="14">
        <f t="shared" si="219"/>
        <v>0.15898002605434886</v>
      </c>
      <c r="O1781" s="20">
        <f t="shared" si="220"/>
        <v>2.5150044572786991</v>
      </c>
      <c r="P1781" s="14">
        <f t="shared" si="221"/>
        <v>445.37221874231255</v>
      </c>
      <c r="Q1781" s="14">
        <f t="shared" si="222"/>
        <v>352.56175586476274</v>
      </c>
      <c r="R1781" s="14" t="str">
        <f t="shared" si="223"/>
        <v>Feb</v>
      </c>
    </row>
    <row r="1782" spans="1:18" x14ac:dyDescent="0.3">
      <c r="A1782" t="s">
        <v>3390</v>
      </c>
      <c r="B1782" s="1">
        <v>45607</v>
      </c>
      <c r="C1782" t="s">
        <v>36</v>
      </c>
      <c r="D1782" t="s">
        <v>1389</v>
      </c>
      <c r="E1782" t="s">
        <v>1554</v>
      </c>
      <c r="F1782">
        <v>2.5122822790789798</v>
      </c>
      <c r="G1782" s="14">
        <v>450.98849318401</v>
      </c>
      <c r="H1782" s="17">
        <v>0.15824634139537599</v>
      </c>
      <c r="I1782" t="s">
        <v>1611</v>
      </c>
      <c r="J1782" s="14">
        <v>956.42827414830504</v>
      </c>
      <c r="K1782" s="14">
        <f t="shared" si="216"/>
        <v>82093.872417685037</v>
      </c>
      <c r="L1782" s="14">
        <f t="shared" si="217"/>
        <v>87</v>
      </c>
      <c r="M1782" s="14" t="str">
        <f t="shared" si="218"/>
        <v>11-11-2024</v>
      </c>
      <c r="N1782" s="14">
        <f t="shared" si="219"/>
        <v>0.15898340708964362</v>
      </c>
      <c r="O1782" s="20">
        <f t="shared" si="220"/>
        <v>2.5150170018786979</v>
      </c>
      <c r="P1782" s="14">
        <f t="shared" si="221"/>
        <v>445.34633729327243</v>
      </c>
      <c r="Q1782" s="14">
        <f t="shared" si="222"/>
        <v>352.52182398819735</v>
      </c>
      <c r="R1782" s="14" t="str">
        <f t="shared" si="223"/>
        <v>Nov</v>
      </c>
    </row>
    <row r="1783" spans="1:18" x14ac:dyDescent="0.3">
      <c r="A1783" t="s">
        <v>3391</v>
      </c>
      <c r="B1783" s="1">
        <v>45307</v>
      </c>
      <c r="C1783" t="s">
        <v>202</v>
      </c>
      <c r="D1783" t="s">
        <v>1431</v>
      </c>
      <c r="E1783" t="s">
        <v>1558</v>
      </c>
      <c r="F1783">
        <v>2.51230736827898</v>
      </c>
      <c r="G1783" s="14">
        <v>450.93673028593003</v>
      </c>
      <c r="H1783" s="17">
        <v>0.15825310346596599</v>
      </c>
      <c r="I1783" t="s">
        <v>1609</v>
      </c>
      <c r="J1783" s="14">
        <v>956.32027768885303</v>
      </c>
      <c r="K1783" s="14">
        <f t="shared" si="216"/>
        <v>82093.872417685037</v>
      </c>
      <c r="L1783" s="14">
        <f t="shared" si="217"/>
        <v>87</v>
      </c>
      <c r="M1783" s="14" t="str">
        <f t="shared" si="218"/>
        <v>16-01-2024</v>
      </c>
      <c r="N1783" s="14">
        <f t="shared" si="219"/>
        <v>0.15898678812493844</v>
      </c>
      <c r="O1783" s="20">
        <f t="shared" si="220"/>
        <v>2.5150295464786967</v>
      </c>
      <c r="P1783" s="14">
        <f t="shared" si="221"/>
        <v>445.32045584423236</v>
      </c>
      <c r="Q1783" s="14">
        <f t="shared" si="222"/>
        <v>352.48189211163196</v>
      </c>
      <c r="R1783" s="14" t="str">
        <f t="shared" si="223"/>
        <v>Jan</v>
      </c>
    </row>
    <row r="1784" spans="1:18" x14ac:dyDescent="0.3">
      <c r="A1784" t="s">
        <v>3392</v>
      </c>
      <c r="B1784" s="1">
        <v>45520</v>
      </c>
      <c r="C1784" t="s">
        <v>71</v>
      </c>
      <c r="D1784" t="s">
        <v>1383</v>
      </c>
      <c r="E1784" t="s">
        <v>1586</v>
      </c>
      <c r="F1784">
        <v>2.5123324574789798</v>
      </c>
      <c r="G1784" s="14">
        <v>450.88496738784897</v>
      </c>
      <c r="H1784" s="17">
        <v>0.15825986553655499</v>
      </c>
      <c r="I1784" t="s">
        <v>1609</v>
      </c>
      <c r="J1784" s="14">
        <v>956.21228122940204</v>
      </c>
      <c r="K1784" s="14">
        <f t="shared" si="216"/>
        <v>81137.552139996202</v>
      </c>
      <c r="L1784" s="14">
        <f t="shared" si="217"/>
        <v>86</v>
      </c>
      <c r="M1784" s="14" t="str">
        <f t="shared" si="218"/>
        <v>16-08-2024</v>
      </c>
      <c r="N1784" s="14">
        <f t="shared" si="219"/>
        <v>0.15899016916023326</v>
      </c>
      <c r="O1784" s="20">
        <f t="shared" si="220"/>
        <v>2.515042091078695</v>
      </c>
      <c r="P1784" s="14">
        <f t="shared" si="221"/>
        <v>445.29457439519229</v>
      </c>
      <c r="Q1784" s="14">
        <f t="shared" si="222"/>
        <v>352.44196023506663</v>
      </c>
      <c r="R1784" s="14" t="str">
        <f t="shared" si="223"/>
        <v>Aug</v>
      </c>
    </row>
    <row r="1785" spans="1:18" x14ac:dyDescent="0.3">
      <c r="A1785" t="s">
        <v>3393</v>
      </c>
      <c r="B1785" s="1">
        <v>45933</v>
      </c>
      <c r="C1785" t="s">
        <v>1262</v>
      </c>
      <c r="D1785" t="s">
        <v>1421</v>
      </c>
      <c r="E1785" t="s">
        <v>1542</v>
      </c>
      <c r="F1785">
        <v>2.5123575466789698</v>
      </c>
      <c r="G1785" s="14">
        <v>450.833204489769</v>
      </c>
      <c r="H1785" s="17">
        <v>0.15826662760714499</v>
      </c>
      <c r="I1785" t="s">
        <v>1611</v>
      </c>
      <c r="J1785" s="14">
        <v>956.10428476995003</v>
      </c>
      <c r="K1785" s="14">
        <f t="shared" si="216"/>
        <v>80181.339858766805</v>
      </c>
      <c r="L1785" s="14">
        <f t="shared" si="217"/>
        <v>85</v>
      </c>
      <c r="M1785" s="14" t="str">
        <f t="shared" si="218"/>
        <v>03-10-2025</v>
      </c>
      <c r="N1785" s="14">
        <f t="shared" si="219"/>
        <v>0.15899355019552808</v>
      </c>
      <c r="O1785" s="20">
        <f t="shared" si="220"/>
        <v>2.5150546356786938</v>
      </c>
      <c r="P1785" s="14">
        <f t="shared" si="221"/>
        <v>445.26869294615216</v>
      </c>
      <c r="Q1785" s="14">
        <f t="shared" si="222"/>
        <v>352.4020283585013</v>
      </c>
      <c r="R1785" s="14" t="str">
        <f t="shared" si="223"/>
        <v>Oct</v>
      </c>
    </row>
    <row r="1786" spans="1:18" x14ac:dyDescent="0.3">
      <c r="A1786" t="s">
        <v>3394</v>
      </c>
      <c r="B1786" s="1">
        <v>45841</v>
      </c>
      <c r="C1786" t="s">
        <v>195</v>
      </c>
      <c r="D1786" t="s">
        <v>1355</v>
      </c>
      <c r="E1786" t="s">
        <v>1554</v>
      </c>
      <c r="F1786">
        <v>2.51238263587897</v>
      </c>
      <c r="G1786" s="14">
        <v>450.78144159168897</v>
      </c>
      <c r="H1786" s="17">
        <v>0.15827338967773499</v>
      </c>
      <c r="I1786" t="s">
        <v>1609</v>
      </c>
      <c r="J1786" s="14">
        <v>955.99628831049802</v>
      </c>
      <c r="K1786" s="14">
        <f t="shared" si="216"/>
        <v>80181.339858766805</v>
      </c>
      <c r="L1786" s="14">
        <f t="shared" si="217"/>
        <v>85</v>
      </c>
      <c r="M1786" s="14" t="str">
        <f t="shared" si="218"/>
        <v>03-07-2025</v>
      </c>
      <c r="N1786" s="14">
        <f t="shared" si="219"/>
        <v>0.15899693123082287</v>
      </c>
      <c r="O1786" s="20">
        <f t="shared" si="220"/>
        <v>2.5150671802786921</v>
      </c>
      <c r="P1786" s="14">
        <f t="shared" si="221"/>
        <v>445.24281149711209</v>
      </c>
      <c r="Q1786" s="14">
        <f t="shared" si="222"/>
        <v>352.36209648193591</v>
      </c>
      <c r="R1786" s="14" t="str">
        <f t="shared" si="223"/>
        <v>Jul</v>
      </c>
    </row>
    <row r="1787" spans="1:18" x14ac:dyDescent="0.3">
      <c r="A1787" t="s">
        <v>3395</v>
      </c>
      <c r="B1787" s="1">
        <v>45877</v>
      </c>
      <c r="C1787" t="s">
        <v>1249</v>
      </c>
      <c r="D1787" t="s">
        <v>1407</v>
      </c>
      <c r="E1787" t="s">
        <v>1586</v>
      </c>
      <c r="F1787">
        <v>2.5124077250789698</v>
      </c>
      <c r="G1787" s="14">
        <v>450.729678693609</v>
      </c>
      <c r="H1787" s="17">
        <v>0.15828015174832399</v>
      </c>
      <c r="I1787" t="s">
        <v>1609</v>
      </c>
      <c r="J1787" s="14">
        <v>955.88829185104703</v>
      </c>
      <c r="K1787" s="14">
        <f t="shared" si="216"/>
        <v>79225.343570456316</v>
      </c>
      <c r="L1787" s="14">
        <f t="shared" si="217"/>
        <v>84</v>
      </c>
      <c r="M1787" s="14" t="str">
        <f t="shared" si="218"/>
        <v>08-08-2025</v>
      </c>
      <c r="N1787" s="14">
        <f t="shared" si="219"/>
        <v>0.15900031226611763</v>
      </c>
      <c r="O1787" s="20">
        <f t="shared" si="220"/>
        <v>2.5150797248786905</v>
      </c>
      <c r="P1787" s="14">
        <f t="shared" si="221"/>
        <v>445.21693004807202</v>
      </c>
      <c r="Q1787" s="14">
        <f t="shared" si="222"/>
        <v>352.32216460537086</v>
      </c>
      <c r="R1787" s="14" t="str">
        <f t="shared" si="223"/>
        <v>Aug</v>
      </c>
    </row>
    <row r="1788" spans="1:18" x14ac:dyDescent="0.3">
      <c r="A1788" t="s">
        <v>3396</v>
      </c>
      <c r="B1788" s="1">
        <v>45532</v>
      </c>
      <c r="C1788" t="s">
        <v>911</v>
      </c>
      <c r="D1788" t="s">
        <v>1463</v>
      </c>
      <c r="E1788" t="s">
        <v>1554</v>
      </c>
      <c r="F1788">
        <v>2.51243281427897</v>
      </c>
      <c r="G1788" s="14">
        <v>450.67791579552897</v>
      </c>
      <c r="H1788" s="17">
        <v>0.15828691381891399</v>
      </c>
      <c r="I1788" t="s">
        <v>1611</v>
      </c>
      <c r="J1788" s="14">
        <v>955.78029539159502</v>
      </c>
      <c r="K1788" s="14">
        <f t="shared" si="216"/>
        <v>78269.455278605266</v>
      </c>
      <c r="L1788" s="14">
        <f t="shared" si="217"/>
        <v>83</v>
      </c>
      <c r="M1788" s="14" t="str">
        <f t="shared" si="218"/>
        <v>28-08-2024</v>
      </c>
      <c r="N1788" s="14">
        <f t="shared" si="219"/>
        <v>0.15900369330141245</v>
      </c>
      <c r="O1788" s="20">
        <f t="shared" si="220"/>
        <v>2.5150922694786892</v>
      </c>
      <c r="P1788" s="14">
        <f t="shared" si="221"/>
        <v>445.19104859903194</v>
      </c>
      <c r="Q1788" s="14">
        <f t="shared" si="222"/>
        <v>352.28223272880547</v>
      </c>
      <c r="R1788" s="14" t="str">
        <f t="shared" si="223"/>
        <v>Aug</v>
      </c>
    </row>
    <row r="1789" spans="1:18" x14ac:dyDescent="0.3">
      <c r="A1789" t="s">
        <v>3397</v>
      </c>
      <c r="B1789" s="1">
        <v>45734</v>
      </c>
      <c r="C1789" t="s">
        <v>369</v>
      </c>
      <c r="D1789" t="s">
        <v>1395</v>
      </c>
      <c r="E1789" t="s">
        <v>1551</v>
      </c>
      <c r="F1789">
        <v>2.51245790347896</v>
      </c>
      <c r="G1789" s="14">
        <v>450.626152897449</v>
      </c>
      <c r="H1789" s="17">
        <v>0.15829367588950299</v>
      </c>
      <c r="I1789" t="s">
        <v>1609</v>
      </c>
      <c r="J1789" s="14">
        <v>955.67229893214301</v>
      </c>
      <c r="K1789" s="14">
        <f t="shared" si="216"/>
        <v>78269.455278605266</v>
      </c>
      <c r="L1789" s="14">
        <f t="shared" si="217"/>
        <v>83</v>
      </c>
      <c r="M1789" s="14" t="str">
        <f t="shared" si="218"/>
        <v>18-03-2025</v>
      </c>
      <c r="N1789" s="14">
        <f t="shared" si="219"/>
        <v>0.15900707433670724</v>
      </c>
      <c r="O1789" s="20">
        <f t="shared" si="220"/>
        <v>2.5151048140786876</v>
      </c>
      <c r="P1789" s="14">
        <f t="shared" si="221"/>
        <v>445.16516714999182</v>
      </c>
      <c r="Q1789" s="14">
        <f t="shared" si="222"/>
        <v>352.24230085224013</v>
      </c>
      <c r="R1789" s="14" t="str">
        <f t="shared" si="223"/>
        <v>Mar</v>
      </c>
    </row>
    <row r="1790" spans="1:18" x14ac:dyDescent="0.3">
      <c r="A1790" t="s">
        <v>3398</v>
      </c>
      <c r="B1790" s="1">
        <v>45809</v>
      </c>
      <c r="C1790" t="s">
        <v>1115</v>
      </c>
      <c r="D1790" t="s">
        <v>1509</v>
      </c>
      <c r="E1790" t="s">
        <v>1561</v>
      </c>
      <c r="F1790">
        <v>2.5124829926789598</v>
      </c>
      <c r="G1790" s="14">
        <v>450.57438999936801</v>
      </c>
      <c r="H1790" s="17">
        <v>0.15830043796009299</v>
      </c>
      <c r="I1790" t="s">
        <v>1609</v>
      </c>
      <c r="J1790" s="14">
        <v>955.564302472691</v>
      </c>
      <c r="K1790" s="14">
        <f t="shared" si="216"/>
        <v>77313.782979673124</v>
      </c>
      <c r="L1790" s="14">
        <f t="shared" si="217"/>
        <v>82</v>
      </c>
      <c r="M1790" s="14" t="str">
        <f t="shared" si="218"/>
        <v>01-06-2025</v>
      </c>
      <c r="N1790" s="14">
        <f t="shared" si="219"/>
        <v>0.15901045537200204</v>
      </c>
      <c r="O1790" s="20">
        <f t="shared" si="220"/>
        <v>2.5151173586786859</v>
      </c>
      <c r="P1790" s="14">
        <f t="shared" si="221"/>
        <v>445.1392857009518</v>
      </c>
      <c r="Q1790" s="14">
        <f t="shared" si="222"/>
        <v>352.20236897567452</v>
      </c>
      <c r="R1790" s="14" t="str">
        <f t="shared" si="223"/>
        <v>Jun</v>
      </c>
    </row>
    <row r="1791" spans="1:18" x14ac:dyDescent="0.3">
      <c r="A1791" t="s">
        <v>3399</v>
      </c>
      <c r="B1791" s="1">
        <v>45760</v>
      </c>
      <c r="C1791" t="s">
        <v>321</v>
      </c>
      <c r="D1791" t="s">
        <v>1373</v>
      </c>
      <c r="E1791" t="s">
        <v>1595</v>
      </c>
      <c r="F1791">
        <v>2.51250808187896</v>
      </c>
      <c r="G1791" s="14">
        <v>450.52262710128798</v>
      </c>
      <c r="H1791" s="17">
        <v>0.15830720003068299</v>
      </c>
      <c r="I1791" t="s">
        <v>1611</v>
      </c>
      <c r="J1791" s="14">
        <v>955.45630601324001</v>
      </c>
      <c r="K1791" s="14">
        <f t="shared" si="216"/>
        <v>76358.218677200421</v>
      </c>
      <c r="L1791" s="14">
        <f t="shared" si="217"/>
        <v>81</v>
      </c>
      <c r="M1791" s="14" t="str">
        <f t="shared" si="218"/>
        <v>13-04-2025</v>
      </c>
      <c r="N1791" s="14">
        <f t="shared" si="219"/>
        <v>0.15901383640729688</v>
      </c>
      <c r="O1791" s="20">
        <f t="shared" si="220"/>
        <v>2.5151299032786847</v>
      </c>
      <c r="P1791" s="14">
        <f t="shared" si="221"/>
        <v>445.11340425191167</v>
      </c>
      <c r="Q1791" s="14">
        <f t="shared" si="222"/>
        <v>352.16243709910941</v>
      </c>
      <c r="R1791" s="14" t="str">
        <f t="shared" si="223"/>
        <v>Apr</v>
      </c>
    </row>
    <row r="1792" spans="1:18" x14ac:dyDescent="0.3">
      <c r="A1792" t="s">
        <v>3400</v>
      </c>
      <c r="B1792" s="1">
        <v>45456</v>
      </c>
      <c r="C1792" t="s">
        <v>899</v>
      </c>
      <c r="D1792" t="s">
        <v>1473</v>
      </c>
      <c r="E1792" t="s">
        <v>1554</v>
      </c>
      <c r="F1792">
        <v>2.5125331710789598</v>
      </c>
      <c r="G1792" s="14">
        <v>450.47086420320801</v>
      </c>
      <c r="H1792" s="17">
        <v>0.15831396210127199</v>
      </c>
      <c r="I1792" t="s">
        <v>1614</v>
      </c>
      <c r="J1792" s="14">
        <v>955.348309553788</v>
      </c>
      <c r="K1792" s="14">
        <f t="shared" si="216"/>
        <v>76358.218677200421</v>
      </c>
      <c r="L1792" s="14">
        <f t="shared" si="217"/>
        <v>81</v>
      </c>
      <c r="M1792" s="14" t="str">
        <f t="shared" si="218"/>
        <v>13-06-2024</v>
      </c>
      <c r="N1792" s="14">
        <f t="shared" si="219"/>
        <v>0.15901721744259167</v>
      </c>
      <c r="O1792" s="20">
        <f t="shared" si="220"/>
        <v>2.515142447878683</v>
      </c>
      <c r="P1792" s="14">
        <f t="shared" si="221"/>
        <v>445.0875228028716</v>
      </c>
      <c r="Q1792" s="14">
        <f t="shared" si="222"/>
        <v>352.12250522254408</v>
      </c>
      <c r="R1792" s="14" t="str">
        <f t="shared" si="223"/>
        <v>Jun</v>
      </c>
    </row>
    <row r="1793" spans="1:18" x14ac:dyDescent="0.3">
      <c r="A1793" t="s">
        <v>3401</v>
      </c>
      <c r="B1793" s="1">
        <v>45698</v>
      </c>
      <c r="C1793" t="s">
        <v>59</v>
      </c>
      <c r="D1793" t="s">
        <v>1485</v>
      </c>
      <c r="E1793" t="s">
        <v>1582</v>
      </c>
      <c r="F1793">
        <v>2.5125582602789498</v>
      </c>
      <c r="G1793" s="14">
        <v>450.41910130512798</v>
      </c>
      <c r="H1793" s="17">
        <v>0.15832072417186199</v>
      </c>
      <c r="I1793" t="s">
        <v>1614</v>
      </c>
      <c r="J1793" s="14">
        <v>955.24031309433599</v>
      </c>
      <c r="K1793" s="14">
        <f t="shared" si="216"/>
        <v>76358.218677200421</v>
      </c>
      <c r="L1793" s="14">
        <f t="shared" si="217"/>
        <v>81</v>
      </c>
      <c r="M1793" s="14" t="str">
        <f t="shared" si="218"/>
        <v>10-02-2025</v>
      </c>
      <c r="N1793" s="14">
        <f t="shared" si="219"/>
        <v>0.15902059847788647</v>
      </c>
      <c r="O1793" s="20">
        <f t="shared" si="220"/>
        <v>2.5151549924786818</v>
      </c>
      <c r="P1793" s="14">
        <f t="shared" si="221"/>
        <v>445.06164135383153</v>
      </c>
      <c r="Q1793" s="14">
        <f t="shared" si="222"/>
        <v>352.08257334597869</v>
      </c>
      <c r="R1793" s="14" t="str">
        <f t="shared" si="223"/>
        <v>Feb</v>
      </c>
    </row>
    <row r="1794" spans="1:18" x14ac:dyDescent="0.3">
      <c r="A1794" t="s">
        <v>3402</v>
      </c>
      <c r="B1794" s="1">
        <v>45548</v>
      </c>
      <c r="C1794" t="s">
        <v>1313</v>
      </c>
      <c r="D1794" t="s">
        <v>1425</v>
      </c>
      <c r="E1794" t="s">
        <v>1589</v>
      </c>
      <c r="F1794">
        <v>2.51258334947895</v>
      </c>
      <c r="G1794" s="14">
        <v>450.36733840704801</v>
      </c>
      <c r="H1794" s="17">
        <v>0.15832748624245199</v>
      </c>
      <c r="I1794" t="s">
        <v>1611</v>
      </c>
      <c r="J1794" s="14">
        <v>955.13231663488398</v>
      </c>
      <c r="K1794" s="14">
        <f t="shared" ref="K1794:K1857" si="224">SUMIF(I1794:I3793,"Credit Card",J1794:J3793)</f>
        <v>76358.218677200421</v>
      </c>
      <c r="L1794" s="14">
        <f t="shared" ref="L1794:L1857" si="225">COUNTIF(I1794:I3793,"Credit Card")</f>
        <v>81</v>
      </c>
      <c r="M1794" s="14" t="str">
        <f t="shared" ref="M1794:M1857" si="226">TEXT(B1794:B3793,"dd-mm-yyyy")</f>
        <v>13-09-2024</v>
      </c>
      <c r="N1794" s="14">
        <f t="shared" ref="N1794:N1857" si="227">AVERAGE(H1794:H3793)</f>
        <v>0.15902397951318128</v>
      </c>
      <c r="O1794" s="20">
        <f t="shared" ref="O1794:O1857" si="228">AVERAGE(F1794:F3793)</f>
        <v>2.5151675370786806</v>
      </c>
      <c r="P1794" s="14">
        <f t="shared" ref="P1794:P1857" si="229">AVERAGE(G1794:G3793)</f>
        <v>445.03575990479152</v>
      </c>
      <c r="Q1794" s="14">
        <f t="shared" ref="Q1794:Q1857" si="230">AVERAGE(F1794,G1794,H1794,J1794)</f>
        <v>352.04264146941335</v>
      </c>
      <c r="R1794" s="14" t="str">
        <f t="shared" ref="R1794:R1857" si="231">TEXT(M1794,"mmm")</f>
        <v>Sep</v>
      </c>
    </row>
    <row r="1795" spans="1:18" x14ac:dyDescent="0.3">
      <c r="A1795" t="s">
        <v>3403</v>
      </c>
      <c r="B1795" s="1">
        <v>45236</v>
      </c>
      <c r="C1795" t="s">
        <v>595</v>
      </c>
      <c r="D1795" t="s">
        <v>1375</v>
      </c>
      <c r="E1795" t="s">
        <v>1584</v>
      </c>
      <c r="F1795">
        <v>2.5126084386789498</v>
      </c>
      <c r="G1795" s="14">
        <v>450.31557550896798</v>
      </c>
      <c r="H1795" s="17">
        <v>0.15833424831304099</v>
      </c>
      <c r="I1795" t="s">
        <v>1614</v>
      </c>
      <c r="J1795" s="14">
        <v>955.02432017543299</v>
      </c>
      <c r="K1795" s="14">
        <f t="shared" si="224"/>
        <v>76358.218677200421</v>
      </c>
      <c r="L1795" s="14">
        <f t="shared" si="225"/>
        <v>81</v>
      </c>
      <c r="M1795" s="14" t="str">
        <f t="shared" si="226"/>
        <v>06-11-2023</v>
      </c>
      <c r="N1795" s="14">
        <f t="shared" si="227"/>
        <v>0.15902736054847608</v>
      </c>
      <c r="O1795" s="20">
        <f t="shared" si="228"/>
        <v>2.5151800816786789</v>
      </c>
      <c r="P1795" s="14">
        <f t="shared" si="229"/>
        <v>445.00987845575139</v>
      </c>
      <c r="Q1795" s="14">
        <f t="shared" si="230"/>
        <v>352.00270959284825</v>
      </c>
      <c r="R1795" s="14" t="str">
        <f t="shared" si="231"/>
        <v>Nov</v>
      </c>
    </row>
    <row r="1796" spans="1:18" x14ac:dyDescent="0.3">
      <c r="A1796" t="s">
        <v>3404</v>
      </c>
      <c r="B1796" s="1">
        <v>45310</v>
      </c>
      <c r="C1796" t="s">
        <v>1154</v>
      </c>
      <c r="D1796" t="s">
        <v>1499</v>
      </c>
      <c r="E1796" t="s">
        <v>1579</v>
      </c>
      <c r="F1796">
        <v>2.51263352787895</v>
      </c>
      <c r="G1796" s="14">
        <v>450.26381261088699</v>
      </c>
      <c r="H1796" s="17">
        <v>0.15834101038363099</v>
      </c>
      <c r="I1796" t="s">
        <v>1609</v>
      </c>
      <c r="J1796" s="14">
        <v>954.91632371598098</v>
      </c>
      <c r="K1796" s="14">
        <f t="shared" si="224"/>
        <v>76358.218677200421</v>
      </c>
      <c r="L1796" s="14">
        <f t="shared" si="225"/>
        <v>81</v>
      </c>
      <c r="M1796" s="14" t="str">
        <f t="shared" si="226"/>
        <v>19-01-2024</v>
      </c>
      <c r="N1796" s="14">
        <f t="shared" si="227"/>
        <v>0.1590307415837709</v>
      </c>
      <c r="O1796" s="20">
        <f t="shared" si="228"/>
        <v>2.5151926262786781</v>
      </c>
      <c r="P1796" s="14">
        <f t="shared" si="229"/>
        <v>444.98399700671132</v>
      </c>
      <c r="Q1796" s="14">
        <f t="shared" si="230"/>
        <v>351.96277771628263</v>
      </c>
      <c r="R1796" s="14" t="str">
        <f t="shared" si="231"/>
        <v>Jan</v>
      </c>
    </row>
    <row r="1797" spans="1:18" x14ac:dyDescent="0.3">
      <c r="A1797" t="s">
        <v>3405</v>
      </c>
      <c r="B1797" s="1">
        <v>45376</v>
      </c>
      <c r="C1797" t="s">
        <v>899</v>
      </c>
      <c r="D1797" t="s">
        <v>1469</v>
      </c>
      <c r="E1797" t="s">
        <v>1598</v>
      </c>
      <c r="F1797">
        <v>2.51265861707894</v>
      </c>
      <c r="G1797" s="14">
        <v>450.21204971280702</v>
      </c>
      <c r="H1797" s="17">
        <v>0.15834777245421999</v>
      </c>
      <c r="I1797" t="s">
        <v>1614</v>
      </c>
      <c r="J1797" s="14">
        <v>954.80832725652897</v>
      </c>
      <c r="K1797" s="14">
        <f t="shared" si="224"/>
        <v>75403.302353484425</v>
      </c>
      <c r="L1797" s="14">
        <f t="shared" si="225"/>
        <v>80</v>
      </c>
      <c r="M1797" s="14" t="str">
        <f t="shared" si="226"/>
        <v>25-03-2024</v>
      </c>
      <c r="N1797" s="14">
        <f t="shared" si="227"/>
        <v>0.15903412261906569</v>
      </c>
      <c r="O1797" s="20">
        <f t="shared" si="228"/>
        <v>2.515205170878676</v>
      </c>
      <c r="P1797" s="14">
        <f t="shared" si="229"/>
        <v>444.95811555767114</v>
      </c>
      <c r="Q1797" s="14">
        <f t="shared" si="230"/>
        <v>351.9228458397173</v>
      </c>
      <c r="R1797" s="14" t="str">
        <f t="shared" si="231"/>
        <v>Mar</v>
      </c>
    </row>
    <row r="1798" spans="1:18" x14ac:dyDescent="0.3">
      <c r="A1798" t="s">
        <v>3406</v>
      </c>
      <c r="B1798" s="1">
        <v>45914</v>
      </c>
      <c r="C1798" t="s">
        <v>999</v>
      </c>
      <c r="D1798" t="s">
        <v>1497</v>
      </c>
      <c r="E1798" t="s">
        <v>1551</v>
      </c>
      <c r="F1798">
        <v>2.5126837062789402</v>
      </c>
      <c r="G1798" s="14">
        <v>450.16028681472699</v>
      </c>
      <c r="H1798" s="17">
        <v>0.15835453452480999</v>
      </c>
      <c r="I1798" t="s">
        <v>1611</v>
      </c>
      <c r="J1798" s="14">
        <v>954.70033079707696</v>
      </c>
      <c r="K1798" s="14">
        <f t="shared" si="224"/>
        <v>75403.302353484425</v>
      </c>
      <c r="L1798" s="14">
        <f t="shared" si="225"/>
        <v>80</v>
      </c>
      <c r="M1798" s="14" t="str">
        <f t="shared" si="226"/>
        <v>14-09-2025</v>
      </c>
      <c r="N1798" s="14">
        <f t="shared" si="227"/>
        <v>0.15903750365436053</v>
      </c>
      <c r="O1798" s="20">
        <f t="shared" si="228"/>
        <v>2.5152177154786752</v>
      </c>
      <c r="P1798" s="14">
        <f t="shared" si="229"/>
        <v>444.93223410863112</v>
      </c>
      <c r="Q1798" s="14">
        <f t="shared" si="230"/>
        <v>351.88291396315191</v>
      </c>
      <c r="R1798" s="14" t="str">
        <f t="shared" si="231"/>
        <v>Sep</v>
      </c>
    </row>
    <row r="1799" spans="1:18" x14ac:dyDescent="0.3">
      <c r="A1799" t="s">
        <v>3407</v>
      </c>
      <c r="B1799" s="1">
        <v>45336</v>
      </c>
      <c r="C1799" t="s">
        <v>295</v>
      </c>
      <c r="D1799" t="s">
        <v>1353</v>
      </c>
      <c r="E1799" t="s">
        <v>1579</v>
      </c>
      <c r="F1799">
        <v>2.51270879547894</v>
      </c>
      <c r="G1799" s="14">
        <v>450.10852391664702</v>
      </c>
      <c r="H1799" s="17">
        <v>0.15836129659539999</v>
      </c>
      <c r="I1799" t="s">
        <v>1611</v>
      </c>
      <c r="J1799" s="14">
        <v>954.59233433762597</v>
      </c>
      <c r="K1799" s="14">
        <f t="shared" si="224"/>
        <v>75403.302353484425</v>
      </c>
      <c r="L1799" s="14">
        <f t="shared" si="225"/>
        <v>80</v>
      </c>
      <c r="M1799" s="14" t="str">
        <f t="shared" si="226"/>
        <v>14-02-2024</v>
      </c>
      <c r="N1799" s="14">
        <f t="shared" si="227"/>
        <v>0.15904088468965533</v>
      </c>
      <c r="O1799" s="20">
        <f t="shared" si="228"/>
        <v>2.5152302600786736</v>
      </c>
      <c r="P1799" s="14">
        <f t="shared" si="229"/>
        <v>444.90635265959099</v>
      </c>
      <c r="Q1799" s="14">
        <f t="shared" si="230"/>
        <v>351.84298208658686</v>
      </c>
      <c r="R1799" s="14" t="str">
        <f t="shared" si="231"/>
        <v>Feb</v>
      </c>
    </row>
    <row r="1800" spans="1:18" x14ac:dyDescent="0.3">
      <c r="A1800" t="s">
        <v>3408</v>
      </c>
      <c r="B1800" s="1">
        <v>45728</v>
      </c>
      <c r="C1800" t="s">
        <v>275</v>
      </c>
      <c r="D1800" t="s">
        <v>1389</v>
      </c>
      <c r="E1800" t="s">
        <v>1589</v>
      </c>
      <c r="F1800">
        <v>2.51273388467893</v>
      </c>
      <c r="G1800" s="14">
        <v>450.05676101856699</v>
      </c>
      <c r="H1800" s="17">
        <v>0.15836805866598899</v>
      </c>
      <c r="I1800" t="s">
        <v>1614</v>
      </c>
      <c r="J1800" s="14">
        <v>954.48433787817396</v>
      </c>
      <c r="K1800" s="14">
        <f t="shared" si="224"/>
        <v>75403.302353484425</v>
      </c>
      <c r="L1800" s="14">
        <f t="shared" si="225"/>
        <v>80</v>
      </c>
      <c r="M1800" s="14" t="str">
        <f t="shared" si="226"/>
        <v>12-03-2025</v>
      </c>
      <c r="N1800" s="14">
        <f t="shared" si="227"/>
        <v>0.15904426572495012</v>
      </c>
      <c r="O1800" s="20">
        <f t="shared" si="228"/>
        <v>2.5152428046786723</v>
      </c>
      <c r="P1800" s="14">
        <f t="shared" si="229"/>
        <v>444.88047121055098</v>
      </c>
      <c r="Q1800" s="14">
        <f t="shared" si="230"/>
        <v>351.80305021002147</v>
      </c>
      <c r="R1800" s="14" t="str">
        <f t="shared" si="231"/>
        <v>Mar</v>
      </c>
    </row>
    <row r="1801" spans="1:18" x14ac:dyDescent="0.3">
      <c r="A1801" t="s">
        <v>3409</v>
      </c>
      <c r="B1801" s="1">
        <v>45755</v>
      </c>
      <c r="C1801" t="s">
        <v>693</v>
      </c>
      <c r="D1801" t="s">
        <v>1507</v>
      </c>
      <c r="E1801" t="s">
        <v>1537</v>
      </c>
      <c r="F1801">
        <v>2.5127589738789302</v>
      </c>
      <c r="G1801" s="14">
        <v>450.00499812048702</v>
      </c>
      <c r="H1801" s="17">
        <v>0.15837482073657899</v>
      </c>
      <c r="I1801" t="s">
        <v>1611</v>
      </c>
      <c r="J1801" s="14">
        <v>954.37634141872195</v>
      </c>
      <c r="K1801" s="14">
        <f t="shared" si="224"/>
        <v>75403.302353484425</v>
      </c>
      <c r="L1801" s="14">
        <f t="shared" si="225"/>
        <v>80</v>
      </c>
      <c r="M1801" s="14" t="str">
        <f t="shared" si="226"/>
        <v>08-04-2025</v>
      </c>
      <c r="N1801" s="14">
        <f t="shared" si="227"/>
        <v>0.15904764676024491</v>
      </c>
      <c r="O1801" s="20">
        <f t="shared" si="228"/>
        <v>2.5152553492786711</v>
      </c>
      <c r="P1801" s="14">
        <f t="shared" si="229"/>
        <v>444.85458976151097</v>
      </c>
      <c r="Q1801" s="14">
        <f t="shared" si="230"/>
        <v>351.76311833345613</v>
      </c>
      <c r="R1801" s="14" t="str">
        <f t="shared" si="231"/>
        <v>Apr</v>
      </c>
    </row>
    <row r="1802" spans="1:18" x14ac:dyDescent="0.3">
      <c r="A1802" t="s">
        <v>3410</v>
      </c>
      <c r="B1802" s="1">
        <v>45695</v>
      </c>
      <c r="C1802" t="s">
        <v>381</v>
      </c>
      <c r="D1802" t="s">
        <v>1429</v>
      </c>
      <c r="E1802" t="s">
        <v>1574</v>
      </c>
      <c r="F1802">
        <v>2.51278406307893</v>
      </c>
      <c r="G1802" s="14">
        <v>449.95323522240699</v>
      </c>
      <c r="H1802" s="17">
        <v>0.15838158280716799</v>
      </c>
      <c r="I1802" t="s">
        <v>1614</v>
      </c>
      <c r="J1802" s="14">
        <v>954.26834495927005</v>
      </c>
      <c r="K1802" s="14">
        <f t="shared" si="224"/>
        <v>75403.302353484425</v>
      </c>
      <c r="L1802" s="14">
        <f t="shared" si="225"/>
        <v>80</v>
      </c>
      <c r="M1802" s="14" t="str">
        <f t="shared" si="226"/>
        <v>07-02-2025</v>
      </c>
      <c r="N1802" s="14">
        <f t="shared" si="227"/>
        <v>0.15905102779553973</v>
      </c>
      <c r="O1802" s="20">
        <f t="shared" si="228"/>
        <v>2.5152678938786699</v>
      </c>
      <c r="P1802" s="14">
        <f t="shared" si="229"/>
        <v>444.82870831247078</v>
      </c>
      <c r="Q1802" s="14">
        <f t="shared" si="230"/>
        <v>351.7231864568908</v>
      </c>
      <c r="R1802" s="14" t="str">
        <f t="shared" si="231"/>
        <v>Feb</v>
      </c>
    </row>
    <row r="1803" spans="1:18" x14ac:dyDescent="0.3">
      <c r="A1803" t="s">
        <v>3411</v>
      </c>
      <c r="B1803" s="1">
        <v>45380</v>
      </c>
      <c r="C1803" t="s">
        <v>387</v>
      </c>
      <c r="D1803" t="s">
        <v>1395</v>
      </c>
      <c r="E1803" t="s">
        <v>1586</v>
      </c>
      <c r="F1803">
        <v>2.5128091522789302</v>
      </c>
      <c r="G1803" s="14">
        <v>449.90147232432599</v>
      </c>
      <c r="H1803" s="17">
        <v>0.15838834487775799</v>
      </c>
      <c r="I1803" t="s">
        <v>1614</v>
      </c>
      <c r="J1803" s="14">
        <v>954.16034849981895</v>
      </c>
      <c r="K1803" s="14">
        <f t="shared" si="224"/>
        <v>75403.302353484425</v>
      </c>
      <c r="L1803" s="14">
        <f t="shared" si="225"/>
        <v>80</v>
      </c>
      <c r="M1803" s="14" t="str">
        <f t="shared" si="226"/>
        <v>29-03-2024</v>
      </c>
      <c r="N1803" s="14">
        <f t="shared" si="227"/>
        <v>0.15905440883083452</v>
      </c>
      <c r="O1803" s="20">
        <f t="shared" si="228"/>
        <v>2.5152804384786687</v>
      </c>
      <c r="P1803" s="14">
        <f t="shared" si="229"/>
        <v>444.80282686343071</v>
      </c>
      <c r="Q1803" s="14">
        <f t="shared" si="230"/>
        <v>351.68325458032541</v>
      </c>
      <c r="R1803" s="14" t="str">
        <f t="shared" si="231"/>
        <v>Mar</v>
      </c>
    </row>
    <row r="1804" spans="1:18" x14ac:dyDescent="0.3">
      <c r="A1804" t="s">
        <v>3412</v>
      </c>
      <c r="B1804" s="1">
        <v>45446</v>
      </c>
      <c r="C1804" t="s">
        <v>818</v>
      </c>
      <c r="D1804" t="s">
        <v>1387</v>
      </c>
      <c r="E1804" t="s">
        <v>1554</v>
      </c>
      <c r="F1804">
        <v>2.5128342414789202</v>
      </c>
      <c r="G1804" s="14">
        <v>449.84970942624602</v>
      </c>
      <c r="H1804" s="17">
        <v>0.15839510694834799</v>
      </c>
      <c r="I1804" t="s">
        <v>1614</v>
      </c>
      <c r="J1804" s="14">
        <v>954.05235204036705</v>
      </c>
      <c r="K1804" s="14">
        <f t="shared" si="224"/>
        <v>75403.302353484425</v>
      </c>
      <c r="L1804" s="14">
        <f t="shared" si="225"/>
        <v>80</v>
      </c>
      <c r="M1804" s="14" t="str">
        <f t="shared" si="226"/>
        <v>03-06-2024</v>
      </c>
      <c r="N1804" s="14">
        <f t="shared" si="227"/>
        <v>0.15905778986612931</v>
      </c>
      <c r="O1804" s="20">
        <f t="shared" si="228"/>
        <v>2.5152929830786674</v>
      </c>
      <c r="P1804" s="14">
        <f t="shared" si="229"/>
        <v>444.77694541439058</v>
      </c>
      <c r="Q1804" s="14">
        <f t="shared" si="230"/>
        <v>351.64332270376008</v>
      </c>
      <c r="R1804" s="14" t="str">
        <f t="shared" si="231"/>
        <v>Jun</v>
      </c>
    </row>
    <row r="1805" spans="1:18" x14ac:dyDescent="0.3">
      <c r="A1805" t="s">
        <v>3413</v>
      </c>
      <c r="B1805" s="1">
        <v>45525</v>
      </c>
      <c r="C1805" t="s">
        <v>449</v>
      </c>
      <c r="D1805" t="s">
        <v>1371</v>
      </c>
      <c r="E1805" t="s">
        <v>1537</v>
      </c>
      <c r="F1805">
        <v>2.51285933067892</v>
      </c>
      <c r="G1805" s="14">
        <v>449.79794652816599</v>
      </c>
      <c r="H1805" s="17">
        <v>0.15840186901893699</v>
      </c>
      <c r="I1805" t="s">
        <v>1609</v>
      </c>
      <c r="J1805" s="14">
        <v>953.94435558091504</v>
      </c>
      <c r="K1805" s="14">
        <f t="shared" si="224"/>
        <v>75403.302353484425</v>
      </c>
      <c r="L1805" s="14">
        <f t="shared" si="225"/>
        <v>80</v>
      </c>
      <c r="M1805" s="14" t="str">
        <f t="shared" si="226"/>
        <v>21-08-2024</v>
      </c>
      <c r="N1805" s="14">
        <f t="shared" si="227"/>
        <v>0.15906117090142413</v>
      </c>
      <c r="O1805" s="20">
        <f t="shared" si="228"/>
        <v>2.5153055276786662</v>
      </c>
      <c r="P1805" s="14">
        <f t="shared" si="229"/>
        <v>444.75106396535051</v>
      </c>
      <c r="Q1805" s="14">
        <f t="shared" si="230"/>
        <v>351.60339082719474</v>
      </c>
      <c r="R1805" s="14" t="str">
        <f t="shared" si="231"/>
        <v>Aug</v>
      </c>
    </row>
    <row r="1806" spans="1:18" x14ac:dyDescent="0.3">
      <c r="A1806" t="s">
        <v>3414</v>
      </c>
      <c r="B1806" s="1">
        <v>45527</v>
      </c>
      <c r="C1806" t="s">
        <v>1278</v>
      </c>
      <c r="D1806" t="s">
        <v>1419</v>
      </c>
      <c r="E1806" t="s">
        <v>1586</v>
      </c>
      <c r="F1806">
        <v>2.5128844198789202</v>
      </c>
      <c r="G1806" s="14">
        <v>449.74618363008602</v>
      </c>
      <c r="H1806" s="17">
        <v>0.15840863108952699</v>
      </c>
      <c r="I1806" t="s">
        <v>1609</v>
      </c>
      <c r="J1806" s="14">
        <v>953.83635912146406</v>
      </c>
      <c r="K1806" s="14">
        <f t="shared" si="224"/>
        <v>74449.357997903528</v>
      </c>
      <c r="L1806" s="14">
        <f t="shared" si="225"/>
        <v>79</v>
      </c>
      <c r="M1806" s="14" t="str">
        <f t="shared" si="226"/>
        <v>23-08-2024</v>
      </c>
      <c r="N1806" s="14">
        <f t="shared" si="227"/>
        <v>0.15906455193671898</v>
      </c>
      <c r="O1806" s="20">
        <f t="shared" si="228"/>
        <v>2.515318072278665</v>
      </c>
      <c r="P1806" s="14">
        <f t="shared" si="229"/>
        <v>444.7251825163105</v>
      </c>
      <c r="Q1806" s="14">
        <f t="shared" si="230"/>
        <v>351.56345895062964</v>
      </c>
      <c r="R1806" s="14" t="str">
        <f t="shared" si="231"/>
        <v>Aug</v>
      </c>
    </row>
    <row r="1807" spans="1:18" x14ac:dyDescent="0.3">
      <c r="A1807" t="s">
        <v>3415</v>
      </c>
      <c r="B1807" s="1">
        <v>45265</v>
      </c>
      <c r="C1807" t="s">
        <v>1005</v>
      </c>
      <c r="D1807" t="s">
        <v>1411</v>
      </c>
      <c r="E1807" t="s">
        <v>1582</v>
      </c>
      <c r="F1807">
        <v>2.51290950907892</v>
      </c>
      <c r="G1807" s="14">
        <v>449.69442073200599</v>
      </c>
      <c r="H1807" s="17">
        <v>0.15841539316011599</v>
      </c>
      <c r="I1807" t="s">
        <v>1611</v>
      </c>
      <c r="J1807" s="14">
        <v>953.72836266201205</v>
      </c>
      <c r="K1807" s="14">
        <f t="shared" si="224"/>
        <v>73495.521638782069</v>
      </c>
      <c r="L1807" s="14">
        <f t="shared" si="225"/>
        <v>78</v>
      </c>
      <c r="M1807" s="14" t="str">
        <f t="shared" si="226"/>
        <v>05-12-2023</v>
      </c>
      <c r="N1807" s="14">
        <f t="shared" si="227"/>
        <v>0.15906793297201374</v>
      </c>
      <c r="O1807" s="20">
        <f t="shared" si="228"/>
        <v>2.5153306168786638</v>
      </c>
      <c r="P1807" s="14">
        <f t="shared" si="229"/>
        <v>444.69930106727037</v>
      </c>
      <c r="Q1807" s="14">
        <f t="shared" si="230"/>
        <v>351.52352707406425</v>
      </c>
      <c r="R1807" s="14" t="str">
        <f t="shared" si="231"/>
        <v>Dec</v>
      </c>
    </row>
    <row r="1808" spans="1:18" x14ac:dyDescent="0.3">
      <c r="A1808" t="s">
        <v>3416</v>
      </c>
      <c r="B1808" s="1">
        <v>45936</v>
      </c>
      <c r="C1808" t="s">
        <v>1292</v>
      </c>
      <c r="D1808" t="s">
        <v>1441</v>
      </c>
      <c r="E1808" t="s">
        <v>1551</v>
      </c>
      <c r="F1808">
        <v>2.51293459827891</v>
      </c>
      <c r="G1808" s="14">
        <v>449.64265783392602</v>
      </c>
      <c r="H1808" s="17">
        <v>0.15842215523070599</v>
      </c>
      <c r="I1808" t="s">
        <v>1611</v>
      </c>
      <c r="J1808" s="14">
        <v>953.62036620256004</v>
      </c>
      <c r="K1808" s="14">
        <f t="shared" si="224"/>
        <v>73495.521638782069</v>
      </c>
      <c r="L1808" s="14">
        <f t="shared" si="225"/>
        <v>78</v>
      </c>
      <c r="M1808" s="14" t="str">
        <f t="shared" si="226"/>
        <v>06-10-2025</v>
      </c>
      <c r="N1808" s="14">
        <f t="shared" si="227"/>
        <v>0.15907131400730856</v>
      </c>
      <c r="O1808" s="20">
        <f t="shared" si="228"/>
        <v>2.5153431614786625</v>
      </c>
      <c r="P1808" s="14">
        <f t="shared" si="229"/>
        <v>444.67341961823024</v>
      </c>
      <c r="Q1808" s="14">
        <f t="shared" si="230"/>
        <v>351.48359519749891</v>
      </c>
      <c r="R1808" s="14" t="str">
        <f t="shared" si="231"/>
        <v>Oct</v>
      </c>
    </row>
    <row r="1809" spans="1:18" x14ac:dyDescent="0.3">
      <c r="A1809" t="s">
        <v>3417</v>
      </c>
      <c r="B1809" s="1">
        <v>45242</v>
      </c>
      <c r="C1809" t="s">
        <v>687</v>
      </c>
      <c r="D1809" t="s">
        <v>1523</v>
      </c>
      <c r="E1809" t="s">
        <v>1592</v>
      </c>
      <c r="F1809">
        <v>2.5129596874789102</v>
      </c>
      <c r="G1809" s="14">
        <v>449.59089493584497</v>
      </c>
      <c r="H1809" s="17">
        <v>0.15842891730129599</v>
      </c>
      <c r="I1809" t="s">
        <v>1614</v>
      </c>
      <c r="J1809" s="14">
        <v>953.51236974310802</v>
      </c>
      <c r="K1809" s="14">
        <f t="shared" si="224"/>
        <v>73495.521638782069</v>
      </c>
      <c r="L1809" s="14">
        <f t="shared" si="225"/>
        <v>78</v>
      </c>
      <c r="M1809" s="14" t="str">
        <f t="shared" si="226"/>
        <v>12-11-2023</v>
      </c>
      <c r="N1809" s="14">
        <f t="shared" si="227"/>
        <v>0.15907469504260335</v>
      </c>
      <c r="O1809" s="20">
        <f t="shared" si="228"/>
        <v>2.5153557060786613</v>
      </c>
      <c r="P1809" s="14">
        <f t="shared" si="229"/>
        <v>444.64753816919023</v>
      </c>
      <c r="Q1809" s="14">
        <f t="shared" si="230"/>
        <v>351.4436633209333</v>
      </c>
      <c r="R1809" s="14" t="str">
        <f t="shared" si="231"/>
        <v>Nov</v>
      </c>
    </row>
    <row r="1810" spans="1:18" x14ac:dyDescent="0.3">
      <c r="A1810" t="s">
        <v>3418</v>
      </c>
      <c r="B1810" s="1">
        <v>45437</v>
      </c>
      <c r="C1810" t="s">
        <v>1318</v>
      </c>
      <c r="D1810" t="s">
        <v>1473</v>
      </c>
      <c r="E1810" t="s">
        <v>1595</v>
      </c>
      <c r="F1810">
        <v>2.51298477667891</v>
      </c>
      <c r="G1810" s="14">
        <v>449.539132037765</v>
      </c>
      <c r="H1810" s="17">
        <v>0.15843567937188499</v>
      </c>
      <c r="I1810" t="s">
        <v>1609</v>
      </c>
      <c r="J1810" s="14">
        <v>953.40437328365704</v>
      </c>
      <c r="K1810" s="14">
        <f t="shared" si="224"/>
        <v>73495.521638782069</v>
      </c>
      <c r="L1810" s="14">
        <f t="shared" si="225"/>
        <v>78</v>
      </c>
      <c r="M1810" s="14" t="str">
        <f t="shared" si="226"/>
        <v>25-05-2024</v>
      </c>
      <c r="N1810" s="14">
        <f t="shared" si="227"/>
        <v>0.15907807607789815</v>
      </c>
      <c r="O1810" s="20">
        <f t="shared" si="228"/>
        <v>2.5153682506786597</v>
      </c>
      <c r="P1810" s="14">
        <f t="shared" si="229"/>
        <v>444.62165672015016</v>
      </c>
      <c r="Q1810" s="14">
        <f t="shared" si="230"/>
        <v>351.40373144436819</v>
      </c>
      <c r="R1810" s="14" t="str">
        <f t="shared" si="231"/>
        <v>May</v>
      </c>
    </row>
    <row r="1811" spans="1:18" x14ac:dyDescent="0.3">
      <c r="A1811" t="s">
        <v>3419</v>
      </c>
      <c r="B1811" s="1">
        <v>45627</v>
      </c>
      <c r="C1811" t="s">
        <v>752</v>
      </c>
      <c r="D1811" t="s">
        <v>1367</v>
      </c>
      <c r="E1811" t="s">
        <v>1584</v>
      </c>
      <c r="F1811">
        <v>2.5130098658789102</v>
      </c>
      <c r="G1811" s="14">
        <v>449.48736913968497</v>
      </c>
      <c r="H1811" s="17">
        <v>0.15844244144247499</v>
      </c>
      <c r="I1811" t="s">
        <v>1614</v>
      </c>
      <c r="J1811" s="14">
        <v>953.29637682420503</v>
      </c>
      <c r="K1811" s="14">
        <f t="shared" si="224"/>
        <v>72542.117265498397</v>
      </c>
      <c r="L1811" s="14">
        <f t="shared" si="225"/>
        <v>77</v>
      </c>
      <c r="M1811" s="14" t="str">
        <f t="shared" si="226"/>
        <v>01-12-2024</v>
      </c>
      <c r="N1811" s="14">
        <f t="shared" si="227"/>
        <v>0.15908145711319294</v>
      </c>
      <c r="O1811" s="20">
        <f t="shared" si="228"/>
        <v>2.5153807952786584</v>
      </c>
      <c r="P1811" s="14">
        <f t="shared" si="229"/>
        <v>444.59577527111003</v>
      </c>
      <c r="Q1811" s="14">
        <f t="shared" si="230"/>
        <v>351.36379956780286</v>
      </c>
      <c r="R1811" s="14" t="str">
        <f t="shared" si="231"/>
        <v>Dec</v>
      </c>
    </row>
    <row r="1812" spans="1:18" x14ac:dyDescent="0.3">
      <c r="A1812" t="s">
        <v>3420</v>
      </c>
      <c r="B1812" s="1">
        <v>45678</v>
      </c>
      <c r="C1812" t="s">
        <v>372</v>
      </c>
      <c r="D1812" t="s">
        <v>1469</v>
      </c>
      <c r="E1812" t="s">
        <v>1577</v>
      </c>
      <c r="F1812">
        <v>2.5130349550789002</v>
      </c>
      <c r="G1812" s="14">
        <v>449.435606241605</v>
      </c>
      <c r="H1812" s="17">
        <v>0.15844920351306499</v>
      </c>
      <c r="I1812" t="s">
        <v>1611</v>
      </c>
      <c r="J1812" s="14">
        <v>953.18838036475302</v>
      </c>
      <c r="K1812" s="14">
        <f t="shared" si="224"/>
        <v>72542.117265498397</v>
      </c>
      <c r="L1812" s="14">
        <f t="shared" si="225"/>
        <v>77</v>
      </c>
      <c r="M1812" s="14" t="str">
        <f t="shared" si="226"/>
        <v>21-01-2025</v>
      </c>
      <c r="N1812" s="14">
        <f t="shared" si="227"/>
        <v>0.15908483814848776</v>
      </c>
      <c r="O1812" s="20">
        <f t="shared" si="228"/>
        <v>2.5153933398786572</v>
      </c>
      <c r="P1812" s="14">
        <f t="shared" si="229"/>
        <v>444.56989382206996</v>
      </c>
      <c r="Q1812" s="14">
        <f t="shared" si="230"/>
        <v>351.32386769123752</v>
      </c>
      <c r="R1812" s="14" t="str">
        <f t="shared" si="231"/>
        <v>Jan</v>
      </c>
    </row>
    <row r="1813" spans="1:18" x14ac:dyDescent="0.3">
      <c r="A1813" t="s">
        <v>3421</v>
      </c>
      <c r="B1813" s="1">
        <v>45484</v>
      </c>
      <c r="C1813" t="s">
        <v>1008</v>
      </c>
      <c r="D1813" t="s">
        <v>1453</v>
      </c>
      <c r="E1813" t="s">
        <v>1574</v>
      </c>
      <c r="F1813">
        <v>2.5130600442789</v>
      </c>
      <c r="G1813" s="14">
        <v>449.38384334352497</v>
      </c>
      <c r="H1813" s="17">
        <v>0.15845596558365399</v>
      </c>
      <c r="I1813" t="s">
        <v>1609</v>
      </c>
      <c r="J1813" s="14">
        <v>953.08038390530101</v>
      </c>
      <c r="K1813" s="14">
        <f t="shared" si="224"/>
        <v>72542.117265498397</v>
      </c>
      <c r="L1813" s="14">
        <f t="shared" si="225"/>
        <v>77</v>
      </c>
      <c r="M1813" s="14" t="str">
        <f t="shared" si="226"/>
        <v>11-07-2024</v>
      </c>
      <c r="N1813" s="14">
        <f t="shared" si="227"/>
        <v>0.15908821918378258</v>
      </c>
      <c r="O1813" s="20">
        <f t="shared" si="228"/>
        <v>2.5154058844786555</v>
      </c>
      <c r="P1813" s="14">
        <f t="shared" si="229"/>
        <v>444.54401237302983</v>
      </c>
      <c r="Q1813" s="14">
        <f t="shared" si="230"/>
        <v>351.28393581467213</v>
      </c>
      <c r="R1813" s="14" t="str">
        <f t="shared" si="231"/>
        <v>Jul</v>
      </c>
    </row>
    <row r="1814" spans="1:18" x14ac:dyDescent="0.3">
      <c r="A1814" t="s">
        <v>3422</v>
      </c>
      <c r="B1814" s="1">
        <v>45700</v>
      </c>
      <c r="C1814" t="s">
        <v>827</v>
      </c>
      <c r="D1814" t="s">
        <v>1359</v>
      </c>
      <c r="E1814" t="s">
        <v>1595</v>
      </c>
      <c r="F1814">
        <v>2.5130851334789002</v>
      </c>
      <c r="G1814" s="14">
        <v>449.332080445445</v>
      </c>
      <c r="H1814" s="17">
        <v>0.15846272765424399</v>
      </c>
      <c r="I1814" t="s">
        <v>1609</v>
      </c>
      <c r="J1814" s="14">
        <v>952.97238744585002</v>
      </c>
      <c r="K1814" s="14">
        <f t="shared" si="224"/>
        <v>71589.036881593114</v>
      </c>
      <c r="L1814" s="14">
        <f t="shared" si="225"/>
        <v>76</v>
      </c>
      <c r="M1814" s="14" t="str">
        <f t="shared" si="226"/>
        <v>12-02-2025</v>
      </c>
      <c r="N1814" s="14">
        <f t="shared" si="227"/>
        <v>0.15909160021907737</v>
      </c>
      <c r="O1814" s="20">
        <f t="shared" si="228"/>
        <v>2.5154184290786543</v>
      </c>
      <c r="P1814" s="14">
        <f t="shared" si="229"/>
        <v>444.51813092398982</v>
      </c>
      <c r="Q1814" s="14">
        <f t="shared" si="230"/>
        <v>351.24400393810703</v>
      </c>
      <c r="R1814" s="14" t="str">
        <f t="shared" si="231"/>
        <v>Feb</v>
      </c>
    </row>
    <row r="1815" spans="1:18" x14ac:dyDescent="0.3">
      <c r="A1815" t="s">
        <v>3423</v>
      </c>
      <c r="B1815" s="1">
        <v>45873</v>
      </c>
      <c r="C1815" t="s">
        <v>1228</v>
      </c>
      <c r="D1815" t="s">
        <v>1473</v>
      </c>
      <c r="E1815" t="s">
        <v>1586</v>
      </c>
      <c r="F1815">
        <v>2.5131102226788999</v>
      </c>
      <c r="G1815" s="14">
        <v>449.28031754736401</v>
      </c>
      <c r="H1815" s="17">
        <v>0.15846948972483299</v>
      </c>
      <c r="I1815" t="s">
        <v>1609</v>
      </c>
      <c r="J1815" s="14">
        <v>952.86439098639801</v>
      </c>
      <c r="K1815" s="14">
        <f t="shared" si="224"/>
        <v>70636.064494147256</v>
      </c>
      <c r="L1815" s="14">
        <f t="shared" si="225"/>
        <v>75</v>
      </c>
      <c r="M1815" s="14" t="str">
        <f t="shared" si="226"/>
        <v>04-08-2025</v>
      </c>
      <c r="N1815" s="14">
        <f t="shared" si="227"/>
        <v>0.15909498125437219</v>
      </c>
      <c r="O1815" s="20">
        <f t="shared" si="228"/>
        <v>2.5154309736786531</v>
      </c>
      <c r="P1815" s="14">
        <f t="shared" si="229"/>
        <v>444.49224947494969</v>
      </c>
      <c r="Q1815" s="14">
        <f t="shared" si="230"/>
        <v>351.20407206154141</v>
      </c>
      <c r="R1815" s="14" t="str">
        <f t="shared" si="231"/>
        <v>Aug</v>
      </c>
    </row>
    <row r="1816" spans="1:18" x14ac:dyDescent="0.3">
      <c r="A1816" t="s">
        <v>3424</v>
      </c>
      <c r="B1816" s="1">
        <v>45860</v>
      </c>
      <c r="C1816" t="s">
        <v>1136</v>
      </c>
      <c r="D1816" t="s">
        <v>1445</v>
      </c>
      <c r="E1816" t="s">
        <v>1537</v>
      </c>
      <c r="F1816">
        <v>2.5131353118788899</v>
      </c>
      <c r="G1816" s="14">
        <v>449.22855464928398</v>
      </c>
      <c r="H1816" s="17">
        <v>0.15847625179542299</v>
      </c>
      <c r="I1816" t="s">
        <v>1614</v>
      </c>
      <c r="J1816" s="14">
        <v>952.756394526946</v>
      </c>
      <c r="K1816" s="14">
        <f t="shared" si="224"/>
        <v>69683.200103160852</v>
      </c>
      <c r="L1816" s="14">
        <f t="shared" si="225"/>
        <v>74</v>
      </c>
      <c r="M1816" s="14" t="str">
        <f t="shared" si="226"/>
        <v>22-07-2025</v>
      </c>
      <c r="N1816" s="14">
        <f t="shared" si="227"/>
        <v>0.15909836228966695</v>
      </c>
      <c r="O1816" s="20">
        <f t="shared" si="228"/>
        <v>2.5154435182786514</v>
      </c>
      <c r="P1816" s="14">
        <f t="shared" si="229"/>
        <v>444.46636802590967</v>
      </c>
      <c r="Q1816" s="14">
        <f t="shared" si="230"/>
        <v>351.16414018497608</v>
      </c>
      <c r="R1816" s="14" t="str">
        <f t="shared" si="231"/>
        <v>Jul</v>
      </c>
    </row>
    <row r="1817" spans="1:18" x14ac:dyDescent="0.3">
      <c r="A1817" t="s">
        <v>3425</v>
      </c>
      <c r="B1817" s="1">
        <v>45235</v>
      </c>
      <c r="C1817" t="s">
        <v>284</v>
      </c>
      <c r="D1817" t="s">
        <v>1423</v>
      </c>
      <c r="E1817" t="s">
        <v>1586</v>
      </c>
      <c r="F1817">
        <v>2.5131604010788902</v>
      </c>
      <c r="G1817" s="14">
        <v>449.17679175120401</v>
      </c>
      <c r="H1817" s="17">
        <v>0.15848301386601299</v>
      </c>
      <c r="I1817" t="s">
        <v>1609</v>
      </c>
      <c r="J1817" s="14">
        <v>952.64839806749399</v>
      </c>
      <c r="K1817" s="14">
        <f t="shared" si="224"/>
        <v>69683.200103160852</v>
      </c>
      <c r="L1817" s="14">
        <f t="shared" si="225"/>
        <v>74</v>
      </c>
      <c r="M1817" s="14" t="str">
        <f t="shared" si="226"/>
        <v>05-11-2023</v>
      </c>
      <c r="N1817" s="14">
        <f t="shared" si="227"/>
        <v>0.1591017433249618</v>
      </c>
      <c r="O1817" s="20">
        <f t="shared" si="228"/>
        <v>2.5154560628786502</v>
      </c>
      <c r="P1817" s="14">
        <f t="shared" si="229"/>
        <v>444.44048657686955</v>
      </c>
      <c r="Q1817" s="14">
        <f t="shared" si="230"/>
        <v>351.12420830841074</v>
      </c>
      <c r="R1817" s="14" t="str">
        <f t="shared" si="231"/>
        <v>Nov</v>
      </c>
    </row>
    <row r="1818" spans="1:18" x14ac:dyDescent="0.3">
      <c r="A1818" t="s">
        <v>3426</v>
      </c>
      <c r="B1818" s="1">
        <v>45874</v>
      </c>
      <c r="C1818" t="s">
        <v>1236</v>
      </c>
      <c r="D1818" t="s">
        <v>1417</v>
      </c>
      <c r="E1818" t="s">
        <v>1554</v>
      </c>
      <c r="F1818">
        <v>2.5131854902788899</v>
      </c>
      <c r="G1818" s="14">
        <v>449.12502885312398</v>
      </c>
      <c r="H1818" s="17">
        <v>0.15848977593660199</v>
      </c>
      <c r="I1818" t="s">
        <v>1611</v>
      </c>
      <c r="J1818" s="14">
        <v>952.540401608043</v>
      </c>
      <c r="K1818" s="14">
        <f t="shared" si="224"/>
        <v>68730.551705093356</v>
      </c>
      <c r="L1818" s="14">
        <f t="shared" si="225"/>
        <v>73</v>
      </c>
      <c r="M1818" s="14" t="str">
        <f t="shared" si="226"/>
        <v>05-08-2025</v>
      </c>
      <c r="N1818" s="14">
        <f t="shared" si="227"/>
        <v>0.15910512436025656</v>
      </c>
      <c r="O1818" s="20">
        <f t="shared" si="228"/>
        <v>2.515468607478649</v>
      </c>
      <c r="P1818" s="14">
        <f t="shared" si="229"/>
        <v>444.41460512782947</v>
      </c>
      <c r="Q1818" s="14">
        <f t="shared" si="230"/>
        <v>351.08427643184564</v>
      </c>
      <c r="R1818" s="14" t="str">
        <f t="shared" si="231"/>
        <v>Aug</v>
      </c>
    </row>
    <row r="1819" spans="1:18" x14ac:dyDescent="0.3">
      <c r="A1819" t="s">
        <v>3427</v>
      </c>
      <c r="B1819" s="1">
        <v>45769</v>
      </c>
      <c r="C1819" t="s">
        <v>990</v>
      </c>
      <c r="D1819" t="s">
        <v>1519</v>
      </c>
      <c r="E1819" t="s">
        <v>1574</v>
      </c>
      <c r="F1819">
        <v>2.5132105794788799</v>
      </c>
      <c r="G1819" s="14">
        <v>449.07326595504401</v>
      </c>
      <c r="H1819" s="17">
        <v>0.15849653800719199</v>
      </c>
      <c r="I1819" t="s">
        <v>1611</v>
      </c>
      <c r="J1819" s="14">
        <v>952.43240514859099</v>
      </c>
      <c r="K1819" s="14">
        <f t="shared" si="224"/>
        <v>68730.551705093356</v>
      </c>
      <c r="L1819" s="14">
        <f t="shared" si="225"/>
        <v>73</v>
      </c>
      <c r="M1819" s="14" t="str">
        <f t="shared" si="226"/>
        <v>22-04-2025</v>
      </c>
      <c r="N1819" s="14">
        <f t="shared" si="227"/>
        <v>0.15910850539555138</v>
      </c>
      <c r="O1819" s="20">
        <f t="shared" si="228"/>
        <v>2.5154811520786478</v>
      </c>
      <c r="P1819" s="14">
        <f t="shared" si="229"/>
        <v>444.38872367878935</v>
      </c>
      <c r="Q1819" s="14">
        <f t="shared" si="230"/>
        <v>351.04434455528025</v>
      </c>
      <c r="R1819" s="14" t="str">
        <f t="shared" si="231"/>
        <v>Apr</v>
      </c>
    </row>
    <row r="1820" spans="1:18" x14ac:dyDescent="0.3">
      <c r="A1820" t="s">
        <v>3428</v>
      </c>
      <c r="B1820" s="1">
        <v>45619</v>
      </c>
      <c r="C1820" t="s">
        <v>1121</v>
      </c>
      <c r="D1820" t="s">
        <v>1477</v>
      </c>
      <c r="E1820" t="s">
        <v>1582</v>
      </c>
      <c r="F1820">
        <v>2.5132356686788802</v>
      </c>
      <c r="G1820" s="14">
        <v>449.02150305696398</v>
      </c>
      <c r="H1820" s="17">
        <v>0.15850330007778099</v>
      </c>
      <c r="I1820" t="s">
        <v>1611</v>
      </c>
      <c r="J1820" s="14">
        <v>952.32440868913898</v>
      </c>
      <c r="K1820" s="14">
        <f t="shared" si="224"/>
        <v>68730.551705093356</v>
      </c>
      <c r="L1820" s="14">
        <f t="shared" si="225"/>
        <v>73</v>
      </c>
      <c r="M1820" s="14" t="str">
        <f t="shared" si="226"/>
        <v>23-11-2024</v>
      </c>
      <c r="N1820" s="14">
        <f t="shared" si="227"/>
        <v>0.15911188643084617</v>
      </c>
      <c r="O1820" s="20">
        <f t="shared" si="228"/>
        <v>2.5154936966786465</v>
      </c>
      <c r="P1820" s="14">
        <f t="shared" si="229"/>
        <v>444.36284222974928</v>
      </c>
      <c r="Q1820" s="14">
        <f t="shared" si="230"/>
        <v>351.00441267871491</v>
      </c>
      <c r="R1820" s="14" t="str">
        <f t="shared" si="231"/>
        <v>Nov</v>
      </c>
    </row>
    <row r="1821" spans="1:18" x14ac:dyDescent="0.3">
      <c r="A1821" t="s">
        <v>3429</v>
      </c>
      <c r="B1821" s="1">
        <v>45614</v>
      </c>
      <c r="C1821" t="s">
        <v>461</v>
      </c>
      <c r="D1821" t="s">
        <v>1491</v>
      </c>
      <c r="E1821" t="s">
        <v>1546</v>
      </c>
      <c r="F1821">
        <v>2.5132607578788799</v>
      </c>
      <c r="G1821" s="14">
        <v>448.96974015888298</v>
      </c>
      <c r="H1821" s="17">
        <v>0.15851006214837099</v>
      </c>
      <c r="I1821" t="s">
        <v>1609</v>
      </c>
      <c r="J1821" s="14">
        <v>952.21641222968799</v>
      </c>
      <c r="K1821" s="14">
        <f t="shared" si="224"/>
        <v>68730.551705093356</v>
      </c>
      <c r="L1821" s="14">
        <f t="shared" si="225"/>
        <v>73</v>
      </c>
      <c r="M1821" s="14" t="str">
        <f t="shared" si="226"/>
        <v>18-11-2024</v>
      </c>
      <c r="N1821" s="14">
        <f t="shared" si="227"/>
        <v>0.15911526746614099</v>
      </c>
      <c r="O1821" s="20">
        <f t="shared" si="228"/>
        <v>2.5155062412786453</v>
      </c>
      <c r="P1821" s="14">
        <f t="shared" si="229"/>
        <v>444.33696078070921</v>
      </c>
      <c r="Q1821" s="14">
        <f t="shared" si="230"/>
        <v>350.96448080214952</v>
      </c>
      <c r="R1821" s="14" t="str">
        <f t="shared" si="231"/>
        <v>Nov</v>
      </c>
    </row>
    <row r="1822" spans="1:18" x14ac:dyDescent="0.3">
      <c r="A1822" t="s">
        <v>3430</v>
      </c>
      <c r="B1822" s="1">
        <v>45691</v>
      </c>
      <c r="C1822" t="s">
        <v>221</v>
      </c>
      <c r="D1822" t="s">
        <v>1501</v>
      </c>
      <c r="E1822" t="s">
        <v>1582</v>
      </c>
      <c r="F1822">
        <v>2.5132858470788801</v>
      </c>
      <c r="G1822" s="14">
        <v>448.91797726080301</v>
      </c>
      <c r="H1822" s="17">
        <v>0.15851682421896099</v>
      </c>
      <c r="I1822" t="s">
        <v>1614</v>
      </c>
      <c r="J1822" s="14">
        <v>952.10841577023598</v>
      </c>
      <c r="K1822" s="14">
        <f t="shared" si="224"/>
        <v>67778.33529286366</v>
      </c>
      <c r="L1822" s="14">
        <f t="shared" si="225"/>
        <v>72</v>
      </c>
      <c r="M1822" s="14" t="str">
        <f t="shared" si="226"/>
        <v>03-02-2025</v>
      </c>
      <c r="N1822" s="14">
        <f t="shared" si="227"/>
        <v>0.15911864850143578</v>
      </c>
      <c r="O1822" s="20">
        <f t="shared" si="228"/>
        <v>2.5155187858786441</v>
      </c>
      <c r="P1822" s="14">
        <f t="shared" si="229"/>
        <v>444.31107933166919</v>
      </c>
      <c r="Q1822" s="14">
        <f t="shared" si="230"/>
        <v>350.92454892558419</v>
      </c>
      <c r="R1822" s="14" t="str">
        <f t="shared" si="231"/>
        <v>Feb</v>
      </c>
    </row>
    <row r="1823" spans="1:18" x14ac:dyDescent="0.3">
      <c r="A1823" t="s">
        <v>3431</v>
      </c>
      <c r="B1823" s="1">
        <v>45608</v>
      </c>
      <c r="C1823" t="s">
        <v>1187</v>
      </c>
      <c r="D1823" t="s">
        <v>1469</v>
      </c>
      <c r="E1823" t="s">
        <v>1582</v>
      </c>
      <c r="F1823">
        <v>2.5133109362788701</v>
      </c>
      <c r="G1823" s="14">
        <v>448.86621436272299</v>
      </c>
      <c r="H1823" s="17">
        <v>0.15852358628954999</v>
      </c>
      <c r="I1823" t="s">
        <v>1614</v>
      </c>
      <c r="J1823" s="14">
        <v>952.00041931078397</v>
      </c>
      <c r="K1823" s="14">
        <f t="shared" si="224"/>
        <v>67778.33529286366</v>
      </c>
      <c r="L1823" s="14">
        <f t="shared" si="225"/>
        <v>72</v>
      </c>
      <c r="M1823" s="14" t="str">
        <f t="shared" si="226"/>
        <v>12-11-2024</v>
      </c>
      <c r="N1823" s="14">
        <f t="shared" si="227"/>
        <v>0.1591220295367306</v>
      </c>
      <c r="O1823" s="20">
        <f t="shared" si="228"/>
        <v>2.5155313304786429</v>
      </c>
      <c r="P1823" s="14">
        <f t="shared" si="229"/>
        <v>444.28519788262906</v>
      </c>
      <c r="Q1823" s="14">
        <f t="shared" si="230"/>
        <v>350.88461704901886</v>
      </c>
      <c r="R1823" s="14" t="str">
        <f t="shared" si="231"/>
        <v>Nov</v>
      </c>
    </row>
    <row r="1824" spans="1:18" x14ac:dyDescent="0.3">
      <c r="A1824" t="s">
        <v>3432</v>
      </c>
      <c r="B1824" s="1">
        <v>45412</v>
      </c>
      <c r="C1824" t="s">
        <v>896</v>
      </c>
      <c r="D1824" t="s">
        <v>1475</v>
      </c>
      <c r="E1824" t="s">
        <v>1551</v>
      </c>
      <c r="F1824">
        <v>2.5133360254788699</v>
      </c>
      <c r="G1824" s="14">
        <v>448.81445146464301</v>
      </c>
      <c r="H1824" s="17">
        <v>0.15853034836013999</v>
      </c>
      <c r="I1824" t="s">
        <v>1609</v>
      </c>
      <c r="J1824" s="14">
        <v>951.89242285133196</v>
      </c>
      <c r="K1824" s="14">
        <f t="shared" si="224"/>
        <v>67778.33529286366</v>
      </c>
      <c r="L1824" s="14">
        <f t="shared" si="225"/>
        <v>72</v>
      </c>
      <c r="M1824" s="14" t="str">
        <f t="shared" si="226"/>
        <v>30-04-2024</v>
      </c>
      <c r="N1824" s="14">
        <f t="shared" si="227"/>
        <v>0.15912541057202542</v>
      </c>
      <c r="O1824" s="20">
        <f t="shared" si="228"/>
        <v>2.5155438750786416</v>
      </c>
      <c r="P1824" s="14">
        <f t="shared" si="229"/>
        <v>444.25931643358899</v>
      </c>
      <c r="Q1824" s="14">
        <f t="shared" si="230"/>
        <v>350.84468517245352</v>
      </c>
      <c r="R1824" s="14" t="str">
        <f t="shared" si="231"/>
        <v>Apr</v>
      </c>
    </row>
    <row r="1825" spans="1:18" x14ac:dyDescent="0.3">
      <c r="A1825" t="s">
        <v>3433</v>
      </c>
      <c r="B1825" s="1">
        <v>45767</v>
      </c>
      <c r="C1825" t="s">
        <v>663</v>
      </c>
      <c r="D1825" t="s">
        <v>1393</v>
      </c>
      <c r="E1825" t="s">
        <v>1561</v>
      </c>
      <c r="F1825">
        <v>2.5133611146788701</v>
      </c>
      <c r="G1825" s="14">
        <v>448.76268856656299</v>
      </c>
      <c r="H1825" s="17">
        <v>0.15853711043072899</v>
      </c>
      <c r="I1825" t="s">
        <v>1614</v>
      </c>
      <c r="J1825" s="14">
        <v>951.78442639188097</v>
      </c>
      <c r="K1825" s="14">
        <f t="shared" si="224"/>
        <v>66826.442870012339</v>
      </c>
      <c r="L1825" s="14">
        <f t="shared" si="225"/>
        <v>71</v>
      </c>
      <c r="M1825" s="14" t="str">
        <f t="shared" si="226"/>
        <v>20-04-2025</v>
      </c>
      <c r="N1825" s="14">
        <f t="shared" si="227"/>
        <v>0.15912879160732019</v>
      </c>
      <c r="O1825" s="20">
        <f t="shared" si="228"/>
        <v>2.5155564196786404</v>
      </c>
      <c r="P1825" s="14">
        <f t="shared" si="229"/>
        <v>444.23343498454886</v>
      </c>
      <c r="Q1825" s="14">
        <f t="shared" si="230"/>
        <v>350.80475329588842</v>
      </c>
      <c r="R1825" s="14" t="str">
        <f t="shared" si="231"/>
        <v>Apr</v>
      </c>
    </row>
    <row r="1826" spans="1:18" x14ac:dyDescent="0.3">
      <c r="A1826" t="s">
        <v>3434</v>
      </c>
      <c r="B1826" s="1">
        <v>45428</v>
      </c>
      <c r="C1826" t="s">
        <v>1092</v>
      </c>
      <c r="D1826" t="s">
        <v>1399</v>
      </c>
      <c r="E1826" t="s">
        <v>1574</v>
      </c>
      <c r="F1826">
        <v>2.5133862038788699</v>
      </c>
      <c r="G1826" s="14">
        <v>448.71092566848301</v>
      </c>
      <c r="H1826" s="17">
        <v>0.15854387250131899</v>
      </c>
      <c r="I1826" t="s">
        <v>1609</v>
      </c>
      <c r="J1826" s="14">
        <v>951.67642993242896</v>
      </c>
      <c r="K1826" s="14">
        <f t="shared" si="224"/>
        <v>66826.442870012339</v>
      </c>
      <c r="L1826" s="14">
        <f t="shared" si="225"/>
        <v>71</v>
      </c>
      <c r="M1826" s="14" t="str">
        <f t="shared" si="226"/>
        <v>16-05-2024</v>
      </c>
      <c r="N1826" s="14">
        <f t="shared" si="227"/>
        <v>0.15913217264261501</v>
      </c>
      <c r="O1826" s="20">
        <f t="shared" si="228"/>
        <v>2.5155689642786392</v>
      </c>
      <c r="P1826" s="14">
        <f t="shared" si="229"/>
        <v>444.20755353550891</v>
      </c>
      <c r="Q1826" s="14">
        <f t="shared" si="230"/>
        <v>350.76482141932303</v>
      </c>
      <c r="R1826" s="14" t="str">
        <f t="shared" si="231"/>
        <v>May</v>
      </c>
    </row>
    <row r="1827" spans="1:18" x14ac:dyDescent="0.3">
      <c r="A1827" t="s">
        <v>3435</v>
      </c>
      <c r="B1827" s="1">
        <v>45770</v>
      </c>
      <c r="C1827" t="s">
        <v>794</v>
      </c>
      <c r="D1827" t="s">
        <v>1419</v>
      </c>
      <c r="E1827" t="s">
        <v>1567</v>
      </c>
      <c r="F1827">
        <v>2.5134112930788599</v>
      </c>
      <c r="G1827" s="14">
        <v>448.65916277040299</v>
      </c>
      <c r="H1827" s="17">
        <v>0.15855063457190899</v>
      </c>
      <c r="I1827" t="s">
        <v>1611</v>
      </c>
      <c r="J1827" s="14">
        <v>951.56843347297695</v>
      </c>
      <c r="K1827" s="14">
        <f t="shared" si="224"/>
        <v>65874.766440079911</v>
      </c>
      <c r="L1827" s="14">
        <f t="shared" si="225"/>
        <v>70</v>
      </c>
      <c r="M1827" s="14" t="str">
        <f t="shared" si="226"/>
        <v>23-04-2025</v>
      </c>
      <c r="N1827" s="14">
        <f t="shared" si="227"/>
        <v>0.1591355536779098</v>
      </c>
      <c r="O1827" s="20">
        <f t="shared" si="228"/>
        <v>2.5155815088786375</v>
      </c>
      <c r="P1827" s="14">
        <f t="shared" si="229"/>
        <v>444.18167208646878</v>
      </c>
      <c r="Q1827" s="14">
        <f t="shared" si="230"/>
        <v>350.72488954275764</v>
      </c>
      <c r="R1827" s="14" t="str">
        <f t="shared" si="231"/>
        <v>Apr</v>
      </c>
    </row>
    <row r="1828" spans="1:18" x14ac:dyDescent="0.3">
      <c r="A1828" t="s">
        <v>3436</v>
      </c>
      <c r="B1828" s="1">
        <v>45571</v>
      </c>
      <c r="C1828" t="s">
        <v>1290</v>
      </c>
      <c r="D1828" t="s">
        <v>1423</v>
      </c>
      <c r="E1828" t="s">
        <v>1592</v>
      </c>
      <c r="F1828">
        <v>2.5134363822788601</v>
      </c>
      <c r="G1828" s="14">
        <v>448.60739987232199</v>
      </c>
      <c r="H1828" s="17">
        <v>0.15855739664249799</v>
      </c>
      <c r="I1828" t="s">
        <v>1614</v>
      </c>
      <c r="J1828" s="14">
        <v>951.46043701352505</v>
      </c>
      <c r="K1828" s="14">
        <f t="shared" si="224"/>
        <v>65874.766440079911</v>
      </c>
      <c r="L1828" s="14">
        <f t="shared" si="225"/>
        <v>70</v>
      </c>
      <c r="M1828" s="14" t="str">
        <f t="shared" si="226"/>
        <v>06-10-2024</v>
      </c>
      <c r="N1828" s="14">
        <f t="shared" si="227"/>
        <v>0.15913893471320462</v>
      </c>
      <c r="O1828" s="20">
        <f t="shared" si="228"/>
        <v>2.5155940534786363</v>
      </c>
      <c r="P1828" s="14">
        <f t="shared" si="229"/>
        <v>444.15579063742871</v>
      </c>
      <c r="Q1828" s="14">
        <f t="shared" si="230"/>
        <v>350.68495766619208</v>
      </c>
      <c r="R1828" s="14" t="str">
        <f t="shared" si="231"/>
        <v>Oct</v>
      </c>
    </row>
    <row r="1829" spans="1:18" x14ac:dyDescent="0.3">
      <c r="A1829" t="s">
        <v>3437</v>
      </c>
      <c r="B1829" s="1">
        <v>45700</v>
      </c>
      <c r="C1829" t="s">
        <v>419</v>
      </c>
      <c r="D1829" t="s">
        <v>1399</v>
      </c>
      <c r="E1829" t="s">
        <v>1586</v>
      </c>
      <c r="F1829">
        <v>2.5134614714788599</v>
      </c>
      <c r="G1829" s="14">
        <v>448.55563697424202</v>
      </c>
      <c r="H1829" s="17">
        <v>0.15856415871308799</v>
      </c>
      <c r="I1829" t="s">
        <v>1611</v>
      </c>
      <c r="J1829" s="14">
        <v>951.35244055407395</v>
      </c>
      <c r="K1829" s="14">
        <f t="shared" si="224"/>
        <v>65874.766440079911</v>
      </c>
      <c r="L1829" s="14">
        <f t="shared" si="225"/>
        <v>70</v>
      </c>
      <c r="M1829" s="14" t="str">
        <f t="shared" si="226"/>
        <v>12-02-2025</v>
      </c>
      <c r="N1829" s="14">
        <f t="shared" si="227"/>
        <v>0.15914231574849944</v>
      </c>
      <c r="O1829" s="20">
        <f t="shared" si="228"/>
        <v>2.5156065980786346</v>
      </c>
      <c r="P1829" s="14">
        <f t="shared" si="229"/>
        <v>444.12990918838858</v>
      </c>
      <c r="Q1829" s="14">
        <f t="shared" si="230"/>
        <v>350.64502578962697</v>
      </c>
      <c r="R1829" s="14" t="str">
        <f t="shared" si="231"/>
        <v>Feb</v>
      </c>
    </row>
    <row r="1830" spans="1:18" x14ac:dyDescent="0.3">
      <c r="A1830" t="s">
        <v>3438</v>
      </c>
      <c r="B1830" s="1">
        <v>45382</v>
      </c>
      <c r="C1830" t="s">
        <v>1223</v>
      </c>
      <c r="D1830" t="s">
        <v>1465</v>
      </c>
      <c r="E1830" t="s">
        <v>1551</v>
      </c>
      <c r="F1830">
        <v>2.5134865606788601</v>
      </c>
      <c r="G1830" s="14">
        <v>448.50387407616199</v>
      </c>
      <c r="H1830" s="17">
        <v>0.15857092078367699</v>
      </c>
      <c r="I1830" t="s">
        <v>1609</v>
      </c>
      <c r="J1830" s="14">
        <v>951.24444409462205</v>
      </c>
      <c r="K1830" s="14">
        <f t="shared" si="224"/>
        <v>65874.766440079911</v>
      </c>
      <c r="L1830" s="14">
        <f t="shared" si="225"/>
        <v>70</v>
      </c>
      <c r="M1830" s="14" t="str">
        <f t="shared" si="226"/>
        <v>31-03-2024</v>
      </c>
      <c r="N1830" s="14">
        <f t="shared" si="227"/>
        <v>0.15914569678379425</v>
      </c>
      <c r="O1830" s="20">
        <f t="shared" si="228"/>
        <v>2.5156191426786334</v>
      </c>
      <c r="P1830" s="14">
        <f t="shared" si="229"/>
        <v>444.1040277393484</v>
      </c>
      <c r="Q1830" s="14">
        <f t="shared" si="230"/>
        <v>350.60509391306164</v>
      </c>
      <c r="R1830" s="14" t="str">
        <f t="shared" si="231"/>
        <v>Mar</v>
      </c>
    </row>
    <row r="1831" spans="1:18" x14ac:dyDescent="0.3">
      <c r="A1831" t="s">
        <v>3439</v>
      </c>
      <c r="B1831" s="1">
        <v>45260</v>
      </c>
      <c r="C1831" t="s">
        <v>887</v>
      </c>
      <c r="D1831" t="s">
        <v>1359</v>
      </c>
      <c r="E1831" t="s">
        <v>1567</v>
      </c>
      <c r="F1831">
        <v>2.5135116498788501</v>
      </c>
      <c r="G1831" s="14">
        <v>448.45211117808202</v>
      </c>
      <c r="H1831" s="17">
        <v>0.15857768285426699</v>
      </c>
      <c r="I1831" t="s">
        <v>1609</v>
      </c>
      <c r="J1831" s="14">
        <v>951.13644763517004</v>
      </c>
      <c r="K1831" s="14">
        <f t="shared" si="224"/>
        <v>64923.521995985284</v>
      </c>
      <c r="L1831" s="14">
        <f t="shared" si="225"/>
        <v>69</v>
      </c>
      <c r="M1831" s="14" t="str">
        <f t="shared" si="226"/>
        <v>30-11-2023</v>
      </c>
      <c r="N1831" s="14">
        <f t="shared" si="227"/>
        <v>0.15914907781908905</v>
      </c>
      <c r="O1831" s="20">
        <f t="shared" si="228"/>
        <v>2.5156316872786317</v>
      </c>
      <c r="P1831" s="14">
        <f t="shared" si="229"/>
        <v>444.0781462903085</v>
      </c>
      <c r="Q1831" s="14">
        <f t="shared" si="230"/>
        <v>350.5651620364963</v>
      </c>
      <c r="R1831" s="14" t="str">
        <f t="shared" si="231"/>
        <v>Nov</v>
      </c>
    </row>
    <row r="1832" spans="1:18" x14ac:dyDescent="0.3">
      <c r="A1832" t="s">
        <v>3440</v>
      </c>
      <c r="B1832" s="1">
        <v>45702</v>
      </c>
      <c r="C1832" t="s">
        <v>134</v>
      </c>
      <c r="D1832" t="s">
        <v>1365</v>
      </c>
      <c r="E1832" t="s">
        <v>1567</v>
      </c>
      <c r="F1832">
        <v>2.5135367390788499</v>
      </c>
      <c r="G1832" s="14">
        <v>448.40034828000199</v>
      </c>
      <c r="H1832" s="17">
        <v>0.15858444492485699</v>
      </c>
      <c r="I1832" t="s">
        <v>1614</v>
      </c>
      <c r="J1832" s="14">
        <v>951.02845117571803</v>
      </c>
      <c r="K1832" s="14">
        <f t="shared" si="224"/>
        <v>63972.38554835011</v>
      </c>
      <c r="L1832" s="14">
        <f t="shared" si="225"/>
        <v>68</v>
      </c>
      <c r="M1832" s="14" t="str">
        <f t="shared" si="226"/>
        <v>14-02-2025</v>
      </c>
      <c r="N1832" s="14">
        <f t="shared" si="227"/>
        <v>0.15915245885438384</v>
      </c>
      <c r="O1832" s="20">
        <f t="shared" si="228"/>
        <v>2.5156442318786305</v>
      </c>
      <c r="P1832" s="14">
        <f t="shared" si="229"/>
        <v>444.05226484126842</v>
      </c>
      <c r="Q1832" s="14">
        <f t="shared" si="230"/>
        <v>350.52523015993097</v>
      </c>
      <c r="R1832" s="14" t="str">
        <f t="shared" si="231"/>
        <v>Feb</v>
      </c>
    </row>
    <row r="1833" spans="1:18" x14ac:dyDescent="0.3">
      <c r="A1833" t="s">
        <v>3441</v>
      </c>
      <c r="B1833" s="1">
        <v>45302</v>
      </c>
      <c r="C1833" t="s">
        <v>244</v>
      </c>
      <c r="D1833" t="s">
        <v>1413</v>
      </c>
      <c r="E1833" t="s">
        <v>1586</v>
      </c>
      <c r="F1833">
        <v>2.5135618282788501</v>
      </c>
      <c r="G1833" s="14">
        <v>448.34858538192202</v>
      </c>
      <c r="H1833" s="17">
        <v>0.15859120699544599</v>
      </c>
      <c r="I1833" t="s">
        <v>1609</v>
      </c>
      <c r="J1833" s="14">
        <v>950.92045471626705</v>
      </c>
      <c r="K1833" s="14">
        <f t="shared" si="224"/>
        <v>63972.38554835011</v>
      </c>
      <c r="L1833" s="14">
        <f t="shared" si="225"/>
        <v>68</v>
      </c>
      <c r="M1833" s="14" t="str">
        <f t="shared" si="226"/>
        <v>11-01-2024</v>
      </c>
      <c r="N1833" s="14">
        <f t="shared" si="227"/>
        <v>0.15915583988967866</v>
      </c>
      <c r="O1833" s="20">
        <f t="shared" si="228"/>
        <v>2.5156567764786293</v>
      </c>
      <c r="P1833" s="14">
        <f t="shared" si="229"/>
        <v>444.02638339222835</v>
      </c>
      <c r="Q1833" s="14">
        <f t="shared" si="230"/>
        <v>350.48529828336586</v>
      </c>
      <c r="R1833" s="14" t="str">
        <f t="shared" si="231"/>
        <v>Jan</v>
      </c>
    </row>
    <row r="1834" spans="1:18" x14ac:dyDescent="0.3">
      <c r="A1834" t="s">
        <v>3442</v>
      </c>
      <c r="B1834" s="1">
        <v>45653</v>
      </c>
      <c r="C1834" t="s">
        <v>1184</v>
      </c>
      <c r="D1834" t="s">
        <v>1485</v>
      </c>
      <c r="E1834" t="s">
        <v>1561</v>
      </c>
      <c r="F1834">
        <v>2.5135869174788499</v>
      </c>
      <c r="G1834" s="14">
        <v>448.29682248384103</v>
      </c>
      <c r="H1834" s="17">
        <v>0.15859796906603599</v>
      </c>
      <c r="I1834" t="s">
        <v>1614</v>
      </c>
      <c r="J1834" s="14">
        <v>950.81245825681503</v>
      </c>
      <c r="K1834" s="14">
        <f t="shared" si="224"/>
        <v>63021.465093633844</v>
      </c>
      <c r="L1834" s="14">
        <f t="shared" si="225"/>
        <v>67</v>
      </c>
      <c r="M1834" s="14" t="str">
        <f t="shared" si="226"/>
        <v>27-12-2024</v>
      </c>
      <c r="N1834" s="14">
        <f t="shared" si="227"/>
        <v>0.15915922092497348</v>
      </c>
      <c r="O1834" s="20">
        <f t="shared" si="228"/>
        <v>2.5156693210786281</v>
      </c>
      <c r="P1834" s="14">
        <f t="shared" si="229"/>
        <v>444.00050194318828</v>
      </c>
      <c r="Q1834" s="14">
        <f t="shared" si="230"/>
        <v>350.44536640680025</v>
      </c>
      <c r="R1834" s="14" t="str">
        <f t="shared" si="231"/>
        <v>Dec</v>
      </c>
    </row>
    <row r="1835" spans="1:18" x14ac:dyDescent="0.3">
      <c r="A1835" t="s">
        <v>3443</v>
      </c>
      <c r="B1835" s="1">
        <v>45250</v>
      </c>
      <c r="C1835" t="s">
        <v>1276</v>
      </c>
      <c r="D1835" t="s">
        <v>1507</v>
      </c>
      <c r="E1835" t="s">
        <v>1564</v>
      </c>
      <c r="F1835">
        <v>2.5136120066788399</v>
      </c>
      <c r="G1835" s="14">
        <v>448.245059585761</v>
      </c>
      <c r="H1835" s="17">
        <v>0.15860473113662599</v>
      </c>
      <c r="I1835" t="s">
        <v>1614</v>
      </c>
      <c r="J1835" s="14">
        <v>950.70446179736302</v>
      </c>
      <c r="K1835" s="14">
        <f t="shared" si="224"/>
        <v>63021.465093633844</v>
      </c>
      <c r="L1835" s="14">
        <f t="shared" si="225"/>
        <v>67</v>
      </c>
      <c r="M1835" s="14" t="str">
        <f t="shared" si="226"/>
        <v>20-11-2023</v>
      </c>
      <c r="N1835" s="14">
        <f t="shared" si="227"/>
        <v>0.15916260196026827</v>
      </c>
      <c r="O1835" s="20">
        <f t="shared" si="228"/>
        <v>2.5156818656786268</v>
      </c>
      <c r="P1835" s="14">
        <f t="shared" si="229"/>
        <v>443.97462049414816</v>
      </c>
      <c r="Q1835" s="14">
        <f t="shared" si="230"/>
        <v>350.40543453023486</v>
      </c>
      <c r="R1835" s="14" t="str">
        <f t="shared" si="231"/>
        <v>Nov</v>
      </c>
    </row>
    <row r="1836" spans="1:18" x14ac:dyDescent="0.3">
      <c r="A1836" t="s">
        <v>3444</v>
      </c>
      <c r="B1836" s="1">
        <v>45661</v>
      </c>
      <c r="C1836" t="s">
        <v>640</v>
      </c>
      <c r="D1836" t="s">
        <v>1371</v>
      </c>
      <c r="E1836" t="s">
        <v>1551</v>
      </c>
      <c r="F1836">
        <v>2.5136370958788401</v>
      </c>
      <c r="G1836" s="14">
        <v>448.19329668768103</v>
      </c>
      <c r="H1836" s="17">
        <v>0.15861149320721499</v>
      </c>
      <c r="I1836" t="s">
        <v>1614</v>
      </c>
      <c r="J1836" s="14">
        <v>950.59646533791204</v>
      </c>
      <c r="K1836" s="14">
        <f t="shared" si="224"/>
        <v>63021.465093633844</v>
      </c>
      <c r="L1836" s="14">
        <f t="shared" si="225"/>
        <v>67</v>
      </c>
      <c r="M1836" s="14" t="str">
        <f t="shared" si="226"/>
        <v>04-01-2025</v>
      </c>
      <c r="N1836" s="14">
        <f t="shared" si="227"/>
        <v>0.15916598299556306</v>
      </c>
      <c r="O1836" s="20">
        <f t="shared" si="228"/>
        <v>2.5156944102786256</v>
      </c>
      <c r="P1836" s="14">
        <f t="shared" si="229"/>
        <v>443.94873904510814</v>
      </c>
      <c r="Q1836" s="14">
        <f t="shared" si="230"/>
        <v>350.36550265366975</v>
      </c>
      <c r="R1836" s="14" t="str">
        <f t="shared" si="231"/>
        <v>Jan</v>
      </c>
    </row>
    <row r="1837" spans="1:18" x14ac:dyDescent="0.3">
      <c r="A1837" t="s">
        <v>3445</v>
      </c>
      <c r="B1837" s="1">
        <v>45493</v>
      </c>
      <c r="C1837" t="s">
        <v>160</v>
      </c>
      <c r="D1837" t="s">
        <v>1485</v>
      </c>
      <c r="E1837" t="s">
        <v>1574</v>
      </c>
      <c r="F1837">
        <v>2.5136621850788399</v>
      </c>
      <c r="G1837" s="14">
        <v>448.141533789601</v>
      </c>
      <c r="H1837" s="17">
        <v>0.15861825527780499</v>
      </c>
      <c r="I1837" t="s">
        <v>1614</v>
      </c>
      <c r="J1837" s="14">
        <v>950.48846887846003</v>
      </c>
      <c r="K1837" s="14">
        <f t="shared" si="224"/>
        <v>63021.465093633844</v>
      </c>
      <c r="L1837" s="14">
        <f t="shared" si="225"/>
        <v>67</v>
      </c>
      <c r="M1837" s="14" t="str">
        <f t="shared" si="226"/>
        <v>20-07-2024</v>
      </c>
      <c r="N1837" s="14">
        <f t="shared" si="227"/>
        <v>0.15916936403085788</v>
      </c>
      <c r="O1837" s="20">
        <f t="shared" si="228"/>
        <v>2.5157069548786244</v>
      </c>
      <c r="P1837" s="14">
        <f t="shared" si="229"/>
        <v>443.92285759606807</v>
      </c>
      <c r="Q1837" s="14">
        <f t="shared" si="230"/>
        <v>350.32557077710442</v>
      </c>
      <c r="R1837" s="14" t="str">
        <f t="shared" si="231"/>
        <v>Jul</v>
      </c>
    </row>
    <row r="1838" spans="1:18" x14ac:dyDescent="0.3">
      <c r="A1838" t="s">
        <v>3446</v>
      </c>
      <c r="B1838" s="1">
        <v>45242</v>
      </c>
      <c r="C1838" t="s">
        <v>1315</v>
      </c>
      <c r="D1838" t="s">
        <v>1415</v>
      </c>
      <c r="E1838" t="s">
        <v>1582</v>
      </c>
      <c r="F1838">
        <v>2.5136872742788401</v>
      </c>
      <c r="G1838" s="14">
        <v>448.08977089152103</v>
      </c>
      <c r="H1838" s="17">
        <v>0.15862501734839399</v>
      </c>
      <c r="I1838" t="s">
        <v>1614</v>
      </c>
      <c r="J1838" s="14">
        <v>950.38047241900802</v>
      </c>
      <c r="K1838" s="14">
        <f t="shared" si="224"/>
        <v>63021.465093633844</v>
      </c>
      <c r="L1838" s="14">
        <f t="shared" si="225"/>
        <v>67</v>
      </c>
      <c r="M1838" s="14" t="str">
        <f t="shared" si="226"/>
        <v>12-11-2023</v>
      </c>
      <c r="N1838" s="14">
        <f t="shared" si="227"/>
        <v>0.15917274506615267</v>
      </c>
      <c r="O1838" s="20">
        <f t="shared" si="228"/>
        <v>2.5157194994786232</v>
      </c>
      <c r="P1838" s="14">
        <f t="shared" si="229"/>
        <v>443.896976147028</v>
      </c>
      <c r="Q1838" s="14">
        <f t="shared" si="230"/>
        <v>350.28563890053908</v>
      </c>
      <c r="R1838" s="14" t="str">
        <f t="shared" si="231"/>
        <v>Nov</v>
      </c>
    </row>
    <row r="1839" spans="1:18" x14ac:dyDescent="0.3">
      <c r="A1839" t="s">
        <v>3447</v>
      </c>
      <c r="B1839" s="1">
        <v>45411</v>
      </c>
      <c r="C1839" t="s">
        <v>711</v>
      </c>
      <c r="D1839" t="s">
        <v>1525</v>
      </c>
      <c r="E1839" t="s">
        <v>1595</v>
      </c>
      <c r="F1839">
        <v>2.5137123634788301</v>
      </c>
      <c r="G1839" s="14">
        <v>448.038007993441</v>
      </c>
      <c r="H1839" s="17">
        <v>0.15863177941898399</v>
      </c>
      <c r="I1839" t="s">
        <v>1609</v>
      </c>
      <c r="J1839" s="14">
        <v>950.272475959556</v>
      </c>
      <c r="K1839" s="14">
        <f t="shared" si="224"/>
        <v>63021.465093633844</v>
      </c>
      <c r="L1839" s="14">
        <f t="shared" si="225"/>
        <v>67</v>
      </c>
      <c r="M1839" s="14" t="str">
        <f t="shared" si="226"/>
        <v>29-04-2024</v>
      </c>
      <c r="N1839" s="14">
        <f t="shared" si="227"/>
        <v>0.15917612610144749</v>
      </c>
      <c r="O1839" s="20">
        <f t="shared" si="228"/>
        <v>2.5157320440786215</v>
      </c>
      <c r="P1839" s="14">
        <f t="shared" si="229"/>
        <v>443.87109469798781</v>
      </c>
      <c r="Q1839" s="14">
        <f t="shared" si="230"/>
        <v>350.24570702397369</v>
      </c>
      <c r="R1839" s="14" t="str">
        <f t="shared" si="231"/>
        <v>Apr</v>
      </c>
    </row>
    <row r="1840" spans="1:18" x14ac:dyDescent="0.3">
      <c r="A1840" t="s">
        <v>3448</v>
      </c>
      <c r="B1840" s="1">
        <v>45593</v>
      </c>
      <c r="C1840" t="s">
        <v>130</v>
      </c>
      <c r="D1840" t="s">
        <v>1517</v>
      </c>
      <c r="E1840" t="s">
        <v>1589</v>
      </c>
      <c r="F1840">
        <v>2.5137374526788299</v>
      </c>
      <c r="G1840" s="14">
        <v>447.98624509536</v>
      </c>
      <c r="H1840" s="17">
        <v>0.15863854148957399</v>
      </c>
      <c r="I1840" t="s">
        <v>1611</v>
      </c>
      <c r="J1840" s="14">
        <v>950.16447950010502</v>
      </c>
      <c r="K1840" s="14">
        <f t="shared" si="224"/>
        <v>62071.192617674285</v>
      </c>
      <c r="L1840" s="14">
        <f t="shared" si="225"/>
        <v>66</v>
      </c>
      <c r="M1840" s="14" t="str">
        <f t="shared" si="226"/>
        <v>28-10-2024</v>
      </c>
      <c r="N1840" s="14">
        <f t="shared" si="227"/>
        <v>0.15917950713674225</v>
      </c>
      <c r="O1840" s="20">
        <f t="shared" si="228"/>
        <v>2.5157445886786207</v>
      </c>
      <c r="P1840" s="14">
        <f t="shared" si="229"/>
        <v>443.84521324894769</v>
      </c>
      <c r="Q1840" s="14">
        <f t="shared" si="230"/>
        <v>350.20577514740836</v>
      </c>
      <c r="R1840" s="14" t="str">
        <f t="shared" si="231"/>
        <v>Oct</v>
      </c>
    </row>
    <row r="1841" spans="1:18" x14ac:dyDescent="0.3">
      <c r="A1841" t="s">
        <v>3449</v>
      </c>
      <c r="B1841" s="1">
        <v>45281</v>
      </c>
      <c r="C1841" t="s">
        <v>535</v>
      </c>
      <c r="D1841" t="s">
        <v>1503</v>
      </c>
      <c r="E1841" t="s">
        <v>1582</v>
      </c>
      <c r="F1841">
        <v>2.5137625418788301</v>
      </c>
      <c r="G1841" s="14">
        <v>447.93448219727998</v>
      </c>
      <c r="H1841" s="17">
        <v>0.15864530356016299</v>
      </c>
      <c r="I1841" t="s">
        <v>1614</v>
      </c>
      <c r="J1841" s="14">
        <v>950.05648304065301</v>
      </c>
      <c r="K1841" s="14">
        <f t="shared" si="224"/>
        <v>62071.192617674285</v>
      </c>
      <c r="L1841" s="14">
        <f t="shared" si="225"/>
        <v>66</v>
      </c>
      <c r="M1841" s="14" t="str">
        <f t="shared" si="226"/>
        <v>21-12-2023</v>
      </c>
      <c r="N1841" s="14">
        <f t="shared" si="227"/>
        <v>0.1591828881720371</v>
      </c>
      <c r="O1841" s="20">
        <f t="shared" si="228"/>
        <v>2.5157571332786195</v>
      </c>
      <c r="P1841" s="14">
        <f t="shared" si="229"/>
        <v>443.81933179990767</v>
      </c>
      <c r="Q1841" s="14">
        <f t="shared" si="230"/>
        <v>350.16584327084297</v>
      </c>
      <c r="R1841" s="14" t="str">
        <f t="shared" si="231"/>
        <v>Dec</v>
      </c>
    </row>
    <row r="1842" spans="1:18" x14ac:dyDescent="0.3">
      <c r="A1842" t="s">
        <v>3450</v>
      </c>
      <c r="B1842" s="1">
        <v>45575</v>
      </c>
      <c r="C1842" t="s">
        <v>422</v>
      </c>
      <c r="D1842" t="s">
        <v>1417</v>
      </c>
      <c r="E1842" t="s">
        <v>1571</v>
      </c>
      <c r="F1842">
        <v>2.5137876310788201</v>
      </c>
      <c r="G1842" s="14">
        <v>447.88271929920001</v>
      </c>
      <c r="H1842" s="17">
        <v>0.15865206563075299</v>
      </c>
      <c r="I1842" t="s">
        <v>1614</v>
      </c>
      <c r="J1842" s="14">
        <v>949.948486581201</v>
      </c>
      <c r="K1842" s="14">
        <f t="shared" si="224"/>
        <v>62071.192617674285</v>
      </c>
      <c r="L1842" s="14">
        <f t="shared" si="225"/>
        <v>66</v>
      </c>
      <c r="M1842" s="14" t="str">
        <f t="shared" si="226"/>
        <v>10-10-2024</v>
      </c>
      <c r="N1842" s="14">
        <f t="shared" si="227"/>
        <v>0.15918626920733189</v>
      </c>
      <c r="O1842" s="20">
        <f t="shared" si="228"/>
        <v>2.5157696778786183</v>
      </c>
      <c r="P1842" s="14">
        <f t="shared" si="229"/>
        <v>443.7934503508676</v>
      </c>
      <c r="Q1842" s="14">
        <f t="shared" si="230"/>
        <v>350.12591139427764</v>
      </c>
      <c r="R1842" s="14" t="str">
        <f t="shared" si="231"/>
        <v>Oct</v>
      </c>
    </row>
    <row r="1843" spans="1:18" x14ac:dyDescent="0.3">
      <c r="A1843" t="s">
        <v>3451</v>
      </c>
      <c r="B1843" s="1">
        <v>45660</v>
      </c>
      <c r="C1843" t="s">
        <v>514</v>
      </c>
      <c r="D1843" t="s">
        <v>1517</v>
      </c>
      <c r="E1843" t="s">
        <v>1542</v>
      </c>
      <c r="F1843">
        <v>2.5138127202788199</v>
      </c>
      <c r="G1843" s="14">
        <v>447.83095640111998</v>
      </c>
      <c r="H1843" s="17">
        <v>0.15865882770134199</v>
      </c>
      <c r="I1843" t="s">
        <v>1614</v>
      </c>
      <c r="J1843" s="14">
        <v>949.84049012174899</v>
      </c>
      <c r="K1843" s="14">
        <f t="shared" si="224"/>
        <v>62071.192617674285</v>
      </c>
      <c r="L1843" s="14">
        <f t="shared" si="225"/>
        <v>66</v>
      </c>
      <c r="M1843" s="14" t="str">
        <f t="shared" si="226"/>
        <v>03-01-2025</v>
      </c>
      <c r="N1843" s="14">
        <f t="shared" si="227"/>
        <v>0.15918965024262668</v>
      </c>
      <c r="O1843" s="20">
        <f t="shared" si="228"/>
        <v>2.5157822224786166</v>
      </c>
      <c r="P1843" s="14">
        <f t="shared" si="229"/>
        <v>443.76756890182747</v>
      </c>
      <c r="Q1843" s="14">
        <f t="shared" si="230"/>
        <v>350.0859795177123</v>
      </c>
      <c r="R1843" s="14" t="str">
        <f t="shared" si="231"/>
        <v>Jan</v>
      </c>
    </row>
    <row r="1844" spans="1:18" x14ac:dyDescent="0.3">
      <c r="A1844" t="s">
        <v>3452</v>
      </c>
      <c r="B1844" s="1">
        <v>45360</v>
      </c>
      <c r="C1844" t="s">
        <v>1142</v>
      </c>
      <c r="D1844" t="s">
        <v>1413</v>
      </c>
      <c r="E1844" t="s">
        <v>1558</v>
      </c>
      <c r="F1844">
        <v>2.5138378094788201</v>
      </c>
      <c r="G1844" s="14">
        <v>447.77919350304001</v>
      </c>
      <c r="H1844" s="17">
        <v>0.15866558977193199</v>
      </c>
      <c r="I1844" t="s">
        <v>1611</v>
      </c>
      <c r="J1844" s="14">
        <v>949.732493662298</v>
      </c>
      <c r="K1844" s="14">
        <f t="shared" si="224"/>
        <v>62071.192617674285</v>
      </c>
      <c r="L1844" s="14">
        <f t="shared" si="225"/>
        <v>66</v>
      </c>
      <c r="M1844" s="14" t="str">
        <f t="shared" si="226"/>
        <v>09-03-2024</v>
      </c>
      <c r="N1844" s="14">
        <f t="shared" si="227"/>
        <v>0.1591930312779215</v>
      </c>
      <c r="O1844" s="20">
        <f t="shared" si="228"/>
        <v>2.5157947670786158</v>
      </c>
      <c r="P1844" s="14">
        <f t="shared" si="229"/>
        <v>443.74168745278746</v>
      </c>
      <c r="Q1844" s="14">
        <f t="shared" si="230"/>
        <v>350.0460476411472</v>
      </c>
      <c r="R1844" s="14" t="str">
        <f t="shared" si="231"/>
        <v>Mar</v>
      </c>
    </row>
    <row r="1845" spans="1:18" x14ac:dyDescent="0.3">
      <c r="A1845" t="s">
        <v>3453</v>
      </c>
      <c r="B1845" s="1">
        <v>45526</v>
      </c>
      <c r="C1845" t="s">
        <v>414</v>
      </c>
      <c r="D1845" t="s">
        <v>1503</v>
      </c>
      <c r="E1845" t="s">
        <v>1537</v>
      </c>
      <c r="F1845">
        <v>2.5138628986788198</v>
      </c>
      <c r="G1845" s="14">
        <v>447.72743060495998</v>
      </c>
      <c r="H1845" s="17">
        <v>0.15867235184252201</v>
      </c>
      <c r="I1845" t="s">
        <v>1611</v>
      </c>
      <c r="J1845" s="14">
        <v>949.62449720284599</v>
      </c>
      <c r="K1845" s="14">
        <f t="shared" si="224"/>
        <v>62071.192617674285</v>
      </c>
      <c r="L1845" s="14">
        <f t="shared" si="225"/>
        <v>66</v>
      </c>
      <c r="M1845" s="14" t="str">
        <f t="shared" si="226"/>
        <v>22-08-2024</v>
      </c>
      <c r="N1845" s="14">
        <f t="shared" si="227"/>
        <v>0.15919641231321632</v>
      </c>
      <c r="O1845" s="20">
        <f t="shared" si="228"/>
        <v>2.5158073116786137</v>
      </c>
      <c r="P1845" s="14">
        <f t="shared" si="229"/>
        <v>443.71580600374739</v>
      </c>
      <c r="Q1845" s="14">
        <f t="shared" si="230"/>
        <v>350.00611576458186</v>
      </c>
      <c r="R1845" s="14" t="str">
        <f t="shared" si="231"/>
        <v>Aug</v>
      </c>
    </row>
    <row r="1846" spans="1:18" x14ac:dyDescent="0.3">
      <c r="A1846" t="s">
        <v>3454</v>
      </c>
      <c r="B1846" s="1">
        <v>45395</v>
      </c>
      <c r="C1846" t="s">
        <v>1246</v>
      </c>
      <c r="D1846" t="s">
        <v>1477</v>
      </c>
      <c r="E1846" t="s">
        <v>1598</v>
      </c>
      <c r="F1846">
        <v>2.5138879878788098</v>
      </c>
      <c r="G1846" s="14">
        <v>447.67566770688001</v>
      </c>
      <c r="H1846" s="17">
        <v>0.15867911391311099</v>
      </c>
      <c r="I1846" t="s">
        <v>1609</v>
      </c>
      <c r="J1846" s="14">
        <v>949.51650074339398</v>
      </c>
      <c r="K1846" s="14">
        <f t="shared" si="224"/>
        <v>62071.192617674285</v>
      </c>
      <c r="L1846" s="14">
        <f t="shared" si="225"/>
        <v>66</v>
      </c>
      <c r="M1846" s="14" t="str">
        <f t="shared" si="226"/>
        <v>13-04-2024</v>
      </c>
      <c r="N1846" s="14">
        <f t="shared" si="227"/>
        <v>0.15919979334851111</v>
      </c>
      <c r="O1846" s="20">
        <f t="shared" si="228"/>
        <v>2.5158198562786129</v>
      </c>
      <c r="P1846" s="14">
        <f t="shared" si="229"/>
        <v>443.68992455470726</v>
      </c>
      <c r="Q1846" s="14">
        <f t="shared" si="230"/>
        <v>349.96618388801647</v>
      </c>
      <c r="R1846" s="14" t="str">
        <f t="shared" si="231"/>
        <v>Apr</v>
      </c>
    </row>
    <row r="1847" spans="1:18" x14ac:dyDescent="0.3">
      <c r="A1847" t="s">
        <v>3455</v>
      </c>
      <c r="B1847" s="1">
        <v>45466</v>
      </c>
      <c r="C1847" t="s">
        <v>1316</v>
      </c>
      <c r="D1847" t="s">
        <v>1451</v>
      </c>
      <c r="E1847" t="s">
        <v>1582</v>
      </c>
      <c r="F1847">
        <v>2.5139130770788101</v>
      </c>
      <c r="G1847" s="14">
        <v>447.62390480879901</v>
      </c>
      <c r="H1847" s="17">
        <v>0.15868587598370101</v>
      </c>
      <c r="I1847" t="s">
        <v>1614</v>
      </c>
      <c r="J1847" s="14">
        <v>949.40850428394197</v>
      </c>
      <c r="K1847" s="14">
        <f t="shared" si="224"/>
        <v>61121.676116930903</v>
      </c>
      <c r="L1847" s="14">
        <f t="shared" si="225"/>
        <v>65</v>
      </c>
      <c r="M1847" s="14" t="str">
        <f t="shared" si="226"/>
        <v>23-06-2024</v>
      </c>
      <c r="N1847" s="14">
        <f t="shared" si="227"/>
        <v>0.15920317438380591</v>
      </c>
      <c r="O1847" s="20">
        <f t="shared" si="228"/>
        <v>2.5158324008786113</v>
      </c>
      <c r="P1847" s="14">
        <f t="shared" si="229"/>
        <v>443.66404310566719</v>
      </c>
      <c r="Q1847" s="14">
        <f t="shared" si="230"/>
        <v>349.92625201145086</v>
      </c>
      <c r="R1847" s="14" t="str">
        <f t="shared" si="231"/>
        <v>Jun</v>
      </c>
    </row>
    <row r="1848" spans="1:18" x14ac:dyDescent="0.3">
      <c r="A1848" t="s">
        <v>3456</v>
      </c>
      <c r="B1848" s="1">
        <v>45876</v>
      </c>
      <c r="C1848" t="s">
        <v>657</v>
      </c>
      <c r="D1848" t="s">
        <v>1395</v>
      </c>
      <c r="E1848" t="s">
        <v>1574</v>
      </c>
      <c r="F1848">
        <v>2.5139381662788098</v>
      </c>
      <c r="G1848" s="14">
        <v>447.57214191071898</v>
      </c>
      <c r="H1848" s="17">
        <v>0.15869263805428999</v>
      </c>
      <c r="I1848" t="s">
        <v>1614</v>
      </c>
      <c r="J1848" s="14">
        <v>949.30050782449098</v>
      </c>
      <c r="K1848" s="14">
        <f t="shared" si="224"/>
        <v>61121.676116930903</v>
      </c>
      <c r="L1848" s="14">
        <f t="shared" si="225"/>
        <v>65</v>
      </c>
      <c r="M1848" s="14" t="str">
        <f t="shared" si="226"/>
        <v>07-08-2025</v>
      </c>
      <c r="N1848" s="14">
        <f t="shared" si="227"/>
        <v>0.15920655541910073</v>
      </c>
      <c r="O1848" s="20">
        <f t="shared" si="228"/>
        <v>2.51584494547861</v>
      </c>
      <c r="P1848" s="14">
        <f t="shared" si="229"/>
        <v>443.63816165662718</v>
      </c>
      <c r="Q1848" s="14">
        <f t="shared" si="230"/>
        <v>349.88632013488575</v>
      </c>
      <c r="R1848" s="14" t="str">
        <f t="shared" si="231"/>
        <v>Aug</v>
      </c>
    </row>
    <row r="1849" spans="1:18" x14ac:dyDescent="0.3">
      <c r="A1849" t="s">
        <v>3457</v>
      </c>
      <c r="B1849" s="1">
        <v>45724</v>
      </c>
      <c r="C1849" t="s">
        <v>1059</v>
      </c>
      <c r="D1849" t="s">
        <v>1365</v>
      </c>
      <c r="E1849" t="s">
        <v>1574</v>
      </c>
      <c r="F1849">
        <v>2.5139632554788101</v>
      </c>
      <c r="G1849" s="14">
        <v>447.52037901263901</v>
      </c>
      <c r="H1849" s="17">
        <v>0.15869940012488001</v>
      </c>
      <c r="I1849" t="s">
        <v>1611</v>
      </c>
      <c r="J1849" s="14">
        <v>949.19251136503897</v>
      </c>
      <c r="K1849" s="14">
        <f t="shared" si="224"/>
        <v>61121.676116930903</v>
      </c>
      <c r="L1849" s="14">
        <f t="shared" si="225"/>
        <v>65</v>
      </c>
      <c r="M1849" s="14" t="str">
        <f t="shared" si="226"/>
        <v>08-03-2025</v>
      </c>
      <c r="N1849" s="14">
        <f t="shared" si="227"/>
        <v>0.15920993645439555</v>
      </c>
      <c r="O1849" s="20">
        <f t="shared" si="228"/>
        <v>2.5158574900786084</v>
      </c>
      <c r="P1849" s="14">
        <f t="shared" si="229"/>
        <v>443.61228020758716</v>
      </c>
      <c r="Q1849" s="14">
        <f t="shared" si="230"/>
        <v>349.84638825832042</v>
      </c>
      <c r="R1849" s="14" t="str">
        <f t="shared" si="231"/>
        <v>Mar</v>
      </c>
    </row>
    <row r="1850" spans="1:18" x14ac:dyDescent="0.3">
      <c r="A1850" t="s">
        <v>3458</v>
      </c>
      <c r="B1850" s="1">
        <v>45801</v>
      </c>
      <c r="C1850" t="s">
        <v>1286</v>
      </c>
      <c r="D1850" t="s">
        <v>1467</v>
      </c>
      <c r="E1850" t="s">
        <v>1567</v>
      </c>
      <c r="F1850">
        <v>2.5139883446788001</v>
      </c>
      <c r="G1850" s="14">
        <v>447.46861611455898</v>
      </c>
      <c r="H1850" s="17">
        <v>0.15870616219547001</v>
      </c>
      <c r="I1850" t="s">
        <v>1611</v>
      </c>
      <c r="J1850" s="14">
        <v>949.08451490558696</v>
      </c>
      <c r="K1850" s="14">
        <f t="shared" si="224"/>
        <v>61121.676116930903</v>
      </c>
      <c r="L1850" s="14">
        <f t="shared" si="225"/>
        <v>65</v>
      </c>
      <c r="M1850" s="14" t="str">
        <f t="shared" si="226"/>
        <v>24-05-2025</v>
      </c>
      <c r="N1850" s="14">
        <f t="shared" si="227"/>
        <v>0.15921331748969036</v>
      </c>
      <c r="O1850" s="20">
        <f t="shared" si="228"/>
        <v>2.5158700346786071</v>
      </c>
      <c r="P1850" s="14">
        <f t="shared" si="229"/>
        <v>443.58639875854698</v>
      </c>
      <c r="Q1850" s="14">
        <f t="shared" si="230"/>
        <v>349.80645638175508</v>
      </c>
      <c r="R1850" s="14" t="str">
        <f t="shared" si="231"/>
        <v>May</v>
      </c>
    </row>
    <row r="1851" spans="1:18" x14ac:dyDescent="0.3">
      <c r="A1851" t="s">
        <v>3459</v>
      </c>
      <c r="B1851" s="1">
        <v>45749</v>
      </c>
      <c r="C1851" t="s">
        <v>1190</v>
      </c>
      <c r="D1851" t="s">
        <v>1379</v>
      </c>
      <c r="E1851" t="s">
        <v>1554</v>
      </c>
      <c r="F1851">
        <v>2.5140134338787998</v>
      </c>
      <c r="G1851" s="14">
        <v>447.41685321647901</v>
      </c>
      <c r="H1851" s="17">
        <v>0.15871292426605901</v>
      </c>
      <c r="I1851" t="s">
        <v>1614</v>
      </c>
      <c r="J1851" s="14">
        <v>948.97651844613597</v>
      </c>
      <c r="K1851" s="14">
        <f t="shared" si="224"/>
        <v>61121.676116930903</v>
      </c>
      <c r="L1851" s="14">
        <f t="shared" si="225"/>
        <v>65</v>
      </c>
      <c r="M1851" s="14" t="str">
        <f t="shared" si="226"/>
        <v>02-04-2025</v>
      </c>
      <c r="N1851" s="14">
        <f t="shared" si="227"/>
        <v>0.15921669852498516</v>
      </c>
      <c r="O1851" s="20">
        <f t="shared" si="228"/>
        <v>2.5158825792786059</v>
      </c>
      <c r="P1851" s="14">
        <f t="shared" si="229"/>
        <v>443.56051730950691</v>
      </c>
      <c r="Q1851" s="14">
        <f t="shared" si="230"/>
        <v>349.76652450518998</v>
      </c>
      <c r="R1851" s="14" t="str">
        <f t="shared" si="231"/>
        <v>Apr</v>
      </c>
    </row>
    <row r="1852" spans="1:18" x14ac:dyDescent="0.3">
      <c r="A1852" t="s">
        <v>3460</v>
      </c>
      <c r="B1852" s="1">
        <v>45325</v>
      </c>
      <c r="C1852" t="s">
        <v>396</v>
      </c>
      <c r="D1852" t="s">
        <v>1499</v>
      </c>
      <c r="E1852" t="s">
        <v>1571</v>
      </c>
      <c r="F1852">
        <v>2.5140385230788</v>
      </c>
      <c r="G1852" s="14">
        <v>447.36509031839898</v>
      </c>
      <c r="H1852" s="17">
        <v>0.15871968633664901</v>
      </c>
      <c r="I1852" t="s">
        <v>1609</v>
      </c>
      <c r="J1852" s="14">
        <v>948.86852198668396</v>
      </c>
      <c r="K1852" s="14">
        <f t="shared" si="224"/>
        <v>61121.676116930903</v>
      </c>
      <c r="L1852" s="14">
        <f t="shared" si="225"/>
        <v>65</v>
      </c>
      <c r="M1852" s="14" t="str">
        <f t="shared" si="226"/>
        <v>03-02-2024</v>
      </c>
      <c r="N1852" s="14">
        <f t="shared" si="227"/>
        <v>0.15922007956027995</v>
      </c>
      <c r="O1852" s="20">
        <f t="shared" si="228"/>
        <v>2.5158951238786047</v>
      </c>
      <c r="P1852" s="14">
        <f t="shared" si="229"/>
        <v>443.53463586046678</v>
      </c>
      <c r="Q1852" s="14">
        <f t="shared" si="230"/>
        <v>349.72659262862459</v>
      </c>
      <c r="R1852" s="14" t="str">
        <f t="shared" si="231"/>
        <v>Feb</v>
      </c>
    </row>
    <row r="1853" spans="1:18" x14ac:dyDescent="0.3">
      <c r="A1853" t="s">
        <v>3461</v>
      </c>
      <c r="B1853" s="1">
        <v>45932</v>
      </c>
      <c r="C1853" t="s">
        <v>990</v>
      </c>
      <c r="D1853" t="s">
        <v>1505</v>
      </c>
      <c r="E1853" t="s">
        <v>1589</v>
      </c>
      <c r="F1853">
        <v>2.5140636122787998</v>
      </c>
      <c r="G1853" s="14">
        <v>447.31332742031799</v>
      </c>
      <c r="H1853" s="17">
        <v>0.15872644840723801</v>
      </c>
      <c r="I1853" t="s">
        <v>1609</v>
      </c>
      <c r="J1853" s="14">
        <v>948.76052552723195</v>
      </c>
      <c r="K1853" s="14">
        <f t="shared" si="224"/>
        <v>60172.807594944214</v>
      </c>
      <c r="L1853" s="14">
        <f t="shared" si="225"/>
        <v>64</v>
      </c>
      <c r="M1853" s="14" t="str">
        <f t="shared" si="226"/>
        <v>02-10-2025</v>
      </c>
      <c r="N1853" s="14">
        <f t="shared" si="227"/>
        <v>0.15922346059557477</v>
      </c>
      <c r="O1853" s="20">
        <f t="shared" si="228"/>
        <v>2.515907668478603</v>
      </c>
      <c r="P1853" s="14">
        <f t="shared" si="229"/>
        <v>443.50875441142676</v>
      </c>
      <c r="Q1853" s="14">
        <f t="shared" si="230"/>
        <v>349.68666075205897</v>
      </c>
      <c r="R1853" s="14" t="str">
        <f t="shared" si="231"/>
        <v>Oct</v>
      </c>
    </row>
    <row r="1854" spans="1:18" x14ac:dyDescent="0.3">
      <c r="A1854" t="s">
        <v>3462</v>
      </c>
      <c r="B1854" s="1">
        <v>45895</v>
      </c>
      <c r="C1854" t="s">
        <v>767</v>
      </c>
      <c r="D1854" t="s">
        <v>1517</v>
      </c>
      <c r="E1854" t="s">
        <v>1537</v>
      </c>
      <c r="F1854">
        <v>2.5140887014787898</v>
      </c>
      <c r="G1854" s="14">
        <v>447.26156452223802</v>
      </c>
      <c r="H1854" s="17">
        <v>0.15873321047782801</v>
      </c>
      <c r="I1854" t="s">
        <v>1614</v>
      </c>
      <c r="J1854" s="14">
        <v>948.65252906778005</v>
      </c>
      <c r="K1854" s="14">
        <f t="shared" si="224"/>
        <v>59224.047069416978</v>
      </c>
      <c r="L1854" s="14">
        <f t="shared" si="225"/>
        <v>63</v>
      </c>
      <c r="M1854" s="14" t="str">
        <f t="shared" si="226"/>
        <v>26-08-2025</v>
      </c>
      <c r="N1854" s="14">
        <f t="shared" si="227"/>
        <v>0.15922684163086956</v>
      </c>
      <c r="O1854" s="20">
        <f t="shared" si="228"/>
        <v>2.5159202130786023</v>
      </c>
      <c r="P1854" s="14">
        <f t="shared" si="229"/>
        <v>443.48287296238675</v>
      </c>
      <c r="Q1854" s="14">
        <f t="shared" si="230"/>
        <v>349.64672887549364</v>
      </c>
      <c r="R1854" s="14" t="str">
        <f t="shared" si="231"/>
        <v>Aug</v>
      </c>
    </row>
    <row r="1855" spans="1:18" x14ac:dyDescent="0.3">
      <c r="A1855" t="s">
        <v>3463</v>
      </c>
      <c r="B1855" s="1">
        <v>45614</v>
      </c>
      <c r="C1855" t="s">
        <v>335</v>
      </c>
      <c r="D1855" t="s">
        <v>1397</v>
      </c>
      <c r="E1855" t="s">
        <v>1551</v>
      </c>
      <c r="F1855">
        <v>2.51411379067879</v>
      </c>
      <c r="G1855" s="14">
        <v>447.20980162415799</v>
      </c>
      <c r="H1855" s="17">
        <v>0.15873997254841801</v>
      </c>
      <c r="I1855" t="s">
        <v>1611</v>
      </c>
      <c r="J1855" s="14">
        <v>948.54453260832895</v>
      </c>
      <c r="K1855" s="14">
        <f t="shared" si="224"/>
        <v>59224.047069416978</v>
      </c>
      <c r="L1855" s="14">
        <f t="shared" si="225"/>
        <v>63</v>
      </c>
      <c r="M1855" s="14" t="str">
        <f t="shared" si="226"/>
        <v>18-11-2024</v>
      </c>
      <c r="N1855" s="14">
        <f t="shared" si="227"/>
        <v>0.15923022266616435</v>
      </c>
      <c r="O1855" s="20">
        <f t="shared" si="228"/>
        <v>2.5159327576786006</v>
      </c>
      <c r="P1855" s="14">
        <f t="shared" si="229"/>
        <v>443.45699151334668</v>
      </c>
      <c r="Q1855" s="14">
        <f t="shared" si="230"/>
        <v>349.60679699892853</v>
      </c>
      <c r="R1855" s="14" t="str">
        <f t="shared" si="231"/>
        <v>Nov</v>
      </c>
    </row>
    <row r="1856" spans="1:18" x14ac:dyDescent="0.3">
      <c r="A1856" t="s">
        <v>3464</v>
      </c>
      <c r="B1856" s="1">
        <v>45247</v>
      </c>
      <c r="C1856" t="s">
        <v>1310</v>
      </c>
      <c r="D1856" t="s">
        <v>1453</v>
      </c>
      <c r="E1856" t="s">
        <v>1582</v>
      </c>
      <c r="F1856">
        <v>2.5141388798787898</v>
      </c>
      <c r="G1856" s="14">
        <v>447.15803872607802</v>
      </c>
      <c r="H1856" s="17">
        <v>0.15874673461900701</v>
      </c>
      <c r="I1856" t="s">
        <v>1614</v>
      </c>
      <c r="J1856" s="14">
        <v>948.43653614887705</v>
      </c>
      <c r="K1856" s="14">
        <f t="shared" si="224"/>
        <v>59224.047069416978</v>
      </c>
      <c r="L1856" s="14">
        <f t="shared" si="225"/>
        <v>63</v>
      </c>
      <c r="M1856" s="14" t="str">
        <f t="shared" si="226"/>
        <v>17-11-2023</v>
      </c>
      <c r="N1856" s="14">
        <f t="shared" si="227"/>
        <v>0.15923360370145917</v>
      </c>
      <c r="O1856" s="20">
        <f t="shared" si="228"/>
        <v>2.5159453022785998</v>
      </c>
      <c r="P1856" s="14">
        <f t="shared" si="229"/>
        <v>443.43111006430667</v>
      </c>
      <c r="Q1856" s="14">
        <f t="shared" si="230"/>
        <v>349.5668651223632</v>
      </c>
      <c r="R1856" s="14" t="str">
        <f t="shared" si="231"/>
        <v>Nov</v>
      </c>
    </row>
    <row r="1857" spans="1:18" x14ac:dyDescent="0.3">
      <c r="A1857" t="s">
        <v>3465</v>
      </c>
      <c r="B1857" s="1">
        <v>45696</v>
      </c>
      <c r="C1857" t="s">
        <v>372</v>
      </c>
      <c r="D1857" t="s">
        <v>1447</v>
      </c>
      <c r="E1857" t="s">
        <v>1551</v>
      </c>
      <c r="F1857">
        <v>2.51416396907879</v>
      </c>
      <c r="G1857" s="14">
        <v>447.10627582799799</v>
      </c>
      <c r="H1857" s="17">
        <v>0.15875349668959701</v>
      </c>
      <c r="I1857" t="s">
        <v>1609</v>
      </c>
      <c r="J1857" s="14">
        <v>948.32853968942504</v>
      </c>
      <c r="K1857" s="14">
        <f t="shared" si="224"/>
        <v>59224.047069416978</v>
      </c>
      <c r="L1857" s="14">
        <f t="shared" si="225"/>
        <v>63</v>
      </c>
      <c r="M1857" s="14" t="str">
        <f t="shared" si="226"/>
        <v>08-02-2025</v>
      </c>
      <c r="N1857" s="14">
        <f t="shared" si="227"/>
        <v>0.15923698473675399</v>
      </c>
      <c r="O1857" s="20">
        <f t="shared" si="228"/>
        <v>2.5159578468785981</v>
      </c>
      <c r="P1857" s="14">
        <f t="shared" si="229"/>
        <v>443.40522861526648</v>
      </c>
      <c r="Q1857" s="14">
        <f t="shared" si="230"/>
        <v>349.52693324579786</v>
      </c>
      <c r="R1857" s="14" t="str">
        <f t="shared" si="231"/>
        <v>Feb</v>
      </c>
    </row>
    <row r="1858" spans="1:18" x14ac:dyDescent="0.3">
      <c r="A1858" t="s">
        <v>3466</v>
      </c>
      <c r="B1858" s="1">
        <v>45294</v>
      </c>
      <c r="C1858" t="s">
        <v>1252</v>
      </c>
      <c r="D1858" t="s">
        <v>1525</v>
      </c>
      <c r="E1858" t="s">
        <v>1589</v>
      </c>
      <c r="F1858">
        <v>2.51418905827878</v>
      </c>
      <c r="G1858" s="14">
        <v>447.05451292991802</v>
      </c>
      <c r="H1858" s="17">
        <v>0.15876025876018701</v>
      </c>
      <c r="I1858" t="s">
        <v>1614</v>
      </c>
      <c r="J1858" s="14">
        <v>948.22054322997303</v>
      </c>
      <c r="K1858" s="14">
        <f t="shared" ref="K1858:K1920" si="232">SUMIF(I1858:I3857,"Credit Card",J1858:J3857)</f>
        <v>58275.718529727557</v>
      </c>
      <c r="L1858" s="14">
        <f t="shared" ref="L1858:L1920" si="233">COUNTIF(I1858:I3857,"Credit Card")</f>
        <v>62</v>
      </c>
      <c r="M1858" s="14" t="str">
        <f t="shared" ref="M1858:M1920" si="234">TEXT(B1858:B3857,"dd-mm-yyyy")</f>
        <v>03-01-2024</v>
      </c>
      <c r="N1858" s="14">
        <f t="shared" ref="N1858:N1920" si="235">AVERAGE(H1858:H3857)</f>
        <v>0.15924036577204878</v>
      </c>
      <c r="O1858" s="20">
        <f t="shared" ref="O1858:O1920" si="236">AVERAGE(F1858:F3857)</f>
        <v>2.5159703914785969</v>
      </c>
      <c r="P1858" s="14">
        <f t="shared" ref="P1858:P1920" si="237">AVERAGE(G1858:G3857)</f>
        <v>443.37934716622647</v>
      </c>
      <c r="Q1858" s="14">
        <f t="shared" ref="Q1858:Q1920" si="238">AVERAGE(F1858,G1858,H1858,J1858)</f>
        <v>349.48700136923253</v>
      </c>
      <c r="R1858" s="14" t="str">
        <f t="shared" ref="R1858:R1920" si="239">TEXT(M1858,"mmm")</f>
        <v>Jan</v>
      </c>
    </row>
    <row r="1859" spans="1:18" x14ac:dyDescent="0.3">
      <c r="A1859" t="s">
        <v>3467</v>
      </c>
      <c r="B1859" s="1">
        <v>45389</v>
      </c>
      <c r="C1859" t="s">
        <v>458</v>
      </c>
      <c r="D1859" t="s">
        <v>1499</v>
      </c>
      <c r="E1859" t="s">
        <v>1551</v>
      </c>
      <c r="F1859">
        <v>2.5142141474787798</v>
      </c>
      <c r="G1859" s="14">
        <v>447.00275003183702</v>
      </c>
      <c r="H1859" s="17">
        <v>0.15876702083077601</v>
      </c>
      <c r="I1859" t="s">
        <v>1609</v>
      </c>
      <c r="J1859" s="14">
        <v>948.11254677052204</v>
      </c>
      <c r="K1859" s="14">
        <f t="shared" si="232"/>
        <v>58275.718529727557</v>
      </c>
      <c r="L1859" s="14">
        <f t="shared" si="233"/>
        <v>62</v>
      </c>
      <c r="M1859" s="14" t="str">
        <f t="shared" si="234"/>
        <v>07-04-2024</v>
      </c>
      <c r="N1859" s="14">
        <f t="shared" si="235"/>
        <v>0.15924374680734357</v>
      </c>
      <c r="O1859" s="20">
        <f t="shared" si="236"/>
        <v>2.5159829360785961</v>
      </c>
      <c r="P1859" s="14">
        <f t="shared" si="237"/>
        <v>443.35346571718634</v>
      </c>
      <c r="Q1859" s="14">
        <f t="shared" si="238"/>
        <v>349.44706949266714</v>
      </c>
      <c r="R1859" s="14" t="str">
        <f t="shared" si="239"/>
        <v>Apr</v>
      </c>
    </row>
    <row r="1860" spans="1:18" x14ac:dyDescent="0.3">
      <c r="A1860" t="s">
        <v>3468</v>
      </c>
      <c r="B1860" s="1">
        <v>45930</v>
      </c>
      <c r="C1860" t="s">
        <v>1287</v>
      </c>
      <c r="D1860" t="s">
        <v>1521</v>
      </c>
      <c r="E1860" t="s">
        <v>1579</v>
      </c>
      <c r="F1860">
        <v>2.51423923667878</v>
      </c>
      <c r="G1860" s="14">
        <v>446.950987133757</v>
      </c>
      <c r="H1860" s="17">
        <v>0.15877378290136601</v>
      </c>
      <c r="I1860" t="s">
        <v>1614</v>
      </c>
      <c r="J1860" s="14">
        <v>948.00455031107003</v>
      </c>
      <c r="K1860" s="14">
        <f t="shared" si="232"/>
        <v>57327.605982957037</v>
      </c>
      <c r="L1860" s="14">
        <f t="shared" si="233"/>
        <v>61</v>
      </c>
      <c r="M1860" s="14" t="str">
        <f t="shared" si="234"/>
        <v>30-09-2025</v>
      </c>
      <c r="N1860" s="14">
        <f t="shared" si="235"/>
        <v>0.15924712784263839</v>
      </c>
      <c r="O1860" s="20">
        <f t="shared" si="236"/>
        <v>2.5159954806785949</v>
      </c>
      <c r="P1860" s="14">
        <f t="shared" si="237"/>
        <v>443.32758426814621</v>
      </c>
      <c r="Q1860" s="14">
        <f t="shared" si="238"/>
        <v>349.40713761610181</v>
      </c>
      <c r="R1860" s="14" t="str">
        <f t="shared" si="239"/>
        <v>Sep</v>
      </c>
    </row>
    <row r="1861" spans="1:18" x14ac:dyDescent="0.3">
      <c r="A1861" t="s">
        <v>3469</v>
      </c>
      <c r="B1861" s="1">
        <v>45456</v>
      </c>
      <c r="C1861" t="s">
        <v>1163</v>
      </c>
      <c r="D1861" t="s">
        <v>1505</v>
      </c>
      <c r="E1861" t="s">
        <v>1561</v>
      </c>
      <c r="F1861">
        <v>2.5142643258787798</v>
      </c>
      <c r="G1861" s="14">
        <v>446.89922423567702</v>
      </c>
      <c r="H1861" s="17">
        <v>0.15878054497195501</v>
      </c>
      <c r="I1861" t="s">
        <v>1614</v>
      </c>
      <c r="J1861" s="14">
        <v>947.89655385161802</v>
      </c>
      <c r="K1861" s="14">
        <f t="shared" si="232"/>
        <v>57327.605982957037</v>
      </c>
      <c r="L1861" s="14">
        <f t="shared" si="233"/>
        <v>61</v>
      </c>
      <c r="M1861" s="14" t="str">
        <f t="shared" si="234"/>
        <v>13-06-2024</v>
      </c>
      <c r="N1861" s="14">
        <f t="shared" si="235"/>
        <v>0.15925050887793318</v>
      </c>
      <c r="O1861" s="20">
        <f t="shared" si="236"/>
        <v>2.5160080252785932</v>
      </c>
      <c r="P1861" s="14">
        <f t="shared" si="237"/>
        <v>443.3017028191062</v>
      </c>
      <c r="Q1861" s="14">
        <f t="shared" si="238"/>
        <v>349.36720573953642</v>
      </c>
      <c r="R1861" s="14" t="str">
        <f t="shared" si="239"/>
        <v>Jun</v>
      </c>
    </row>
    <row r="1862" spans="1:18" x14ac:dyDescent="0.3">
      <c r="A1862" t="s">
        <v>3470</v>
      </c>
      <c r="B1862" s="1">
        <v>45713</v>
      </c>
      <c r="C1862" t="s">
        <v>381</v>
      </c>
      <c r="D1862" t="s">
        <v>1457</v>
      </c>
      <c r="E1862" t="s">
        <v>1564</v>
      </c>
      <c r="F1862">
        <v>2.5142894150787698</v>
      </c>
      <c r="G1862" s="14">
        <v>446.847461337597</v>
      </c>
      <c r="H1862" s="17">
        <v>0.15878730704254501</v>
      </c>
      <c r="I1862" t="s">
        <v>1611</v>
      </c>
      <c r="J1862" s="14">
        <v>947.78855739216601</v>
      </c>
      <c r="K1862" s="14">
        <f t="shared" si="232"/>
        <v>57327.605982957037</v>
      </c>
      <c r="L1862" s="14">
        <f t="shared" si="233"/>
        <v>61</v>
      </c>
      <c r="M1862" s="14" t="str">
        <f t="shared" si="234"/>
        <v>25-02-2025</v>
      </c>
      <c r="N1862" s="14">
        <f t="shared" si="235"/>
        <v>0.15925388991322798</v>
      </c>
      <c r="O1862" s="20">
        <f t="shared" si="236"/>
        <v>2.516020569878592</v>
      </c>
      <c r="P1862" s="14">
        <f t="shared" si="237"/>
        <v>443.27582137006613</v>
      </c>
      <c r="Q1862" s="14">
        <f t="shared" si="238"/>
        <v>349.32727386297108</v>
      </c>
      <c r="R1862" s="14" t="str">
        <f t="shared" si="239"/>
        <v>Feb</v>
      </c>
    </row>
    <row r="1863" spans="1:18" x14ac:dyDescent="0.3">
      <c r="A1863" t="s">
        <v>3471</v>
      </c>
      <c r="B1863" s="1">
        <v>45784</v>
      </c>
      <c r="C1863" t="s">
        <v>607</v>
      </c>
      <c r="D1863" t="s">
        <v>1425</v>
      </c>
      <c r="E1863" t="s">
        <v>1546</v>
      </c>
      <c r="F1863">
        <v>2.51431450427877</v>
      </c>
      <c r="G1863" s="14">
        <v>446.79569843951703</v>
      </c>
      <c r="H1863" s="17">
        <v>0.15879406911313501</v>
      </c>
      <c r="I1863" t="s">
        <v>1614</v>
      </c>
      <c r="J1863" s="14">
        <v>947.68056093271503</v>
      </c>
      <c r="K1863" s="14">
        <f t="shared" si="232"/>
        <v>57327.605982957037</v>
      </c>
      <c r="L1863" s="14">
        <f t="shared" si="233"/>
        <v>61</v>
      </c>
      <c r="M1863" s="14" t="str">
        <f t="shared" si="234"/>
        <v>07-05-2025</v>
      </c>
      <c r="N1863" s="14">
        <f t="shared" si="235"/>
        <v>0.15925727094852279</v>
      </c>
      <c r="O1863" s="20">
        <f t="shared" si="236"/>
        <v>2.5160331144785903</v>
      </c>
      <c r="P1863" s="14">
        <f t="shared" si="237"/>
        <v>443.24993992102611</v>
      </c>
      <c r="Q1863" s="14">
        <f t="shared" si="238"/>
        <v>349.28734198640598</v>
      </c>
      <c r="R1863" s="14" t="str">
        <f t="shared" si="239"/>
        <v>May</v>
      </c>
    </row>
    <row r="1864" spans="1:18" x14ac:dyDescent="0.3">
      <c r="A1864" t="s">
        <v>3472</v>
      </c>
      <c r="B1864" s="1">
        <v>45812</v>
      </c>
      <c r="C1864" t="s">
        <v>8</v>
      </c>
      <c r="D1864" t="s">
        <v>1445</v>
      </c>
      <c r="E1864" t="s">
        <v>1598</v>
      </c>
      <c r="F1864">
        <v>2.5143395934787698</v>
      </c>
      <c r="G1864" s="14">
        <v>446.743935541437</v>
      </c>
      <c r="H1864" s="17">
        <v>0.15880083118372401</v>
      </c>
      <c r="I1864" t="s">
        <v>1609</v>
      </c>
      <c r="J1864" s="14">
        <v>947.57256447326301</v>
      </c>
      <c r="K1864" s="14">
        <f t="shared" si="232"/>
        <v>57327.605982957037</v>
      </c>
      <c r="L1864" s="14">
        <f t="shared" si="233"/>
        <v>61</v>
      </c>
      <c r="M1864" s="14" t="str">
        <f t="shared" si="234"/>
        <v>04-06-2025</v>
      </c>
      <c r="N1864" s="14">
        <f t="shared" si="235"/>
        <v>0.15926065198381761</v>
      </c>
      <c r="O1864" s="20">
        <f t="shared" si="236"/>
        <v>2.5160456590785891</v>
      </c>
      <c r="P1864" s="14">
        <f t="shared" si="237"/>
        <v>443.22405847198593</v>
      </c>
      <c r="Q1864" s="14">
        <f t="shared" si="238"/>
        <v>349.24741010984064</v>
      </c>
      <c r="R1864" s="14" t="str">
        <f t="shared" si="239"/>
        <v>Jun</v>
      </c>
    </row>
    <row r="1865" spans="1:18" x14ac:dyDescent="0.3">
      <c r="A1865" t="s">
        <v>3473</v>
      </c>
      <c r="B1865" s="1">
        <v>45653</v>
      </c>
      <c r="C1865" t="s">
        <v>842</v>
      </c>
      <c r="D1865" t="s">
        <v>1367</v>
      </c>
      <c r="E1865" t="s">
        <v>1589</v>
      </c>
      <c r="F1865">
        <v>2.5143646826787598</v>
      </c>
      <c r="G1865" s="14">
        <v>446.692172643356</v>
      </c>
      <c r="H1865" s="17">
        <v>0.15880759325431401</v>
      </c>
      <c r="I1865" t="s">
        <v>1614</v>
      </c>
      <c r="J1865" s="14">
        <v>947.464568013811</v>
      </c>
      <c r="K1865" s="14">
        <f t="shared" si="232"/>
        <v>56380.03341848377</v>
      </c>
      <c r="L1865" s="14">
        <f t="shared" si="233"/>
        <v>60</v>
      </c>
      <c r="M1865" s="14" t="str">
        <f t="shared" si="234"/>
        <v>27-12-2024</v>
      </c>
      <c r="N1865" s="14">
        <f t="shared" si="235"/>
        <v>0.15926403301911241</v>
      </c>
      <c r="O1865" s="20">
        <f t="shared" si="236"/>
        <v>2.5160582036785875</v>
      </c>
      <c r="P1865" s="14">
        <f t="shared" si="237"/>
        <v>443.19817702294586</v>
      </c>
      <c r="Q1865" s="14">
        <f t="shared" si="238"/>
        <v>349.20747823327503</v>
      </c>
      <c r="R1865" s="14" t="str">
        <f t="shared" si="239"/>
        <v>Dec</v>
      </c>
    </row>
    <row r="1866" spans="1:18" x14ac:dyDescent="0.3">
      <c r="A1866" t="s">
        <v>3474</v>
      </c>
      <c r="B1866" s="1">
        <v>45672</v>
      </c>
      <c r="C1866" t="s">
        <v>490</v>
      </c>
      <c r="D1866" t="s">
        <v>1429</v>
      </c>
      <c r="E1866" t="s">
        <v>1582</v>
      </c>
      <c r="F1866">
        <v>2.51438977187876</v>
      </c>
      <c r="G1866" s="14">
        <v>446.64040974527597</v>
      </c>
      <c r="H1866" s="17">
        <v>0.15881435532490301</v>
      </c>
      <c r="I1866" t="s">
        <v>1611</v>
      </c>
      <c r="J1866" s="14">
        <v>947.35657155435899</v>
      </c>
      <c r="K1866" s="14">
        <f t="shared" si="232"/>
        <v>56380.03341848377</v>
      </c>
      <c r="L1866" s="14">
        <f t="shared" si="233"/>
        <v>60</v>
      </c>
      <c r="M1866" s="14" t="str">
        <f t="shared" si="234"/>
        <v>15-01-2025</v>
      </c>
      <c r="N1866" s="14">
        <f t="shared" si="235"/>
        <v>0.1592674140544072</v>
      </c>
      <c r="O1866" s="20">
        <f t="shared" si="236"/>
        <v>2.5160707482785862</v>
      </c>
      <c r="P1866" s="14">
        <f t="shared" si="237"/>
        <v>443.17229557390584</v>
      </c>
      <c r="Q1866" s="14">
        <f t="shared" si="238"/>
        <v>349.16754635670964</v>
      </c>
      <c r="R1866" s="14" t="str">
        <f t="shared" si="239"/>
        <v>Jan</v>
      </c>
    </row>
    <row r="1867" spans="1:18" x14ac:dyDescent="0.3">
      <c r="A1867" t="s">
        <v>3475</v>
      </c>
      <c r="B1867" s="1">
        <v>45799</v>
      </c>
      <c r="C1867" t="s">
        <v>1213</v>
      </c>
      <c r="D1867" t="s">
        <v>1437</v>
      </c>
      <c r="E1867" t="s">
        <v>1574</v>
      </c>
      <c r="F1867">
        <v>2.5144148610787602</v>
      </c>
      <c r="G1867" s="14">
        <v>446.588646847196</v>
      </c>
      <c r="H1867" s="17">
        <v>0.15882111739549301</v>
      </c>
      <c r="I1867" t="s">
        <v>1614</v>
      </c>
      <c r="J1867" s="14">
        <v>947.24857509490801</v>
      </c>
      <c r="K1867" s="14">
        <f t="shared" si="232"/>
        <v>56380.03341848377</v>
      </c>
      <c r="L1867" s="14">
        <f t="shared" si="233"/>
        <v>60</v>
      </c>
      <c r="M1867" s="14" t="str">
        <f t="shared" si="234"/>
        <v>22-05-2025</v>
      </c>
      <c r="N1867" s="14">
        <f t="shared" si="235"/>
        <v>0.15927079508970202</v>
      </c>
      <c r="O1867" s="20">
        <f t="shared" si="236"/>
        <v>2.5160832928785855</v>
      </c>
      <c r="P1867" s="14">
        <f t="shared" si="237"/>
        <v>443.14641412486577</v>
      </c>
      <c r="Q1867" s="14">
        <f t="shared" si="238"/>
        <v>349.12761448014459</v>
      </c>
      <c r="R1867" s="14" t="str">
        <f t="shared" si="239"/>
        <v>May</v>
      </c>
    </row>
    <row r="1868" spans="1:18" x14ac:dyDescent="0.3">
      <c r="A1868" t="s">
        <v>3476</v>
      </c>
      <c r="B1868" s="1">
        <v>45848</v>
      </c>
      <c r="C1868" t="s">
        <v>384</v>
      </c>
      <c r="D1868" t="s">
        <v>1401</v>
      </c>
      <c r="E1868" t="s">
        <v>1577</v>
      </c>
      <c r="F1868">
        <v>2.51443995027876</v>
      </c>
      <c r="G1868" s="14">
        <v>446.53688394911597</v>
      </c>
      <c r="H1868" s="17">
        <v>0.15882787946608301</v>
      </c>
      <c r="I1868" t="s">
        <v>1611</v>
      </c>
      <c r="J1868" s="14">
        <v>947.140578635456</v>
      </c>
      <c r="K1868" s="14">
        <f t="shared" si="232"/>
        <v>56380.03341848377</v>
      </c>
      <c r="L1868" s="14">
        <f t="shared" si="233"/>
        <v>60</v>
      </c>
      <c r="M1868" s="14" t="str">
        <f t="shared" si="234"/>
        <v>10-07-2025</v>
      </c>
      <c r="N1868" s="14">
        <f t="shared" si="235"/>
        <v>0.15927417612499684</v>
      </c>
      <c r="O1868" s="20">
        <f t="shared" si="236"/>
        <v>2.5160958374785833</v>
      </c>
      <c r="P1868" s="14">
        <f t="shared" si="237"/>
        <v>443.12053267582564</v>
      </c>
      <c r="Q1868" s="14">
        <f t="shared" si="238"/>
        <v>349.0876826035792</v>
      </c>
      <c r="R1868" s="14" t="str">
        <f t="shared" si="239"/>
        <v>Jul</v>
      </c>
    </row>
    <row r="1869" spans="1:18" x14ac:dyDescent="0.3">
      <c r="A1869" t="s">
        <v>3477</v>
      </c>
      <c r="B1869" s="1">
        <v>45918</v>
      </c>
      <c r="C1869" t="s">
        <v>854</v>
      </c>
      <c r="D1869" t="s">
        <v>1449</v>
      </c>
      <c r="E1869" t="s">
        <v>1567</v>
      </c>
      <c r="F1869">
        <v>2.51446503947875</v>
      </c>
      <c r="G1869" s="14">
        <v>446.485121051036</v>
      </c>
      <c r="H1869" s="17">
        <v>0.15883464153667201</v>
      </c>
      <c r="I1869" t="s">
        <v>1609</v>
      </c>
      <c r="J1869" s="14">
        <v>947.03258217600398</v>
      </c>
      <c r="K1869" s="14">
        <f t="shared" si="232"/>
        <v>56380.03341848377</v>
      </c>
      <c r="L1869" s="14">
        <f t="shared" si="233"/>
        <v>60</v>
      </c>
      <c r="M1869" s="14" t="str">
        <f t="shared" si="234"/>
        <v>18-09-2025</v>
      </c>
      <c r="N1869" s="14">
        <f t="shared" si="235"/>
        <v>0.15927755716029163</v>
      </c>
      <c r="O1869" s="20">
        <f t="shared" si="236"/>
        <v>2.5161083820785826</v>
      </c>
      <c r="P1869" s="14">
        <f t="shared" si="237"/>
        <v>443.09465122678557</v>
      </c>
      <c r="Q1869" s="14">
        <f t="shared" si="238"/>
        <v>349.04775072701386</v>
      </c>
      <c r="R1869" s="14" t="str">
        <f t="shared" si="239"/>
        <v>Sep</v>
      </c>
    </row>
    <row r="1870" spans="1:18" x14ac:dyDescent="0.3">
      <c r="A1870" t="s">
        <v>3478</v>
      </c>
      <c r="B1870" s="1">
        <v>45288</v>
      </c>
      <c r="C1870" t="s">
        <v>893</v>
      </c>
      <c r="D1870" t="s">
        <v>1503</v>
      </c>
      <c r="E1870" t="s">
        <v>1598</v>
      </c>
      <c r="F1870">
        <v>2.5144901286787502</v>
      </c>
      <c r="G1870" s="14">
        <v>446.43335815295598</v>
      </c>
      <c r="H1870" s="17">
        <v>0.15884140360726201</v>
      </c>
      <c r="I1870" t="s">
        <v>1614</v>
      </c>
      <c r="J1870" s="14">
        <v>946.924585716553</v>
      </c>
      <c r="K1870" s="14">
        <f t="shared" si="232"/>
        <v>55433.000836307772</v>
      </c>
      <c r="L1870" s="14">
        <f t="shared" si="233"/>
        <v>59</v>
      </c>
      <c r="M1870" s="14" t="str">
        <f t="shared" si="234"/>
        <v>28-12-2023</v>
      </c>
      <c r="N1870" s="14">
        <f t="shared" si="235"/>
        <v>0.15928093819558645</v>
      </c>
      <c r="O1870" s="20">
        <f t="shared" si="236"/>
        <v>2.5161209266785813</v>
      </c>
      <c r="P1870" s="14">
        <f t="shared" si="237"/>
        <v>443.06876977774544</v>
      </c>
      <c r="Q1870" s="14">
        <f t="shared" si="238"/>
        <v>349.00781885044876</v>
      </c>
      <c r="R1870" s="14" t="str">
        <f t="shared" si="239"/>
        <v>Dec</v>
      </c>
    </row>
    <row r="1871" spans="1:18" x14ac:dyDescent="0.3">
      <c r="A1871" t="s">
        <v>3479</v>
      </c>
      <c r="B1871" s="1">
        <v>45477</v>
      </c>
      <c r="C1871" t="s">
        <v>1285</v>
      </c>
      <c r="D1871" t="s">
        <v>1338</v>
      </c>
      <c r="E1871" t="s">
        <v>1579</v>
      </c>
      <c r="F1871">
        <v>2.51451521787875</v>
      </c>
      <c r="G1871" s="14">
        <v>446.381595254876</v>
      </c>
      <c r="H1871" s="17">
        <v>0.15884816567785101</v>
      </c>
      <c r="I1871" t="s">
        <v>1609</v>
      </c>
      <c r="J1871" s="14">
        <v>946.81658925710099</v>
      </c>
      <c r="K1871" s="14">
        <f t="shared" si="232"/>
        <v>55433.000836307772</v>
      </c>
      <c r="L1871" s="14">
        <f t="shared" si="233"/>
        <v>59</v>
      </c>
      <c r="M1871" s="14" t="str">
        <f t="shared" si="234"/>
        <v>04-07-2024</v>
      </c>
      <c r="N1871" s="14">
        <f t="shared" si="235"/>
        <v>0.15928431923088124</v>
      </c>
      <c r="O1871" s="20">
        <f t="shared" si="236"/>
        <v>2.5161334712785801</v>
      </c>
      <c r="P1871" s="14">
        <f t="shared" si="237"/>
        <v>443.04288832870543</v>
      </c>
      <c r="Q1871" s="14">
        <f t="shared" si="238"/>
        <v>348.96788697388342</v>
      </c>
      <c r="R1871" s="14" t="str">
        <f t="shared" si="239"/>
        <v>Jul</v>
      </c>
    </row>
    <row r="1872" spans="1:18" x14ac:dyDescent="0.3">
      <c r="A1872" t="s">
        <v>3480</v>
      </c>
      <c r="B1872" s="1">
        <v>45796</v>
      </c>
      <c r="C1872" t="s">
        <v>687</v>
      </c>
      <c r="D1872" t="s">
        <v>1467</v>
      </c>
      <c r="E1872" t="s">
        <v>1558</v>
      </c>
      <c r="F1872">
        <v>2.5145403070787502</v>
      </c>
      <c r="G1872" s="14">
        <v>446.32983235679501</v>
      </c>
      <c r="H1872" s="17">
        <v>0.15885492774844101</v>
      </c>
      <c r="I1872" t="s">
        <v>1614</v>
      </c>
      <c r="J1872" s="14">
        <v>946.70859279764898</v>
      </c>
      <c r="K1872" s="14">
        <f t="shared" si="232"/>
        <v>54486.184247050667</v>
      </c>
      <c r="L1872" s="14">
        <f t="shared" si="233"/>
        <v>58</v>
      </c>
      <c r="M1872" s="14" t="str">
        <f t="shared" si="234"/>
        <v>19-05-2025</v>
      </c>
      <c r="N1872" s="14">
        <f t="shared" si="235"/>
        <v>0.15928770026617603</v>
      </c>
      <c r="O1872" s="20">
        <f t="shared" si="236"/>
        <v>2.5161460158785789</v>
      </c>
      <c r="P1872" s="14">
        <f t="shared" si="237"/>
        <v>443.01700687966536</v>
      </c>
      <c r="Q1872" s="14">
        <f t="shared" si="238"/>
        <v>348.92795509731781</v>
      </c>
      <c r="R1872" s="14" t="str">
        <f t="shared" si="239"/>
        <v>May</v>
      </c>
    </row>
    <row r="1873" spans="1:18" x14ac:dyDescent="0.3">
      <c r="A1873" t="s">
        <v>3481</v>
      </c>
      <c r="B1873" s="1">
        <v>45630</v>
      </c>
      <c r="C1873" t="s">
        <v>598</v>
      </c>
      <c r="D1873" t="s">
        <v>1407</v>
      </c>
      <c r="E1873" t="s">
        <v>1567</v>
      </c>
      <c r="F1873">
        <v>2.5145653962787402</v>
      </c>
      <c r="G1873" s="14">
        <v>446.27806945871498</v>
      </c>
      <c r="H1873" s="17">
        <v>0.15886168981903101</v>
      </c>
      <c r="I1873" t="s">
        <v>1609</v>
      </c>
      <c r="J1873" s="14">
        <v>946.60059633819697</v>
      </c>
      <c r="K1873" s="14">
        <f t="shared" si="232"/>
        <v>54486.184247050667</v>
      </c>
      <c r="L1873" s="14">
        <f t="shared" si="233"/>
        <v>58</v>
      </c>
      <c r="M1873" s="14" t="str">
        <f t="shared" si="234"/>
        <v>04-12-2024</v>
      </c>
      <c r="N1873" s="14">
        <f t="shared" si="235"/>
        <v>0.15929108130147082</v>
      </c>
      <c r="O1873" s="20">
        <f t="shared" si="236"/>
        <v>2.5161585604785772</v>
      </c>
      <c r="P1873" s="14">
        <f t="shared" si="237"/>
        <v>442.99112543062523</v>
      </c>
      <c r="Q1873" s="14">
        <f t="shared" si="238"/>
        <v>348.88802322075242</v>
      </c>
      <c r="R1873" s="14" t="str">
        <f t="shared" si="239"/>
        <v>Dec</v>
      </c>
    </row>
    <row r="1874" spans="1:18" x14ac:dyDescent="0.3">
      <c r="A1874" t="s">
        <v>3482</v>
      </c>
      <c r="B1874" s="1">
        <v>45625</v>
      </c>
      <c r="C1874" t="s">
        <v>634</v>
      </c>
      <c r="D1874" t="s">
        <v>1461</v>
      </c>
      <c r="E1874" t="s">
        <v>1564</v>
      </c>
      <c r="F1874">
        <v>2.51459048547874</v>
      </c>
      <c r="G1874" s="14">
        <v>446.22630656063501</v>
      </c>
      <c r="H1874" s="17">
        <v>0.15886845188962001</v>
      </c>
      <c r="I1874" t="s">
        <v>1609</v>
      </c>
      <c r="J1874" s="14">
        <v>946.49259987874598</v>
      </c>
      <c r="K1874" s="14">
        <f t="shared" si="232"/>
        <v>53539.58365071247</v>
      </c>
      <c r="L1874" s="14">
        <f t="shared" si="233"/>
        <v>57</v>
      </c>
      <c r="M1874" s="14" t="str">
        <f t="shared" si="234"/>
        <v>29-11-2024</v>
      </c>
      <c r="N1874" s="14">
        <f t="shared" si="235"/>
        <v>0.15929446233676567</v>
      </c>
      <c r="O1874" s="20">
        <f t="shared" si="236"/>
        <v>2.5161711050785764</v>
      </c>
      <c r="P1874" s="14">
        <f t="shared" si="237"/>
        <v>442.96524398158516</v>
      </c>
      <c r="Q1874" s="14">
        <f t="shared" si="238"/>
        <v>348.84809134418731</v>
      </c>
      <c r="R1874" s="14" t="str">
        <f t="shared" si="239"/>
        <v>Nov</v>
      </c>
    </row>
    <row r="1875" spans="1:18" x14ac:dyDescent="0.3">
      <c r="A1875" t="s">
        <v>3483</v>
      </c>
      <c r="B1875" s="1">
        <v>45773</v>
      </c>
      <c r="C1875" t="s">
        <v>384</v>
      </c>
      <c r="D1875" t="s">
        <v>1417</v>
      </c>
      <c r="E1875" t="s">
        <v>1564</v>
      </c>
      <c r="F1875">
        <v>2.5146155746787402</v>
      </c>
      <c r="G1875" s="14">
        <v>446.17454366255498</v>
      </c>
      <c r="H1875" s="17">
        <v>0.15887521396021001</v>
      </c>
      <c r="I1875" t="s">
        <v>1614</v>
      </c>
      <c r="J1875" s="14">
        <v>946.38460341929397</v>
      </c>
      <c r="K1875" s="14">
        <f t="shared" si="232"/>
        <v>52593.091050833726</v>
      </c>
      <c r="L1875" s="14">
        <f t="shared" si="233"/>
        <v>56</v>
      </c>
      <c r="M1875" s="14" t="str">
        <f t="shared" si="234"/>
        <v>26-04-2025</v>
      </c>
      <c r="N1875" s="14">
        <f t="shared" si="235"/>
        <v>0.15929784337206046</v>
      </c>
      <c r="O1875" s="20">
        <f t="shared" si="236"/>
        <v>2.5161836496785748</v>
      </c>
      <c r="P1875" s="14">
        <f t="shared" si="237"/>
        <v>442.93936253254509</v>
      </c>
      <c r="Q1875" s="14">
        <f t="shared" si="238"/>
        <v>348.80815946762198</v>
      </c>
      <c r="R1875" s="14" t="str">
        <f t="shared" si="239"/>
        <v>Apr</v>
      </c>
    </row>
    <row r="1876" spans="1:18" x14ac:dyDescent="0.3">
      <c r="A1876" t="s">
        <v>3484</v>
      </c>
      <c r="B1876" s="1">
        <v>45308</v>
      </c>
      <c r="C1876" t="s">
        <v>153</v>
      </c>
      <c r="D1876" t="s">
        <v>1363</v>
      </c>
      <c r="E1876" t="s">
        <v>1598</v>
      </c>
      <c r="F1876">
        <v>2.51464066387874</v>
      </c>
      <c r="G1876" s="14">
        <v>446.12278076447501</v>
      </c>
      <c r="H1876" s="17">
        <v>0.15888197603080001</v>
      </c>
      <c r="I1876" t="s">
        <v>1609</v>
      </c>
      <c r="J1876" s="14">
        <v>946.27660695984196</v>
      </c>
      <c r="K1876" s="14">
        <f t="shared" si="232"/>
        <v>52593.091050833726</v>
      </c>
      <c r="L1876" s="14">
        <f t="shared" si="233"/>
        <v>56</v>
      </c>
      <c r="M1876" s="14" t="str">
        <f t="shared" si="234"/>
        <v>17-01-2024</v>
      </c>
      <c r="N1876" s="14">
        <f t="shared" si="235"/>
        <v>0.15930122440735525</v>
      </c>
      <c r="O1876" s="20">
        <f t="shared" si="236"/>
        <v>2.5161961942785744</v>
      </c>
      <c r="P1876" s="14">
        <f t="shared" si="237"/>
        <v>442.91348108350502</v>
      </c>
      <c r="Q1876" s="14">
        <f t="shared" si="238"/>
        <v>348.76822759105664</v>
      </c>
      <c r="R1876" s="14" t="str">
        <f t="shared" si="239"/>
        <v>Jan</v>
      </c>
    </row>
    <row r="1877" spans="1:18" x14ac:dyDescent="0.3">
      <c r="A1877" t="s">
        <v>3485</v>
      </c>
      <c r="B1877" s="1">
        <v>45869</v>
      </c>
      <c r="C1877" t="s">
        <v>1307</v>
      </c>
      <c r="D1877" t="s">
        <v>1471</v>
      </c>
      <c r="E1877" t="s">
        <v>1561</v>
      </c>
      <c r="F1877">
        <v>2.51466575307873</v>
      </c>
      <c r="G1877" s="14">
        <v>446.07101786639498</v>
      </c>
      <c r="H1877" s="17">
        <v>0.15888873810138901</v>
      </c>
      <c r="I1877" t="s">
        <v>1614</v>
      </c>
      <c r="J1877" s="14">
        <v>946.16861050038995</v>
      </c>
      <c r="K1877" s="14">
        <f t="shared" si="232"/>
        <v>51646.814443873889</v>
      </c>
      <c r="L1877" s="14">
        <f t="shared" si="233"/>
        <v>55</v>
      </c>
      <c r="M1877" s="14" t="str">
        <f t="shared" si="234"/>
        <v>31-07-2025</v>
      </c>
      <c r="N1877" s="14">
        <f t="shared" si="235"/>
        <v>0.15930460544265007</v>
      </c>
      <c r="O1877" s="20">
        <f t="shared" si="236"/>
        <v>2.5162087388785728</v>
      </c>
      <c r="P1877" s="14">
        <f t="shared" si="237"/>
        <v>442.88759963446495</v>
      </c>
      <c r="Q1877" s="14">
        <f t="shared" si="238"/>
        <v>348.72829571449125</v>
      </c>
      <c r="R1877" s="14" t="str">
        <f t="shared" si="239"/>
        <v>Jul</v>
      </c>
    </row>
    <row r="1878" spans="1:18" x14ac:dyDescent="0.3">
      <c r="A1878" t="s">
        <v>3486</v>
      </c>
      <c r="B1878" s="1">
        <v>45621</v>
      </c>
      <c r="C1878" t="s">
        <v>447</v>
      </c>
      <c r="D1878" t="s">
        <v>1439</v>
      </c>
      <c r="E1878" t="s">
        <v>1558</v>
      </c>
      <c r="F1878">
        <v>2.5146908422787302</v>
      </c>
      <c r="G1878" s="14">
        <v>446.01925496831399</v>
      </c>
      <c r="H1878" s="17">
        <v>0.15889550017197901</v>
      </c>
      <c r="I1878" t="s">
        <v>1614</v>
      </c>
      <c r="J1878" s="14">
        <v>946.06061404093896</v>
      </c>
      <c r="K1878" s="14">
        <f t="shared" si="232"/>
        <v>51646.814443873889</v>
      </c>
      <c r="L1878" s="14">
        <f t="shared" si="233"/>
        <v>55</v>
      </c>
      <c r="M1878" s="14" t="str">
        <f t="shared" si="234"/>
        <v>25-11-2024</v>
      </c>
      <c r="N1878" s="14">
        <f t="shared" si="235"/>
        <v>0.15930798647794486</v>
      </c>
      <c r="O1878" s="20">
        <f t="shared" si="236"/>
        <v>2.5162212834785711</v>
      </c>
      <c r="P1878" s="14">
        <f t="shared" si="237"/>
        <v>442.86171818542482</v>
      </c>
      <c r="Q1878" s="14">
        <f t="shared" si="238"/>
        <v>348.68836383792592</v>
      </c>
      <c r="R1878" s="14" t="str">
        <f t="shared" si="239"/>
        <v>Nov</v>
      </c>
    </row>
    <row r="1879" spans="1:18" x14ac:dyDescent="0.3">
      <c r="A1879" t="s">
        <v>3487</v>
      </c>
      <c r="B1879" s="1">
        <v>45428</v>
      </c>
      <c r="C1879" t="s">
        <v>651</v>
      </c>
      <c r="D1879" t="s">
        <v>1350</v>
      </c>
      <c r="E1879" t="s">
        <v>1579</v>
      </c>
      <c r="F1879">
        <v>2.51471593147873</v>
      </c>
      <c r="G1879" s="14">
        <v>445.96749207023402</v>
      </c>
      <c r="H1879" s="17">
        <v>0.15890226224256801</v>
      </c>
      <c r="I1879" t="s">
        <v>1609</v>
      </c>
      <c r="J1879" s="14">
        <v>945.95261758148695</v>
      </c>
      <c r="K1879" s="14">
        <f t="shared" si="232"/>
        <v>51646.814443873889</v>
      </c>
      <c r="L1879" s="14">
        <f t="shared" si="233"/>
        <v>55</v>
      </c>
      <c r="M1879" s="14" t="str">
        <f t="shared" si="234"/>
        <v>16-05-2024</v>
      </c>
      <c r="N1879" s="14">
        <f t="shared" si="235"/>
        <v>0.15931136751323965</v>
      </c>
      <c r="O1879" s="20">
        <f t="shared" si="236"/>
        <v>2.5162338280785699</v>
      </c>
      <c r="P1879" s="14">
        <f t="shared" si="237"/>
        <v>442.83583673638475</v>
      </c>
      <c r="Q1879" s="14">
        <f t="shared" si="238"/>
        <v>348.64843196136059</v>
      </c>
      <c r="R1879" s="14" t="str">
        <f t="shared" si="239"/>
        <v>May</v>
      </c>
    </row>
    <row r="1880" spans="1:18" x14ac:dyDescent="0.3">
      <c r="A1880" t="s">
        <v>3488</v>
      </c>
      <c r="B1880" s="1">
        <v>45807</v>
      </c>
      <c r="C1880" t="s">
        <v>255</v>
      </c>
      <c r="D1880" t="s">
        <v>1359</v>
      </c>
      <c r="E1880" t="s">
        <v>1551</v>
      </c>
      <c r="F1880">
        <v>2.5147410206787302</v>
      </c>
      <c r="G1880" s="14">
        <v>445.91572917215399</v>
      </c>
      <c r="H1880" s="17">
        <v>0.15890902431315801</v>
      </c>
      <c r="I1880" t="s">
        <v>1611</v>
      </c>
      <c r="J1880" s="14">
        <v>945.84462112203505</v>
      </c>
      <c r="K1880" s="14">
        <f t="shared" si="232"/>
        <v>50700.861826292399</v>
      </c>
      <c r="L1880" s="14">
        <f t="shared" si="233"/>
        <v>54</v>
      </c>
      <c r="M1880" s="14" t="str">
        <f t="shared" si="234"/>
        <v>30-05-2025</v>
      </c>
      <c r="N1880" s="14">
        <f t="shared" si="235"/>
        <v>0.15931474854853445</v>
      </c>
      <c r="O1880" s="20">
        <f t="shared" si="236"/>
        <v>2.5162463726785682</v>
      </c>
      <c r="P1880" s="14">
        <f t="shared" si="237"/>
        <v>442.80995528734462</v>
      </c>
      <c r="Q1880" s="14">
        <f t="shared" si="238"/>
        <v>348.60850008479525</v>
      </c>
      <c r="R1880" s="14" t="str">
        <f t="shared" si="239"/>
        <v>May</v>
      </c>
    </row>
    <row r="1881" spans="1:18" x14ac:dyDescent="0.3">
      <c r="A1881" t="s">
        <v>3489</v>
      </c>
      <c r="B1881" s="1">
        <v>45238</v>
      </c>
      <c r="C1881" t="s">
        <v>1230</v>
      </c>
      <c r="D1881" t="s">
        <v>1473</v>
      </c>
      <c r="E1881" t="s">
        <v>1537</v>
      </c>
      <c r="F1881">
        <v>2.5147661098787202</v>
      </c>
      <c r="G1881" s="14">
        <v>445.86396627407402</v>
      </c>
      <c r="H1881" s="17">
        <v>0.15891578638374801</v>
      </c>
      <c r="I1881" t="s">
        <v>1609</v>
      </c>
      <c r="J1881" s="14">
        <v>945.73662466258304</v>
      </c>
      <c r="K1881" s="14">
        <f t="shared" si="232"/>
        <v>50700.861826292399</v>
      </c>
      <c r="L1881" s="14">
        <f t="shared" si="233"/>
        <v>54</v>
      </c>
      <c r="M1881" s="14" t="str">
        <f t="shared" si="234"/>
        <v>08-11-2023</v>
      </c>
      <c r="N1881" s="14">
        <f t="shared" si="235"/>
        <v>0.15931812958382929</v>
      </c>
      <c r="O1881" s="20">
        <f t="shared" si="236"/>
        <v>2.516258917278567</v>
      </c>
      <c r="P1881" s="14">
        <f t="shared" si="237"/>
        <v>442.78407383830461</v>
      </c>
      <c r="Q1881" s="14">
        <f t="shared" si="238"/>
        <v>348.56856820822986</v>
      </c>
      <c r="R1881" s="14" t="str">
        <f t="shared" si="239"/>
        <v>Nov</v>
      </c>
    </row>
    <row r="1882" spans="1:18" x14ac:dyDescent="0.3">
      <c r="A1882" t="s">
        <v>3490</v>
      </c>
      <c r="B1882" s="1">
        <v>45253</v>
      </c>
      <c r="C1882" t="s">
        <v>121</v>
      </c>
      <c r="D1882" t="s">
        <v>1491</v>
      </c>
      <c r="E1882" t="s">
        <v>1554</v>
      </c>
      <c r="F1882">
        <v>2.51479119907872</v>
      </c>
      <c r="G1882" s="14">
        <v>445.81220337599399</v>
      </c>
      <c r="H1882" s="17">
        <v>0.15892254845433701</v>
      </c>
      <c r="I1882" t="s">
        <v>1614</v>
      </c>
      <c r="J1882" s="14">
        <v>945.62862820313205</v>
      </c>
      <c r="K1882" s="14">
        <f t="shared" si="232"/>
        <v>49755.125201629817</v>
      </c>
      <c r="L1882" s="14">
        <f t="shared" si="233"/>
        <v>53</v>
      </c>
      <c r="M1882" s="14" t="str">
        <f t="shared" si="234"/>
        <v>23-11-2023</v>
      </c>
      <c r="N1882" s="14">
        <f t="shared" si="235"/>
        <v>0.15932151061912408</v>
      </c>
      <c r="O1882" s="20">
        <f t="shared" si="236"/>
        <v>2.5162714618785653</v>
      </c>
      <c r="P1882" s="14">
        <f t="shared" si="237"/>
        <v>442.75819238926459</v>
      </c>
      <c r="Q1882" s="14">
        <f t="shared" si="238"/>
        <v>348.52863633166476</v>
      </c>
      <c r="R1882" s="14" t="str">
        <f t="shared" si="239"/>
        <v>Nov</v>
      </c>
    </row>
    <row r="1883" spans="1:18" x14ac:dyDescent="0.3">
      <c r="A1883" t="s">
        <v>3491</v>
      </c>
      <c r="B1883" s="1">
        <v>45460</v>
      </c>
      <c r="C1883" t="s">
        <v>470</v>
      </c>
      <c r="D1883" t="s">
        <v>1399</v>
      </c>
      <c r="E1883" t="s">
        <v>1598</v>
      </c>
      <c r="F1883">
        <v>2.5148162882787202</v>
      </c>
      <c r="G1883" s="14">
        <v>445.76044047791402</v>
      </c>
      <c r="H1883" s="17">
        <v>0.15892931052492701</v>
      </c>
      <c r="I1883" t="s">
        <v>1609</v>
      </c>
      <c r="J1883" s="14">
        <v>945.52063174368004</v>
      </c>
      <c r="K1883" s="14">
        <f t="shared" si="232"/>
        <v>49755.125201629817</v>
      </c>
      <c r="L1883" s="14">
        <f t="shared" si="233"/>
        <v>53</v>
      </c>
      <c r="M1883" s="14" t="str">
        <f t="shared" si="234"/>
        <v>17-06-2024</v>
      </c>
      <c r="N1883" s="14">
        <f t="shared" si="235"/>
        <v>0.15932489165441888</v>
      </c>
      <c r="O1883" s="20">
        <f t="shared" si="236"/>
        <v>2.5162840064785641</v>
      </c>
      <c r="P1883" s="14">
        <f t="shared" si="237"/>
        <v>442.73231094022441</v>
      </c>
      <c r="Q1883" s="14">
        <f t="shared" si="238"/>
        <v>348.48870445509942</v>
      </c>
      <c r="R1883" s="14" t="str">
        <f t="shared" si="239"/>
        <v>Jun</v>
      </c>
    </row>
    <row r="1884" spans="1:18" x14ac:dyDescent="0.3">
      <c r="A1884" t="s">
        <v>3492</v>
      </c>
      <c r="B1884" s="1">
        <v>45628</v>
      </c>
      <c r="C1884" t="s">
        <v>1293</v>
      </c>
      <c r="D1884" t="s">
        <v>1449</v>
      </c>
      <c r="E1884" t="s">
        <v>1561</v>
      </c>
      <c r="F1884">
        <v>2.5148413774787199</v>
      </c>
      <c r="G1884" s="14">
        <v>445.70867757983302</v>
      </c>
      <c r="H1884" s="17">
        <v>0.15893607259551601</v>
      </c>
      <c r="I1884" t="s">
        <v>1614</v>
      </c>
      <c r="J1884" s="14">
        <v>945.41263528422803</v>
      </c>
      <c r="K1884" s="14">
        <f t="shared" si="232"/>
        <v>48809.604569886134</v>
      </c>
      <c r="L1884" s="14">
        <f t="shared" si="233"/>
        <v>52</v>
      </c>
      <c r="M1884" s="14" t="str">
        <f t="shared" si="234"/>
        <v>02-12-2024</v>
      </c>
      <c r="N1884" s="14">
        <f t="shared" si="235"/>
        <v>0.1593282726897137</v>
      </c>
      <c r="O1884" s="20">
        <f t="shared" si="236"/>
        <v>2.5162965510785624</v>
      </c>
      <c r="P1884" s="14">
        <f t="shared" si="237"/>
        <v>442.70642949118439</v>
      </c>
      <c r="Q1884" s="14">
        <f t="shared" si="238"/>
        <v>348.44877257853381</v>
      </c>
      <c r="R1884" s="14" t="str">
        <f t="shared" si="239"/>
        <v>Dec</v>
      </c>
    </row>
    <row r="1885" spans="1:18" x14ac:dyDescent="0.3">
      <c r="A1885" t="s">
        <v>3493</v>
      </c>
      <c r="B1885" s="1">
        <v>45778</v>
      </c>
      <c r="C1885" t="s">
        <v>1209</v>
      </c>
      <c r="D1885" t="s">
        <v>1487</v>
      </c>
      <c r="E1885" t="s">
        <v>1584</v>
      </c>
      <c r="F1885">
        <v>2.5148664666787099</v>
      </c>
      <c r="G1885" s="14">
        <v>445.65691468175299</v>
      </c>
      <c r="H1885" s="17">
        <v>0.15894283466610601</v>
      </c>
      <c r="I1885" t="s">
        <v>1609</v>
      </c>
      <c r="J1885" s="14">
        <v>945.30463882477704</v>
      </c>
      <c r="K1885" s="14">
        <f t="shared" si="232"/>
        <v>48809.604569886134</v>
      </c>
      <c r="L1885" s="14">
        <f t="shared" si="233"/>
        <v>52</v>
      </c>
      <c r="M1885" s="14" t="str">
        <f t="shared" si="234"/>
        <v>01-05-2025</v>
      </c>
      <c r="N1885" s="14">
        <f t="shared" si="235"/>
        <v>0.15933165372500852</v>
      </c>
      <c r="O1885" s="20">
        <f t="shared" si="236"/>
        <v>2.5163090956785616</v>
      </c>
      <c r="P1885" s="14">
        <f t="shared" si="237"/>
        <v>442.68054804214432</v>
      </c>
      <c r="Q1885" s="14">
        <f t="shared" si="238"/>
        <v>348.4088407019687</v>
      </c>
      <c r="R1885" s="14" t="str">
        <f t="shared" si="239"/>
        <v>May</v>
      </c>
    </row>
    <row r="1886" spans="1:18" x14ac:dyDescent="0.3">
      <c r="A1886" t="s">
        <v>3494</v>
      </c>
      <c r="B1886" s="1">
        <v>45471</v>
      </c>
      <c r="C1886" t="s">
        <v>598</v>
      </c>
      <c r="D1886" t="s">
        <v>1495</v>
      </c>
      <c r="E1886" t="s">
        <v>1564</v>
      </c>
      <c r="F1886">
        <v>2.5148915558787102</v>
      </c>
      <c r="G1886" s="14">
        <v>445.60515178367302</v>
      </c>
      <c r="H1886" s="17">
        <v>0.15894959673669601</v>
      </c>
      <c r="I1886" t="s">
        <v>1614</v>
      </c>
      <c r="J1886" s="14">
        <v>945.19664236532503</v>
      </c>
      <c r="K1886" s="14">
        <f t="shared" si="232"/>
        <v>47864.29993106136</v>
      </c>
      <c r="L1886" s="14">
        <f t="shared" si="233"/>
        <v>51</v>
      </c>
      <c r="M1886" s="14" t="str">
        <f t="shared" si="234"/>
        <v>28-06-2024</v>
      </c>
      <c r="N1886" s="14">
        <f t="shared" si="235"/>
        <v>0.15933503476030331</v>
      </c>
      <c r="O1886" s="20">
        <f t="shared" si="236"/>
        <v>2.5163216402785604</v>
      </c>
      <c r="P1886" s="14">
        <f t="shared" si="237"/>
        <v>442.6546665931042</v>
      </c>
      <c r="Q1886" s="14">
        <f t="shared" si="238"/>
        <v>348.36890882540337</v>
      </c>
      <c r="R1886" s="14" t="str">
        <f t="shared" si="239"/>
        <v>Jun</v>
      </c>
    </row>
    <row r="1887" spans="1:18" x14ac:dyDescent="0.3">
      <c r="A1887" t="s">
        <v>3495</v>
      </c>
      <c r="B1887" s="1">
        <v>45770</v>
      </c>
      <c r="C1887" t="s">
        <v>1287</v>
      </c>
      <c r="D1887" t="s">
        <v>1401</v>
      </c>
      <c r="E1887" t="s">
        <v>1595</v>
      </c>
      <c r="F1887">
        <v>2.5149166450787099</v>
      </c>
      <c r="G1887" s="14">
        <v>445.55338888559299</v>
      </c>
      <c r="H1887" s="17">
        <v>0.15895635880728501</v>
      </c>
      <c r="I1887" t="s">
        <v>1609</v>
      </c>
      <c r="J1887" s="14">
        <v>945.08864590587302</v>
      </c>
      <c r="K1887" s="14">
        <f t="shared" si="232"/>
        <v>47864.29993106136</v>
      </c>
      <c r="L1887" s="14">
        <f t="shared" si="233"/>
        <v>51</v>
      </c>
      <c r="M1887" s="14" t="str">
        <f t="shared" si="234"/>
        <v>23-04-2025</v>
      </c>
      <c r="N1887" s="14">
        <f t="shared" si="235"/>
        <v>0.1593384157955981</v>
      </c>
      <c r="O1887" s="20">
        <f t="shared" si="236"/>
        <v>2.5163341848785592</v>
      </c>
      <c r="P1887" s="14">
        <f t="shared" si="237"/>
        <v>442.62878514406412</v>
      </c>
      <c r="Q1887" s="14">
        <f t="shared" si="238"/>
        <v>348.32897694883798</v>
      </c>
      <c r="R1887" s="14" t="str">
        <f t="shared" si="239"/>
        <v>Apr</v>
      </c>
    </row>
    <row r="1888" spans="1:18" x14ac:dyDescent="0.3">
      <c r="A1888" t="s">
        <v>3496</v>
      </c>
      <c r="B1888" s="1">
        <v>45369</v>
      </c>
      <c r="C1888" t="s">
        <v>699</v>
      </c>
      <c r="D1888" t="s">
        <v>1467</v>
      </c>
      <c r="E1888" t="s">
        <v>1598</v>
      </c>
      <c r="F1888">
        <v>2.5149417342786999</v>
      </c>
      <c r="G1888" s="14">
        <v>445.50162598751302</v>
      </c>
      <c r="H1888" s="17">
        <v>0.15896312087787501</v>
      </c>
      <c r="I1888" t="s">
        <v>1609</v>
      </c>
      <c r="J1888" s="14">
        <v>944.98064944642101</v>
      </c>
      <c r="K1888" s="14">
        <f t="shared" si="232"/>
        <v>46919.211285155485</v>
      </c>
      <c r="L1888" s="14">
        <f t="shared" si="233"/>
        <v>50</v>
      </c>
      <c r="M1888" s="14" t="str">
        <f t="shared" si="234"/>
        <v>18-03-2024</v>
      </c>
      <c r="N1888" s="14">
        <f t="shared" si="235"/>
        <v>0.15934179683089292</v>
      </c>
      <c r="O1888" s="20">
        <f t="shared" si="236"/>
        <v>2.516346729478558</v>
      </c>
      <c r="P1888" s="14">
        <f t="shared" si="237"/>
        <v>442.60290369502405</v>
      </c>
      <c r="Q1888" s="14">
        <f t="shared" si="238"/>
        <v>348.28904507227264</v>
      </c>
      <c r="R1888" s="14" t="str">
        <f t="shared" si="239"/>
        <v>Mar</v>
      </c>
    </row>
    <row r="1889" spans="1:18" x14ac:dyDescent="0.3">
      <c r="A1889" t="s">
        <v>3497</v>
      </c>
      <c r="B1889" s="1">
        <v>45910</v>
      </c>
      <c r="C1889" t="s">
        <v>616</v>
      </c>
      <c r="D1889" t="s">
        <v>1485</v>
      </c>
      <c r="E1889" t="s">
        <v>1595</v>
      </c>
      <c r="F1889">
        <v>2.5149668234787002</v>
      </c>
      <c r="G1889" s="14">
        <v>445.44986308943299</v>
      </c>
      <c r="H1889" s="17">
        <v>0.15896988294846401</v>
      </c>
      <c r="I1889" t="s">
        <v>1611</v>
      </c>
      <c r="J1889" s="14">
        <v>944.87265298697002</v>
      </c>
      <c r="K1889" s="14">
        <f t="shared" si="232"/>
        <v>45974.230635709057</v>
      </c>
      <c r="L1889" s="14">
        <f t="shared" si="233"/>
        <v>49</v>
      </c>
      <c r="M1889" s="14" t="str">
        <f t="shared" si="234"/>
        <v>10-09-2025</v>
      </c>
      <c r="N1889" s="14">
        <f t="shared" si="235"/>
        <v>0.15934517786618771</v>
      </c>
      <c r="O1889" s="20">
        <f t="shared" si="236"/>
        <v>2.5163592740785568</v>
      </c>
      <c r="P1889" s="14">
        <f t="shared" si="237"/>
        <v>442.57702224598387</v>
      </c>
      <c r="Q1889" s="14">
        <f t="shared" si="238"/>
        <v>348.24911319570754</v>
      </c>
      <c r="R1889" s="14" t="str">
        <f t="shared" si="239"/>
        <v>Sep</v>
      </c>
    </row>
    <row r="1890" spans="1:18" x14ac:dyDescent="0.3">
      <c r="A1890" t="s">
        <v>3498</v>
      </c>
      <c r="B1890" s="1">
        <v>45637</v>
      </c>
      <c r="C1890" t="s">
        <v>1190</v>
      </c>
      <c r="D1890" t="s">
        <v>1495</v>
      </c>
      <c r="E1890" t="s">
        <v>1542</v>
      </c>
      <c r="F1890">
        <v>2.5149919126786999</v>
      </c>
      <c r="G1890" s="14">
        <v>445.39810019135302</v>
      </c>
      <c r="H1890" s="17">
        <v>0.15897664501905401</v>
      </c>
      <c r="I1890" t="s">
        <v>1611</v>
      </c>
      <c r="J1890" s="14">
        <v>944.76465652751801</v>
      </c>
      <c r="K1890" s="14">
        <f t="shared" si="232"/>
        <v>45974.230635709057</v>
      </c>
      <c r="L1890" s="14">
        <f t="shared" si="233"/>
        <v>49</v>
      </c>
      <c r="M1890" s="14" t="str">
        <f t="shared" si="234"/>
        <v>11-12-2024</v>
      </c>
      <c r="N1890" s="14">
        <f t="shared" si="235"/>
        <v>0.15934855890148253</v>
      </c>
      <c r="O1890" s="20">
        <f t="shared" si="236"/>
        <v>2.5163718186785555</v>
      </c>
      <c r="P1890" s="14">
        <f t="shared" si="237"/>
        <v>442.55114079694386</v>
      </c>
      <c r="Q1890" s="14">
        <f t="shared" si="238"/>
        <v>348.2091813191422</v>
      </c>
      <c r="R1890" s="14" t="str">
        <f t="shared" si="239"/>
        <v>Dec</v>
      </c>
    </row>
    <row r="1891" spans="1:18" x14ac:dyDescent="0.3">
      <c r="A1891" t="s">
        <v>3499</v>
      </c>
      <c r="B1891" s="1">
        <v>45706</v>
      </c>
      <c r="C1891" t="s">
        <v>532</v>
      </c>
      <c r="D1891" t="s">
        <v>1377</v>
      </c>
      <c r="E1891" t="s">
        <v>1537</v>
      </c>
      <c r="F1891">
        <v>2.5150170018787001</v>
      </c>
      <c r="G1891" s="14">
        <v>445.34633729327197</v>
      </c>
      <c r="H1891" s="17">
        <v>0.15898340708964401</v>
      </c>
      <c r="I1891" t="s">
        <v>1614</v>
      </c>
      <c r="J1891" s="14">
        <v>944.656660068066</v>
      </c>
      <c r="K1891" s="14">
        <f t="shared" si="232"/>
        <v>45974.230635709057</v>
      </c>
      <c r="L1891" s="14">
        <f t="shared" si="233"/>
        <v>49</v>
      </c>
      <c r="M1891" s="14" t="str">
        <f t="shared" si="234"/>
        <v>18-02-2025</v>
      </c>
      <c r="N1891" s="14">
        <f t="shared" si="235"/>
        <v>0.15935193993677729</v>
      </c>
      <c r="O1891" s="20">
        <f t="shared" si="236"/>
        <v>2.5163843632785543</v>
      </c>
      <c r="P1891" s="14">
        <f t="shared" si="237"/>
        <v>442.52525934790373</v>
      </c>
      <c r="Q1891" s="14">
        <f t="shared" si="238"/>
        <v>348.16924944257659</v>
      </c>
      <c r="R1891" s="14" t="str">
        <f t="shared" si="239"/>
        <v>Feb</v>
      </c>
    </row>
    <row r="1892" spans="1:18" x14ac:dyDescent="0.3">
      <c r="A1892" t="s">
        <v>3500</v>
      </c>
      <c r="B1892" s="1">
        <v>45557</v>
      </c>
      <c r="C1892" t="s">
        <v>1224</v>
      </c>
      <c r="D1892" t="s">
        <v>1437</v>
      </c>
      <c r="E1892" t="s">
        <v>1558</v>
      </c>
      <c r="F1892">
        <v>2.5150420910786901</v>
      </c>
      <c r="G1892" s="14">
        <v>445.294574395192</v>
      </c>
      <c r="H1892" s="17">
        <v>0.15899016916023301</v>
      </c>
      <c r="I1892" t="s">
        <v>1611</v>
      </c>
      <c r="J1892" s="14">
        <v>944.54866360861399</v>
      </c>
      <c r="K1892" s="14">
        <f t="shared" si="232"/>
        <v>45974.230635709057</v>
      </c>
      <c r="L1892" s="14">
        <f t="shared" si="233"/>
        <v>49</v>
      </c>
      <c r="M1892" s="14" t="str">
        <f t="shared" si="234"/>
        <v>22-09-2024</v>
      </c>
      <c r="N1892" s="14">
        <f t="shared" si="235"/>
        <v>0.15935532097207211</v>
      </c>
      <c r="O1892" s="20">
        <f t="shared" si="236"/>
        <v>2.5163969078785535</v>
      </c>
      <c r="P1892" s="14">
        <f t="shared" si="237"/>
        <v>442.49937789886371</v>
      </c>
      <c r="Q1892" s="14">
        <f t="shared" si="238"/>
        <v>348.1293175660112</v>
      </c>
      <c r="R1892" s="14" t="str">
        <f t="shared" si="239"/>
        <v>Sep</v>
      </c>
    </row>
    <row r="1893" spans="1:18" x14ac:dyDescent="0.3">
      <c r="A1893" t="s">
        <v>3501</v>
      </c>
      <c r="B1893" s="1">
        <v>45338</v>
      </c>
      <c r="C1893" t="s">
        <v>1017</v>
      </c>
      <c r="D1893" t="s">
        <v>1463</v>
      </c>
      <c r="E1893" t="s">
        <v>1579</v>
      </c>
      <c r="F1893">
        <v>2.5150671802786899</v>
      </c>
      <c r="G1893" s="14">
        <v>445.24281149711197</v>
      </c>
      <c r="H1893" s="17">
        <v>0.15899693123082301</v>
      </c>
      <c r="I1893" t="s">
        <v>1609</v>
      </c>
      <c r="J1893" s="14">
        <v>944.440667149163</v>
      </c>
      <c r="K1893" s="14">
        <f t="shared" si="232"/>
        <v>45974.230635709057</v>
      </c>
      <c r="L1893" s="14">
        <f t="shared" si="233"/>
        <v>49</v>
      </c>
      <c r="M1893" s="14" t="str">
        <f t="shared" si="234"/>
        <v>16-02-2024</v>
      </c>
      <c r="N1893" s="14">
        <f t="shared" si="235"/>
        <v>0.15935870200736696</v>
      </c>
      <c r="O1893" s="20">
        <f t="shared" si="236"/>
        <v>2.5164094524785523</v>
      </c>
      <c r="P1893" s="14">
        <f t="shared" si="237"/>
        <v>442.47349644982359</v>
      </c>
      <c r="Q1893" s="14">
        <f t="shared" si="238"/>
        <v>348.08938568944609</v>
      </c>
      <c r="R1893" s="14" t="str">
        <f t="shared" si="239"/>
        <v>Feb</v>
      </c>
    </row>
    <row r="1894" spans="1:18" x14ac:dyDescent="0.3">
      <c r="A1894" t="s">
        <v>3502</v>
      </c>
      <c r="B1894" s="1">
        <v>45441</v>
      </c>
      <c r="C1894" t="s">
        <v>1278</v>
      </c>
      <c r="D1894" t="s">
        <v>1383</v>
      </c>
      <c r="E1894" t="s">
        <v>1586</v>
      </c>
      <c r="F1894">
        <v>2.5150922694786901</v>
      </c>
      <c r="G1894" s="14">
        <v>445.191048599032</v>
      </c>
      <c r="H1894" s="17">
        <v>0.15900369330141201</v>
      </c>
      <c r="I1894" t="s">
        <v>1609</v>
      </c>
      <c r="J1894" s="14">
        <v>944.33267068971099</v>
      </c>
      <c r="K1894" s="14">
        <f t="shared" si="232"/>
        <v>45029.78996855989</v>
      </c>
      <c r="L1894" s="14">
        <f t="shared" si="233"/>
        <v>48</v>
      </c>
      <c r="M1894" s="14" t="str">
        <f t="shared" si="234"/>
        <v>29-05-2024</v>
      </c>
      <c r="N1894" s="14">
        <f t="shared" si="235"/>
        <v>0.15936208304266175</v>
      </c>
      <c r="O1894" s="20">
        <f t="shared" si="236"/>
        <v>2.5164219970785506</v>
      </c>
      <c r="P1894" s="14">
        <f t="shared" si="237"/>
        <v>442.44761500078351</v>
      </c>
      <c r="Q1894" s="14">
        <f t="shared" si="238"/>
        <v>348.04945381288076</v>
      </c>
      <c r="R1894" s="14" t="str">
        <f t="shared" si="239"/>
        <v>May</v>
      </c>
    </row>
    <row r="1895" spans="1:18" x14ac:dyDescent="0.3">
      <c r="A1895" t="s">
        <v>3503</v>
      </c>
      <c r="B1895" s="1">
        <v>45396</v>
      </c>
      <c r="C1895" t="s">
        <v>224</v>
      </c>
      <c r="D1895" t="s">
        <v>1409</v>
      </c>
      <c r="E1895" t="s">
        <v>1577</v>
      </c>
      <c r="F1895">
        <v>2.5151173586786899</v>
      </c>
      <c r="G1895" s="14">
        <v>445.13928570095197</v>
      </c>
      <c r="H1895" s="17">
        <v>0.15901045537200201</v>
      </c>
      <c r="I1895" t="s">
        <v>1611</v>
      </c>
      <c r="J1895" s="14">
        <v>944.22467423025898</v>
      </c>
      <c r="K1895" s="14">
        <f t="shared" si="232"/>
        <v>44085.457297870184</v>
      </c>
      <c r="L1895" s="14">
        <f t="shared" si="233"/>
        <v>47</v>
      </c>
      <c r="M1895" s="14" t="str">
        <f t="shared" si="234"/>
        <v>14-04-2024</v>
      </c>
      <c r="N1895" s="14">
        <f t="shared" si="235"/>
        <v>0.15936546407795657</v>
      </c>
      <c r="O1895" s="20">
        <f t="shared" si="236"/>
        <v>2.516434541678549</v>
      </c>
      <c r="P1895" s="14">
        <f t="shared" si="237"/>
        <v>442.42173355174339</v>
      </c>
      <c r="Q1895" s="14">
        <f t="shared" si="238"/>
        <v>348.00952193631542</v>
      </c>
      <c r="R1895" s="14" t="str">
        <f t="shared" si="239"/>
        <v>Apr</v>
      </c>
    </row>
    <row r="1896" spans="1:18" x14ac:dyDescent="0.3">
      <c r="A1896" t="s">
        <v>3504</v>
      </c>
      <c r="B1896" s="1">
        <v>45317</v>
      </c>
      <c r="C1896" t="s">
        <v>785</v>
      </c>
      <c r="D1896" t="s">
        <v>1411</v>
      </c>
      <c r="E1896" t="s">
        <v>1571</v>
      </c>
      <c r="F1896">
        <v>2.5151424478786799</v>
      </c>
      <c r="G1896" s="14">
        <v>445.087522802872</v>
      </c>
      <c r="H1896" s="17">
        <v>0.15901721744259201</v>
      </c>
      <c r="I1896" t="s">
        <v>1611</v>
      </c>
      <c r="J1896" s="14">
        <v>944.11667777080697</v>
      </c>
      <c r="K1896" s="14">
        <f t="shared" si="232"/>
        <v>44085.457297870184</v>
      </c>
      <c r="L1896" s="14">
        <f t="shared" si="233"/>
        <v>47</v>
      </c>
      <c r="M1896" s="14" t="str">
        <f t="shared" si="234"/>
        <v>26-01-2024</v>
      </c>
      <c r="N1896" s="14">
        <f t="shared" si="235"/>
        <v>0.15936884511325136</v>
      </c>
      <c r="O1896" s="20">
        <f t="shared" si="236"/>
        <v>2.5164470862785477</v>
      </c>
      <c r="P1896" s="14">
        <f t="shared" si="237"/>
        <v>442.39585210270332</v>
      </c>
      <c r="Q1896" s="14">
        <f t="shared" si="238"/>
        <v>347.96959005975009</v>
      </c>
      <c r="R1896" s="14" t="str">
        <f t="shared" si="239"/>
        <v>Jan</v>
      </c>
    </row>
    <row r="1897" spans="1:18" x14ac:dyDescent="0.3">
      <c r="A1897" t="s">
        <v>3505</v>
      </c>
      <c r="B1897" s="1">
        <v>45235</v>
      </c>
      <c r="C1897" t="s">
        <v>414</v>
      </c>
      <c r="D1897" t="s">
        <v>1359</v>
      </c>
      <c r="E1897" t="s">
        <v>1586</v>
      </c>
      <c r="F1897">
        <v>2.5151675370786801</v>
      </c>
      <c r="G1897" s="14">
        <v>445.03575990479101</v>
      </c>
      <c r="H1897" s="17">
        <v>0.15902397951318101</v>
      </c>
      <c r="I1897" t="s">
        <v>1611</v>
      </c>
      <c r="J1897" s="14">
        <v>944.00868131135599</v>
      </c>
      <c r="K1897" s="14">
        <f t="shared" si="232"/>
        <v>44085.457297870184</v>
      </c>
      <c r="L1897" s="14">
        <f t="shared" si="233"/>
        <v>47</v>
      </c>
      <c r="M1897" s="14" t="str">
        <f t="shared" si="234"/>
        <v>05-11-2023</v>
      </c>
      <c r="N1897" s="14">
        <f t="shared" si="235"/>
        <v>0.15937222614854613</v>
      </c>
      <c r="O1897" s="20">
        <f t="shared" si="236"/>
        <v>2.5164596308785461</v>
      </c>
      <c r="P1897" s="14">
        <f t="shared" si="237"/>
        <v>442.36997065366324</v>
      </c>
      <c r="Q1897" s="14">
        <f t="shared" si="238"/>
        <v>347.9296581831847</v>
      </c>
      <c r="R1897" s="14" t="str">
        <f t="shared" si="239"/>
        <v>Nov</v>
      </c>
    </row>
    <row r="1898" spans="1:18" x14ac:dyDescent="0.3">
      <c r="A1898" t="s">
        <v>3506</v>
      </c>
      <c r="B1898" s="1">
        <v>45824</v>
      </c>
      <c r="C1898" t="s">
        <v>1196</v>
      </c>
      <c r="D1898" t="s">
        <v>1459</v>
      </c>
      <c r="E1898" t="s">
        <v>1582</v>
      </c>
      <c r="F1898">
        <v>2.5151926262786799</v>
      </c>
      <c r="G1898" s="14">
        <v>444.98399700671098</v>
      </c>
      <c r="H1898" s="17">
        <v>0.15903074158377101</v>
      </c>
      <c r="I1898" t="s">
        <v>1609</v>
      </c>
      <c r="J1898" s="14">
        <v>943.90068485190397</v>
      </c>
      <c r="K1898" s="14">
        <f t="shared" si="232"/>
        <v>44085.457297870184</v>
      </c>
      <c r="L1898" s="14">
        <f t="shared" si="233"/>
        <v>47</v>
      </c>
      <c r="M1898" s="14" t="str">
        <f t="shared" si="234"/>
        <v>16-06-2025</v>
      </c>
      <c r="N1898" s="14">
        <f t="shared" si="235"/>
        <v>0.15937560718384092</v>
      </c>
      <c r="O1898" s="20">
        <f t="shared" si="236"/>
        <v>2.5164721754785448</v>
      </c>
      <c r="P1898" s="14">
        <f t="shared" si="237"/>
        <v>442.34408920462323</v>
      </c>
      <c r="Q1898" s="14">
        <f t="shared" si="238"/>
        <v>347.88972630661937</v>
      </c>
      <c r="R1898" s="14" t="str">
        <f t="shared" si="239"/>
        <v>Jun</v>
      </c>
    </row>
    <row r="1899" spans="1:18" x14ac:dyDescent="0.3">
      <c r="A1899" t="s">
        <v>3507</v>
      </c>
      <c r="B1899" s="1">
        <v>45543</v>
      </c>
      <c r="C1899" t="s">
        <v>247</v>
      </c>
      <c r="D1899" t="s">
        <v>1485</v>
      </c>
      <c r="E1899" t="s">
        <v>1574</v>
      </c>
      <c r="F1899">
        <v>2.5152177154786801</v>
      </c>
      <c r="G1899" s="14">
        <v>444.93223410863101</v>
      </c>
      <c r="H1899" s="17">
        <v>0.15903750365436101</v>
      </c>
      <c r="I1899" t="s">
        <v>1611</v>
      </c>
      <c r="J1899" s="14">
        <v>943.79268839245196</v>
      </c>
      <c r="K1899" s="14">
        <f t="shared" si="232"/>
        <v>43141.556613018278</v>
      </c>
      <c r="L1899" s="14">
        <f t="shared" si="233"/>
        <v>46</v>
      </c>
      <c r="M1899" s="14" t="str">
        <f t="shared" si="234"/>
        <v>08-09-2024</v>
      </c>
      <c r="N1899" s="14">
        <f t="shared" si="235"/>
        <v>0.15937898821913576</v>
      </c>
      <c r="O1899" s="20">
        <f t="shared" si="236"/>
        <v>2.5164847200785432</v>
      </c>
      <c r="P1899" s="14">
        <f t="shared" si="237"/>
        <v>442.31820775558305</v>
      </c>
      <c r="Q1899" s="14">
        <f t="shared" si="238"/>
        <v>347.84979443005398</v>
      </c>
      <c r="R1899" s="14" t="str">
        <f t="shared" si="239"/>
        <v>Sep</v>
      </c>
    </row>
    <row r="1900" spans="1:18" x14ac:dyDescent="0.3">
      <c r="A1900" t="s">
        <v>3508</v>
      </c>
      <c r="B1900" s="1">
        <v>45595</v>
      </c>
      <c r="C1900" t="s">
        <v>1313</v>
      </c>
      <c r="D1900" t="s">
        <v>1457</v>
      </c>
      <c r="E1900" t="s">
        <v>1586</v>
      </c>
      <c r="F1900">
        <v>2.5152428046786701</v>
      </c>
      <c r="G1900" s="14">
        <v>444.88047121055098</v>
      </c>
      <c r="H1900" s="17">
        <v>0.15904426572495001</v>
      </c>
      <c r="I1900" t="s">
        <v>1611</v>
      </c>
      <c r="J1900" s="14">
        <v>943.68469193300098</v>
      </c>
      <c r="K1900" s="14">
        <f t="shared" si="232"/>
        <v>43141.556613018278</v>
      </c>
      <c r="L1900" s="14">
        <f t="shared" si="233"/>
        <v>46</v>
      </c>
      <c r="M1900" s="14" t="str">
        <f t="shared" si="234"/>
        <v>30-10-2024</v>
      </c>
      <c r="N1900" s="14">
        <f t="shared" si="235"/>
        <v>0.15938236925443058</v>
      </c>
      <c r="O1900" s="20">
        <f t="shared" si="236"/>
        <v>2.516497264678542</v>
      </c>
      <c r="P1900" s="14">
        <f t="shared" si="237"/>
        <v>442.29232630654292</v>
      </c>
      <c r="Q1900" s="14">
        <f t="shared" si="238"/>
        <v>347.80986255348887</v>
      </c>
      <c r="R1900" s="14" t="str">
        <f t="shared" si="239"/>
        <v>Oct</v>
      </c>
    </row>
    <row r="1901" spans="1:18" x14ac:dyDescent="0.3">
      <c r="A1901" t="s">
        <v>3509</v>
      </c>
      <c r="B1901" s="1">
        <v>45803</v>
      </c>
      <c r="C1901" t="s">
        <v>963</v>
      </c>
      <c r="D1901" t="s">
        <v>1389</v>
      </c>
      <c r="E1901" t="s">
        <v>1542</v>
      </c>
      <c r="F1901">
        <v>2.5152678938786699</v>
      </c>
      <c r="G1901" s="14">
        <v>444.82870831247101</v>
      </c>
      <c r="H1901" s="17">
        <v>0.15905102779554001</v>
      </c>
      <c r="I1901" t="s">
        <v>1614</v>
      </c>
      <c r="J1901" s="14">
        <v>943.57669547354897</v>
      </c>
      <c r="K1901" s="14">
        <f t="shared" si="232"/>
        <v>43141.556613018278</v>
      </c>
      <c r="L1901" s="14">
        <f t="shared" si="233"/>
        <v>46</v>
      </c>
      <c r="M1901" s="14" t="str">
        <f t="shared" si="234"/>
        <v>26-05-2025</v>
      </c>
      <c r="N1901" s="14">
        <f t="shared" si="235"/>
        <v>0.1593857502897254</v>
      </c>
      <c r="O1901" s="20">
        <f t="shared" si="236"/>
        <v>2.5165098092785403</v>
      </c>
      <c r="P1901" s="14">
        <f t="shared" si="237"/>
        <v>442.26644485750285</v>
      </c>
      <c r="Q1901" s="14">
        <f t="shared" si="238"/>
        <v>347.76993067692354</v>
      </c>
      <c r="R1901" s="14" t="str">
        <f t="shared" si="239"/>
        <v>May</v>
      </c>
    </row>
    <row r="1902" spans="1:18" x14ac:dyDescent="0.3">
      <c r="A1902" t="s">
        <v>3510</v>
      </c>
      <c r="B1902" s="1">
        <v>45880</v>
      </c>
      <c r="C1902" t="s">
        <v>1266</v>
      </c>
      <c r="D1902" t="s">
        <v>1395</v>
      </c>
      <c r="E1902" t="s">
        <v>1589</v>
      </c>
      <c r="F1902">
        <v>2.5152929830786701</v>
      </c>
      <c r="G1902" s="14">
        <v>444.77694541439098</v>
      </c>
      <c r="H1902" s="17">
        <v>0.15905778986612901</v>
      </c>
      <c r="I1902" t="s">
        <v>1609</v>
      </c>
      <c r="J1902" s="14">
        <v>943.46869901409696</v>
      </c>
      <c r="K1902" s="14">
        <f t="shared" si="232"/>
        <v>43141.556613018278</v>
      </c>
      <c r="L1902" s="14">
        <f t="shared" si="233"/>
        <v>46</v>
      </c>
      <c r="M1902" s="14" t="str">
        <f t="shared" si="234"/>
        <v>11-08-2025</v>
      </c>
      <c r="N1902" s="14">
        <f t="shared" si="235"/>
        <v>0.15938913132502019</v>
      </c>
      <c r="O1902" s="20">
        <f t="shared" si="236"/>
        <v>2.5165223538785391</v>
      </c>
      <c r="P1902" s="14">
        <f t="shared" si="237"/>
        <v>442.24056340846278</v>
      </c>
      <c r="Q1902" s="14">
        <f t="shared" si="238"/>
        <v>347.7299988003582</v>
      </c>
      <c r="R1902" s="14" t="str">
        <f t="shared" si="239"/>
        <v>Aug</v>
      </c>
    </row>
    <row r="1903" spans="1:18" x14ac:dyDescent="0.3">
      <c r="A1903" t="s">
        <v>3511</v>
      </c>
      <c r="B1903" s="1">
        <v>45690</v>
      </c>
      <c r="C1903" t="s">
        <v>295</v>
      </c>
      <c r="D1903" t="s">
        <v>1515</v>
      </c>
      <c r="E1903" t="s">
        <v>1558</v>
      </c>
      <c r="F1903">
        <v>2.5153180722786699</v>
      </c>
      <c r="G1903" s="14">
        <v>444.72518251630999</v>
      </c>
      <c r="H1903" s="17">
        <v>0.15906455193671901</v>
      </c>
      <c r="I1903" t="s">
        <v>1611</v>
      </c>
      <c r="J1903" s="14">
        <v>943.36070255464494</v>
      </c>
      <c r="K1903" s="14">
        <f t="shared" si="232"/>
        <v>42198.087914004172</v>
      </c>
      <c r="L1903" s="14">
        <f t="shared" si="233"/>
        <v>45</v>
      </c>
      <c r="M1903" s="14" t="str">
        <f t="shared" si="234"/>
        <v>02-02-2025</v>
      </c>
      <c r="N1903" s="14">
        <f t="shared" si="235"/>
        <v>0.15939251236031504</v>
      </c>
      <c r="O1903" s="20">
        <f t="shared" si="236"/>
        <v>2.5165348984785374</v>
      </c>
      <c r="P1903" s="14">
        <f t="shared" si="237"/>
        <v>442.21468195942271</v>
      </c>
      <c r="Q1903" s="14">
        <f t="shared" si="238"/>
        <v>347.69006692379259</v>
      </c>
      <c r="R1903" s="14" t="str">
        <f t="shared" si="239"/>
        <v>Feb</v>
      </c>
    </row>
    <row r="1904" spans="1:18" x14ac:dyDescent="0.3">
      <c r="A1904" t="s">
        <v>3512</v>
      </c>
      <c r="B1904" s="1">
        <v>45841</v>
      </c>
      <c r="C1904" t="s">
        <v>1294</v>
      </c>
      <c r="D1904" t="s">
        <v>1475</v>
      </c>
      <c r="E1904" t="s">
        <v>1595</v>
      </c>
      <c r="F1904">
        <v>2.5153431614786599</v>
      </c>
      <c r="G1904" s="14">
        <v>444.67341961823001</v>
      </c>
      <c r="H1904" s="17">
        <v>0.15907131400730901</v>
      </c>
      <c r="I1904" t="s">
        <v>1609</v>
      </c>
      <c r="J1904" s="14">
        <v>943.25270609519396</v>
      </c>
      <c r="K1904" s="14">
        <f t="shared" si="232"/>
        <v>42198.087914004172</v>
      </c>
      <c r="L1904" s="14">
        <f t="shared" si="233"/>
        <v>45</v>
      </c>
      <c r="M1904" s="14" t="str">
        <f t="shared" si="234"/>
        <v>03-07-2025</v>
      </c>
      <c r="N1904" s="14">
        <f t="shared" si="235"/>
        <v>0.15939589339560981</v>
      </c>
      <c r="O1904" s="20">
        <f t="shared" si="236"/>
        <v>2.5165474430785366</v>
      </c>
      <c r="P1904" s="14">
        <f t="shared" si="237"/>
        <v>442.18880051038263</v>
      </c>
      <c r="Q1904" s="14">
        <f t="shared" si="238"/>
        <v>347.65013504722748</v>
      </c>
      <c r="R1904" s="14" t="str">
        <f t="shared" si="239"/>
        <v>Jul</v>
      </c>
    </row>
    <row r="1905" spans="1:18" x14ac:dyDescent="0.3">
      <c r="A1905" t="s">
        <v>3513</v>
      </c>
      <c r="B1905" s="1">
        <v>45380</v>
      </c>
      <c r="C1905" t="s">
        <v>1274</v>
      </c>
      <c r="D1905" t="s">
        <v>1495</v>
      </c>
      <c r="E1905" t="s">
        <v>1595</v>
      </c>
      <c r="F1905">
        <v>2.5153682506786601</v>
      </c>
      <c r="G1905" s="14">
        <v>444.62165672014999</v>
      </c>
      <c r="H1905" s="17">
        <v>0.15907807607789801</v>
      </c>
      <c r="I1905" t="s">
        <v>1611</v>
      </c>
      <c r="J1905" s="14">
        <v>943.14470963574195</v>
      </c>
      <c r="K1905" s="14">
        <f t="shared" si="232"/>
        <v>41254.835207908982</v>
      </c>
      <c r="L1905" s="14">
        <f t="shared" si="233"/>
        <v>44</v>
      </c>
      <c r="M1905" s="14" t="str">
        <f t="shared" si="234"/>
        <v>29-03-2024</v>
      </c>
      <c r="N1905" s="14">
        <f t="shared" si="235"/>
        <v>0.15939927443090462</v>
      </c>
      <c r="O1905" s="20">
        <f t="shared" si="236"/>
        <v>2.5165599876785349</v>
      </c>
      <c r="P1905" s="14">
        <f t="shared" si="237"/>
        <v>442.16291906134256</v>
      </c>
      <c r="Q1905" s="14">
        <f t="shared" si="238"/>
        <v>347.61020317066209</v>
      </c>
      <c r="R1905" s="14" t="str">
        <f t="shared" si="239"/>
        <v>Mar</v>
      </c>
    </row>
    <row r="1906" spans="1:18" x14ac:dyDescent="0.3">
      <c r="A1906" t="s">
        <v>3514</v>
      </c>
      <c r="B1906" s="1">
        <v>45503</v>
      </c>
      <c r="C1906" t="s">
        <v>1196</v>
      </c>
      <c r="D1906" t="s">
        <v>1336</v>
      </c>
      <c r="E1906" t="s">
        <v>1571</v>
      </c>
      <c r="F1906">
        <v>2.5153933398786599</v>
      </c>
      <c r="G1906" s="14">
        <v>444.56989382207001</v>
      </c>
      <c r="H1906" s="17">
        <v>0.15908483814848801</v>
      </c>
      <c r="I1906" t="s">
        <v>1611</v>
      </c>
      <c r="J1906" s="14">
        <v>943.03671317629005</v>
      </c>
      <c r="K1906" s="14">
        <f t="shared" si="232"/>
        <v>41254.835207908982</v>
      </c>
      <c r="L1906" s="14">
        <f t="shared" si="233"/>
        <v>44</v>
      </c>
      <c r="M1906" s="14" t="str">
        <f t="shared" si="234"/>
        <v>30-07-2024</v>
      </c>
      <c r="N1906" s="14">
        <f t="shared" si="235"/>
        <v>0.15940265546619942</v>
      </c>
      <c r="O1906" s="20">
        <f t="shared" si="236"/>
        <v>2.5165725322785337</v>
      </c>
      <c r="P1906" s="14">
        <f t="shared" si="237"/>
        <v>442.13703761230249</v>
      </c>
      <c r="Q1906" s="14">
        <f t="shared" si="238"/>
        <v>347.57027129409681</v>
      </c>
      <c r="R1906" s="14" t="str">
        <f t="shared" si="239"/>
        <v>Jul</v>
      </c>
    </row>
    <row r="1907" spans="1:18" x14ac:dyDescent="0.3">
      <c r="A1907" t="s">
        <v>3515</v>
      </c>
      <c r="B1907" s="1">
        <v>45567</v>
      </c>
      <c r="C1907" t="s">
        <v>247</v>
      </c>
      <c r="D1907" t="s">
        <v>1361</v>
      </c>
      <c r="E1907" t="s">
        <v>1586</v>
      </c>
      <c r="F1907">
        <v>2.5154184290786499</v>
      </c>
      <c r="G1907" s="14">
        <v>444.51813092398999</v>
      </c>
      <c r="H1907" s="17">
        <v>0.15909160021907701</v>
      </c>
      <c r="I1907" t="s">
        <v>1614</v>
      </c>
      <c r="J1907" s="14">
        <v>942.92871671683804</v>
      </c>
      <c r="K1907" s="14">
        <f t="shared" si="232"/>
        <v>41254.835207908982</v>
      </c>
      <c r="L1907" s="14">
        <f t="shared" si="233"/>
        <v>44</v>
      </c>
      <c r="M1907" s="14" t="str">
        <f t="shared" si="234"/>
        <v>02-10-2024</v>
      </c>
      <c r="N1907" s="14">
        <f t="shared" si="235"/>
        <v>0.15940603650149421</v>
      </c>
      <c r="O1907" s="20">
        <f t="shared" si="236"/>
        <v>2.5165850768785329</v>
      </c>
      <c r="P1907" s="14">
        <f t="shared" si="237"/>
        <v>442.11115616326236</v>
      </c>
      <c r="Q1907" s="14">
        <f t="shared" si="238"/>
        <v>347.53033941753142</v>
      </c>
      <c r="R1907" s="14" t="str">
        <f t="shared" si="239"/>
        <v>Oct</v>
      </c>
    </row>
    <row r="1908" spans="1:18" x14ac:dyDescent="0.3">
      <c r="A1908" t="s">
        <v>3516</v>
      </c>
      <c r="B1908" s="1">
        <v>45600</v>
      </c>
      <c r="C1908" t="s">
        <v>475</v>
      </c>
      <c r="D1908" t="s">
        <v>1403</v>
      </c>
      <c r="E1908" t="s">
        <v>1542</v>
      </c>
      <c r="F1908">
        <v>2.5154435182786501</v>
      </c>
      <c r="G1908" s="14">
        <v>444.46636802591001</v>
      </c>
      <c r="H1908" s="17">
        <v>0.15909836228966701</v>
      </c>
      <c r="I1908" t="s">
        <v>1609</v>
      </c>
      <c r="J1908" s="14">
        <v>942.82072025738705</v>
      </c>
      <c r="K1908" s="14">
        <f t="shared" si="232"/>
        <v>41254.835207908982</v>
      </c>
      <c r="L1908" s="14">
        <f t="shared" si="233"/>
        <v>44</v>
      </c>
      <c r="M1908" s="14" t="str">
        <f t="shared" si="234"/>
        <v>04-11-2024</v>
      </c>
      <c r="N1908" s="14">
        <f t="shared" si="235"/>
        <v>0.15940941753678906</v>
      </c>
      <c r="O1908" s="20">
        <f t="shared" si="236"/>
        <v>2.5165976214785313</v>
      </c>
      <c r="P1908" s="14">
        <f t="shared" si="237"/>
        <v>442.08527471422235</v>
      </c>
      <c r="Q1908" s="14">
        <f t="shared" si="238"/>
        <v>347.49040754096632</v>
      </c>
      <c r="R1908" s="14" t="str">
        <f t="shared" si="239"/>
        <v>Nov</v>
      </c>
    </row>
    <row r="1909" spans="1:18" x14ac:dyDescent="0.3">
      <c r="A1909" t="s">
        <v>3517</v>
      </c>
      <c r="B1909" s="1">
        <v>45415</v>
      </c>
      <c r="C1909" t="s">
        <v>63</v>
      </c>
      <c r="D1909" t="s">
        <v>1479</v>
      </c>
      <c r="E1909" t="s">
        <v>1582</v>
      </c>
      <c r="F1909">
        <v>2.5154686074786499</v>
      </c>
      <c r="G1909" s="14">
        <v>444.41460512782902</v>
      </c>
      <c r="H1909" s="17">
        <v>0.15910512436025701</v>
      </c>
      <c r="I1909" t="s">
        <v>1609</v>
      </c>
      <c r="J1909" s="14">
        <v>942.71272379793504</v>
      </c>
      <c r="K1909" s="14">
        <f t="shared" si="232"/>
        <v>40312.014487651591</v>
      </c>
      <c r="L1909" s="14">
        <f t="shared" si="233"/>
        <v>43</v>
      </c>
      <c r="M1909" s="14" t="str">
        <f t="shared" si="234"/>
        <v>03-05-2024</v>
      </c>
      <c r="N1909" s="14">
        <f t="shared" si="235"/>
        <v>0.15941279857208385</v>
      </c>
      <c r="O1909" s="20">
        <f t="shared" si="236"/>
        <v>2.5166101660785301</v>
      </c>
      <c r="P1909" s="14">
        <f t="shared" si="237"/>
        <v>442.05939326518228</v>
      </c>
      <c r="Q1909" s="14">
        <f t="shared" si="238"/>
        <v>347.45047566440076</v>
      </c>
      <c r="R1909" s="14" t="str">
        <f t="shared" si="239"/>
        <v>May</v>
      </c>
    </row>
    <row r="1910" spans="1:18" x14ac:dyDescent="0.3">
      <c r="A1910" t="s">
        <v>3518</v>
      </c>
      <c r="B1910" s="1">
        <v>45343</v>
      </c>
      <c r="C1910" t="s">
        <v>1029</v>
      </c>
      <c r="D1910" t="s">
        <v>1350</v>
      </c>
      <c r="E1910" t="s">
        <v>1589</v>
      </c>
      <c r="F1910">
        <v>2.5154936966786501</v>
      </c>
      <c r="G1910" s="14">
        <v>444.36284222974899</v>
      </c>
      <c r="H1910" s="17">
        <v>0.15911188643084601</v>
      </c>
      <c r="I1910" t="s">
        <v>1609</v>
      </c>
      <c r="J1910" s="14">
        <v>942.60472733848303</v>
      </c>
      <c r="K1910" s="14">
        <f t="shared" si="232"/>
        <v>39369.301763853655</v>
      </c>
      <c r="L1910" s="14">
        <f t="shared" si="233"/>
        <v>42</v>
      </c>
      <c r="M1910" s="14" t="str">
        <f t="shared" si="234"/>
        <v>21-02-2024</v>
      </c>
      <c r="N1910" s="14">
        <f t="shared" si="235"/>
        <v>0.15941617960737864</v>
      </c>
      <c r="O1910" s="20">
        <f t="shared" si="236"/>
        <v>2.5166227106785288</v>
      </c>
      <c r="P1910" s="14">
        <f t="shared" si="237"/>
        <v>442.03351181614221</v>
      </c>
      <c r="Q1910" s="14">
        <f t="shared" si="238"/>
        <v>347.41054378783537</v>
      </c>
      <c r="R1910" s="14" t="str">
        <f t="shared" si="239"/>
        <v>Feb</v>
      </c>
    </row>
    <row r="1911" spans="1:18" x14ac:dyDescent="0.3">
      <c r="A1911" t="s">
        <v>3519</v>
      </c>
      <c r="B1911" s="1">
        <v>45399</v>
      </c>
      <c r="C1911" t="s">
        <v>1234</v>
      </c>
      <c r="D1911" t="s">
        <v>1495</v>
      </c>
      <c r="E1911" t="s">
        <v>1567</v>
      </c>
      <c r="F1911">
        <v>2.5155187858786401</v>
      </c>
      <c r="G1911" s="14">
        <v>444.31107933166902</v>
      </c>
      <c r="H1911" s="17">
        <v>0.15911864850143601</v>
      </c>
      <c r="I1911" t="s">
        <v>1611</v>
      </c>
      <c r="J1911" s="14">
        <v>942.49673087903102</v>
      </c>
      <c r="K1911" s="14">
        <f t="shared" si="232"/>
        <v>38426.697036515172</v>
      </c>
      <c r="L1911" s="14">
        <f t="shared" si="233"/>
        <v>41</v>
      </c>
      <c r="M1911" s="14" t="str">
        <f t="shared" si="234"/>
        <v>17-04-2024</v>
      </c>
      <c r="N1911" s="14">
        <f t="shared" si="235"/>
        <v>0.15941956064267346</v>
      </c>
      <c r="O1911" s="20">
        <f t="shared" si="236"/>
        <v>2.5166352552785272</v>
      </c>
      <c r="P1911" s="14">
        <f t="shared" si="237"/>
        <v>442.00763036710214</v>
      </c>
      <c r="Q1911" s="14">
        <f t="shared" si="238"/>
        <v>347.37061191127003</v>
      </c>
      <c r="R1911" s="14" t="str">
        <f t="shared" si="239"/>
        <v>Apr</v>
      </c>
    </row>
    <row r="1912" spans="1:18" x14ac:dyDescent="0.3">
      <c r="A1912" t="s">
        <v>3520</v>
      </c>
      <c r="B1912" s="1">
        <v>45689</v>
      </c>
      <c r="C1912" t="s">
        <v>975</v>
      </c>
      <c r="D1912" t="s">
        <v>1455</v>
      </c>
      <c r="E1912" t="s">
        <v>1558</v>
      </c>
      <c r="F1912">
        <v>2.5155438750786399</v>
      </c>
      <c r="G1912" s="14">
        <v>444.25931643358899</v>
      </c>
      <c r="H1912" s="17">
        <v>0.15912541057202501</v>
      </c>
      <c r="I1912" t="s">
        <v>1609</v>
      </c>
      <c r="J1912" s="14">
        <v>942.38873441958003</v>
      </c>
      <c r="K1912" s="14">
        <f t="shared" si="232"/>
        <v>38426.697036515172</v>
      </c>
      <c r="L1912" s="14">
        <f t="shared" si="233"/>
        <v>41</v>
      </c>
      <c r="M1912" s="14" t="str">
        <f t="shared" si="234"/>
        <v>01-02-2025</v>
      </c>
      <c r="N1912" s="14">
        <f t="shared" si="235"/>
        <v>0.15942294167796828</v>
      </c>
      <c r="O1912" s="20">
        <f t="shared" si="236"/>
        <v>2.5166477998785259</v>
      </c>
      <c r="P1912" s="14">
        <f t="shared" si="237"/>
        <v>441.98174891806201</v>
      </c>
      <c r="Q1912" s="14">
        <f t="shared" si="238"/>
        <v>347.33068003470493</v>
      </c>
      <c r="R1912" s="14" t="str">
        <f t="shared" si="239"/>
        <v>Feb</v>
      </c>
    </row>
    <row r="1913" spans="1:18" x14ac:dyDescent="0.3">
      <c r="A1913" t="s">
        <v>3521</v>
      </c>
      <c r="B1913" s="1">
        <v>45699</v>
      </c>
      <c r="C1913" t="s">
        <v>517</v>
      </c>
      <c r="D1913" t="s">
        <v>1459</v>
      </c>
      <c r="E1913" t="s">
        <v>1598</v>
      </c>
      <c r="F1913">
        <v>2.5155689642786401</v>
      </c>
      <c r="G1913" s="14">
        <v>444.20755353550902</v>
      </c>
      <c r="H1913" s="17">
        <v>0.15913217264261501</v>
      </c>
      <c r="I1913" t="s">
        <v>1611</v>
      </c>
      <c r="J1913" s="14">
        <v>942.28073796012802</v>
      </c>
      <c r="K1913" s="14">
        <f t="shared" si="232"/>
        <v>37484.308302095589</v>
      </c>
      <c r="L1913" s="14">
        <f t="shared" si="233"/>
        <v>40</v>
      </c>
      <c r="M1913" s="14" t="str">
        <f t="shared" si="234"/>
        <v>11-02-2025</v>
      </c>
      <c r="N1913" s="14">
        <f t="shared" si="235"/>
        <v>0.15942632271326304</v>
      </c>
      <c r="O1913" s="20">
        <f t="shared" si="236"/>
        <v>2.5166603444785247</v>
      </c>
      <c r="P1913" s="14">
        <f t="shared" si="237"/>
        <v>441.95586746902194</v>
      </c>
      <c r="Q1913" s="14">
        <f t="shared" si="238"/>
        <v>347.29074815813959</v>
      </c>
      <c r="R1913" s="14" t="str">
        <f t="shared" si="239"/>
        <v>Feb</v>
      </c>
    </row>
    <row r="1914" spans="1:18" x14ac:dyDescent="0.3">
      <c r="A1914" t="s">
        <v>3522</v>
      </c>
      <c r="B1914" s="1">
        <v>45663</v>
      </c>
      <c r="C1914" t="s">
        <v>887</v>
      </c>
      <c r="D1914" t="s">
        <v>1479</v>
      </c>
      <c r="E1914" t="s">
        <v>1577</v>
      </c>
      <c r="F1914">
        <v>2.5155940534786398</v>
      </c>
      <c r="G1914" s="14">
        <v>444.15579063742899</v>
      </c>
      <c r="H1914" s="17">
        <v>0.159138934713205</v>
      </c>
      <c r="I1914" t="s">
        <v>1614</v>
      </c>
      <c r="J1914" s="14">
        <v>942.17274150067601</v>
      </c>
      <c r="K1914" s="14">
        <f t="shared" si="232"/>
        <v>37484.308302095589</v>
      </c>
      <c r="L1914" s="14">
        <f t="shared" si="233"/>
        <v>40</v>
      </c>
      <c r="M1914" s="14" t="str">
        <f t="shared" si="234"/>
        <v>06-01-2025</v>
      </c>
      <c r="N1914" s="14">
        <f t="shared" si="235"/>
        <v>0.15942970374855786</v>
      </c>
      <c r="O1914" s="20">
        <f t="shared" si="236"/>
        <v>2.5166728890785235</v>
      </c>
      <c r="P1914" s="14">
        <f t="shared" si="237"/>
        <v>441.92998601998192</v>
      </c>
      <c r="Q1914" s="14">
        <f t="shared" si="238"/>
        <v>347.2508162815742</v>
      </c>
      <c r="R1914" s="14" t="str">
        <f t="shared" si="239"/>
        <v>Jan</v>
      </c>
    </row>
    <row r="1915" spans="1:18" x14ac:dyDescent="0.3">
      <c r="A1915" t="s">
        <v>3523</v>
      </c>
      <c r="B1915" s="1">
        <v>45377</v>
      </c>
      <c r="C1915" t="s">
        <v>1290</v>
      </c>
      <c r="D1915" t="s">
        <v>1507</v>
      </c>
      <c r="E1915" t="s">
        <v>1567</v>
      </c>
      <c r="F1915">
        <v>2.5156191426786298</v>
      </c>
      <c r="G1915" s="14">
        <v>444.10402773934902</v>
      </c>
      <c r="H1915" s="17">
        <v>0.15914569678379401</v>
      </c>
      <c r="I1915" t="s">
        <v>1614</v>
      </c>
      <c r="J1915" s="14">
        <v>942.06474504122502</v>
      </c>
      <c r="K1915" s="14">
        <f t="shared" si="232"/>
        <v>37484.308302095589</v>
      </c>
      <c r="L1915" s="14">
        <f t="shared" si="233"/>
        <v>40</v>
      </c>
      <c r="M1915" s="14" t="str">
        <f t="shared" si="234"/>
        <v>26-03-2024</v>
      </c>
      <c r="N1915" s="14">
        <f t="shared" si="235"/>
        <v>0.15943308478385265</v>
      </c>
      <c r="O1915" s="20">
        <f t="shared" si="236"/>
        <v>2.5166854336785223</v>
      </c>
      <c r="P1915" s="14">
        <f t="shared" si="237"/>
        <v>441.9041045709418</v>
      </c>
      <c r="Q1915" s="14">
        <f t="shared" si="238"/>
        <v>347.2108844050091</v>
      </c>
      <c r="R1915" s="14" t="str">
        <f t="shared" si="239"/>
        <v>Mar</v>
      </c>
    </row>
    <row r="1916" spans="1:18" x14ac:dyDescent="0.3">
      <c r="A1916" t="s">
        <v>3524</v>
      </c>
      <c r="B1916" s="1">
        <v>45412</v>
      </c>
      <c r="C1916" t="s">
        <v>1318</v>
      </c>
      <c r="D1916" t="s">
        <v>1342</v>
      </c>
      <c r="E1916" t="s">
        <v>1589</v>
      </c>
      <c r="F1916">
        <v>2.5156442318786301</v>
      </c>
      <c r="G1916" s="14">
        <v>444.05226484126803</v>
      </c>
      <c r="H1916" s="17">
        <v>0.159152458854384</v>
      </c>
      <c r="I1916" t="s">
        <v>1614</v>
      </c>
      <c r="J1916" s="14">
        <v>941.95674858177301</v>
      </c>
      <c r="K1916" s="14">
        <f t="shared" si="232"/>
        <v>37484.308302095589</v>
      </c>
      <c r="L1916" s="14">
        <f t="shared" si="233"/>
        <v>40</v>
      </c>
      <c r="M1916" s="14" t="str">
        <f t="shared" si="234"/>
        <v>30-04-2024</v>
      </c>
      <c r="N1916" s="14">
        <f t="shared" si="235"/>
        <v>0.15943646581914747</v>
      </c>
      <c r="O1916" s="20">
        <f t="shared" si="236"/>
        <v>2.516697978278521</v>
      </c>
      <c r="P1916" s="14">
        <f t="shared" si="237"/>
        <v>441.87822312190173</v>
      </c>
      <c r="Q1916" s="14">
        <f t="shared" si="238"/>
        <v>347.17095252844354</v>
      </c>
      <c r="R1916" s="14" t="str">
        <f t="shared" si="239"/>
        <v>Apr</v>
      </c>
    </row>
    <row r="1917" spans="1:18" x14ac:dyDescent="0.3">
      <c r="A1917" t="s">
        <v>3525</v>
      </c>
      <c r="B1917" s="1">
        <v>45349</v>
      </c>
      <c r="C1917" t="s">
        <v>396</v>
      </c>
      <c r="D1917" t="s">
        <v>1451</v>
      </c>
      <c r="E1917" t="s">
        <v>1567</v>
      </c>
      <c r="F1917">
        <v>2.5156693210786298</v>
      </c>
      <c r="G1917" s="14">
        <v>444.000501943188</v>
      </c>
      <c r="H1917" s="17">
        <v>0.159159220924974</v>
      </c>
      <c r="I1917" t="s">
        <v>1609</v>
      </c>
      <c r="J1917" s="14">
        <v>941.848752122321</v>
      </c>
      <c r="K1917" s="14">
        <f t="shared" si="232"/>
        <v>37484.308302095589</v>
      </c>
      <c r="L1917" s="14">
        <f t="shared" si="233"/>
        <v>40</v>
      </c>
      <c r="M1917" s="14" t="str">
        <f t="shared" si="234"/>
        <v>27-02-2024</v>
      </c>
      <c r="N1917" s="14">
        <f t="shared" si="235"/>
        <v>0.15943984685444226</v>
      </c>
      <c r="O1917" s="20">
        <f t="shared" si="236"/>
        <v>2.5167105228785198</v>
      </c>
      <c r="P1917" s="14">
        <f t="shared" si="237"/>
        <v>441.85234167286166</v>
      </c>
      <c r="Q1917" s="14">
        <f t="shared" si="238"/>
        <v>347.13102065187815</v>
      </c>
      <c r="R1917" s="14" t="str">
        <f t="shared" si="239"/>
        <v>Feb</v>
      </c>
    </row>
    <row r="1918" spans="1:18" x14ac:dyDescent="0.3">
      <c r="A1918" t="s">
        <v>3526</v>
      </c>
      <c r="B1918" s="1">
        <v>45486</v>
      </c>
      <c r="C1918" t="s">
        <v>1118</v>
      </c>
      <c r="D1918" t="s">
        <v>1509</v>
      </c>
      <c r="E1918" t="s">
        <v>1561</v>
      </c>
      <c r="F1918">
        <v>2.5156944102786301</v>
      </c>
      <c r="G1918" s="14">
        <v>443.94873904510803</v>
      </c>
      <c r="H1918" s="17">
        <v>0.159165982995563</v>
      </c>
      <c r="I1918" t="s">
        <v>1611</v>
      </c>
      <c r="J1918" s="14">
        <v>941.74075566286899</v>
      </c>
      <c r="K1918" s="14">
        <f t="shared" si="232"/>
        <v>36542.459549973268</v>
      </c>
      <c r="L1918" s="14">
        <f t="shared" si="233"/>
        <v>39</v>
      </c>
      <c r="M1918" s="14" t="str">
        <f t="shared" si="234"/>
        <v>13-07-2024</v>
      </c>
      <c r="N1918" s="14">
        <f t="shared" si="235"/>
        <v>0.15944322788973705</v>
      </c>
      <c r="O1918" s="20">
        <f t="shared" si="236"/>
        <v>2.5167230674785181</v>
      </c>
      <c r="P1918" s="14">
        <f t="shared" si="237"/>
        <v>441.82646022382158</v>
      </c>
      <c r="Q1918" s="14">
        <f t="shared" si="238"/>
        <v>347.09108877531281</v>
      </c>
      <c r="R1918" s="14" t="str">
        <f t="shared" si="239"/>
        <v>Jul</v>
      </c>
    </row>
    <row r="1919" spans="1:18" x14ac:dyDescent="0.3">
      <c r="A1919" t="s">
        <v>3527</v>
      </c>
      <c r="B1919" s="1">
        <v>45761</v>
      </c>
      <c r="C1919" t="s">
        <v>616</v>
      </c>
      <c r="D1919" t="s">
        <v>1405</v>
      </c>
      <c r="E1919" t="s">
        <v>1567</v>
      </c>
      <c r="F1919">
        <v>2.5157194994786201</v>
      </c>
      <c r="G1919" s="14">
        <v>443.896976147028</v>
      </c>
      <c r="H1919" s="17">
        <v>0.159172745066153</v>
      </c>
      <c r="I1919" t="s">
        <v>1609</v>
      </c>
      <c r="J1919" s="14">
        <v>941.632759203418</v>
      </c>
      <c r="K1919" s="14">
        <f t="shared" si="232"/>
        <v>36542.459549973268</v>
      </c>
      <c r="L1919" s="14">
        <f t="shared" si="233"/>
        <v>39</v>
      </c>
      <c r="M1919" s="14" t="str">
        <f t="shared" si="234"/>
        <v>14-04-2025</v>
      </c>
      <c r="N1919" s="14">
        <f t="shared" si="235"/>
        <v>0.15944660892503187</v>
      </c>
      <c r="O1919" s="20">
        <f t="shared" si="236"/>
        <v>2.5167356120785169</v>
      </c>
      <c r="P1919" s="14">
        <f t="shared" si="237"/>
        <v>441.80057877478157</v>
      </c>
      <c r="Q1919" s="14">
        <f t="shared" si="238"/>
        <v>347.05115689874771</v>
      </c>
      <c r="R1919" s="14" t="str">
        <f t="shared" si="239"/>
        <v>Apr</v>
      </c>
    </row>
    <row r="1920" spans="1:18" x14ac:dyDescent="0.3">
      <c r="A1920" t="s">
        <v>3528</v>
      </c>
      <c r="B1920" s="1">
        <v>45639</v>
      </c>
      <c r="C1920" t="s">
        <v>1251</v>
      </c>
      <c r="D1920" t="s">
        <v>1489</v>
      </c>
      <c r="E1920" t="s">
        <v>1584</v>
      </c>
      <c r="F1920">
        <v>2.5157445886786198</v>
      </c>
      <c r="G1920" s="14">
        <v>443.84521324894803</v>
      </c>
      <c r="H1920" s="17">
        <v>0.159179507136742</v>
      </c>
      <c r="I1920" t="s">
        <v>1609</v>
      </c>
      <c r="J1920" s="14">
        <v>941.52476274396599</v>
      </c>
      <c r="K1920" s="14">
        <f t="shared" si="232"/>
        <v>35600.826790769854</v>
      </c>
      <c r="L1920" s="14">
        <f t="shared" si="233"/>
        <v>38</v>
      </c>
      <c r="M1920" s="14" t="str">
        <f t="shared" si="234"/>
        <v>13-12-2024</v>
      </c>
      <c r="N1920" s="14">
        <f t="shared" si="235"/>
        <v>0.15944998996032667</v>
      </c>
      <c r="O1920" s="20">
        <f t="shared" si="236"/>
        <v>2.5167481566785161</v>
      </c>
      <c r="P1920" s="14">
        <f t="shared" si="237"/>
        <v>441.77469732574139</v>
      </c>
      <c r="Q1920" s="14">
        <f t="shared" si="238"/>
        <v>347.01122502218232</v>
      </c>
      <c r="R1920" s="14" t="str">
        <f t="shared" si="239"/>
        <v>Dec</v>
      </c>
    </row>
    <row r="1921" spans="1:18" x14ac:dyDescent="0.3">
      <c r="A1921" s="2" t="s">
        <v>1601</v>
      </c>
      <c r="B1921" s="2" t="s">
        <v>1602</v>
      </c>
      <c r="C1921" s="2" t="s">
        <v>0</v>
      </c>
      <c r="D1921" s="2" t="s">
        <v>1321</v>
      </c>
      <c r="E1921" s="18" t="s">
        <v>1533</v>
      </c>
      <c r="F1921" s="2" t="s">
        <v>1603</v>
      </c>
      <c r="G1921" s="11" t="s">
        <v>1604</v>
      </c>
      <c r="H1921" s="16" t="s">
        <v>1605</v>
      </c>
      <c r="I1921" s="2" t="s">
        <v>1606</v>
      </c>
      <c r="J1921" s="11" t="s">
        <v>1607</v>
      </c>
      <c r="K1921" s="11" t="s">
        <v>3746</v>
      </c>
      <c r="L1921" s="2" t="s">
        <v>3745</v>
      </c>
      <c r="M1921" s="2" t="s">
        <v>3753</v>
      </c>
      <c r="N1921" s="18" t="s">
        <v>3750</v>
      </c>
      <c r="O1921" s="19" t="s">
        <v>3751</v>
      </c>
      <c r="P1921" s="18" t="s">
        <v>3752</v>
      </c>
      <c r="Q1921" s="18" t="s">
        <v>3749</v>
      </c>
      <c r="R1921" s="2" t="s">
        <v>3793</v>
      </c>
    </row>
    <row r="1922" spans="1:18" x14ac:dyDescent="0.3">
      <c r="A1922" t="s">
        <v>3529</v>
      </c>
      <c r="B1922" s="1">
        <v>45480</v>
      </c>
      <c r="C1922" t="s">
        <v>1230</v>
      </c>
      <c r="D1922" t="s">
        <v>1527</v>
      </c>
      <c r="E1922" t="s">
        <v>1551</v>
      </c>
      <c r="F1922">
        <v>2.51576967787862</v>
      </c>
      <c r="G1922" s="14">
        <v>443.793450350868</v>
      </c>
      <c r="H1922" s="17">
        <v>0.159186269207332</v>
      </c>
      <c r="I1922" t="s">
        <v>1609</v>
      </c>
      <c r="J1922" s="14">
        <v>941.41676628451398</v>
      </c>
      <c r="K1922" s="14">
        <f t="shared" ref="K1922:K1985" si="240">SUMIF(I1922:I3921,"Credit Card",J1922:J3921)</f>
        <v>34659.302028025886</v>
      </c>
      <c r="L1922" s="14">
        <f t="shared" ref="L1922:L1985" si="241">COUNTIF(I1922:I3921,"Credit Card")</f>
        <v>37</v>
      </c>
      <c r="M1922" s="14" t="str">
        <f t="shared" ref="M1922:M1985" si="242">TEXT(B1922:B3921,"dd-mm-yyyy")</f>
        <v>07-07-2024</v>
      </c>
      <c r="N1922" s="14">
        <f t="shared" ref="N1922:N1985" si="243">AVERAGE(H1922:H3921)</f>
        <v>0.15945337099562146</v>
      </c>
      <c r="O1922" s="20">
        <f t="shared" ref="O1922:O1985" si="244">AVERAGE(F1922:F3921)</f>
        <v>2.5167607012785145</v>
      </c>
      <c r="P1922" s="14">
        <f t="shared" ref="P1922:P1985" si="245">AVERAGE(G1922:G3921)</f>
        <v>441.74881587670131</v>
      </c>
      <c r="Q1922" s="14">
        <f t="shared" ref="Q1922:Q1985" si="246">AVERAGE(F1922,G1922,H1922,J1922)</f>
        <v>346.97129314561698</v>
      </c>
      <c r="R1922" s="14" t="str">
        <f t="shared" ref="R1922:R1985" si="247">TEXT(M1922,"mmm")</f>
        <v>Jul</v>
      </c>
    </row>
    <row r="1923" spans="1:18" x14ac:dyDescent="0.3">
      <c r="A1923" t="s">
        <v>3530</v>
      </c>
      <c r="B1923" s="1">
        <v>45285</v>
      </c>
      <c r="C1923" t="s">
        <v>1288</v>
      </c>
      <c r="D1923" t="s">
        <v>1481</v>
      </c>
      <c r="E1923" t="s">
        <v>1592</v>
      </c>
      <c r="F1923">
        <v>2.5157947670786198</v>
      </c>
      <c r="G1923" s="14">
        <v>443.741687452787</v>
      </c>
      <c r="H1923" s="17">
        <v>0.159193031277922</v>
      </c>
      <c r="I1923" t="s">
        <v>1611</v>
      </c>
      <c r="J1923" s="14">
        <v>941.30876982506197</v>
      </c>
      <c r="K1923" s="14">
        <f t="shared" si="240"/>
        <v>33717.885261741372</v>
      </c>
      <c r="L1923" s="14">
        <f t="shared" si="241"/>
        <v>36</v>
      </c>
      <c r="M1923" s="14" t="str">
        <f t="shared" si="242"/>
        <v>25-12-2023</v>
      </c>
      <c r="N1923" s="14">
        <f t="shared" si="243"/>
        <v>0.15945675203091628</v>
      </c>
      <c r="O1923" s="20">
        <f t="shared" si="244"/>
        <v>2.5167732458785137</v>
      </c>
      <c r="P1923" s="14">
        <f t="shared" si="245"/>
        <v>441.7229344276613</v>
      </c>
      <c r="Q1923" s="14">
        <f t="shared" si="246"/>
        <v>346.93136126905137</v>
      </c>
      <c r="R1923" s="14" t="str">
        <f t="shared" si="247"/>
        <v>Dec</v>
      </c>
    </row>
    <row r="1924" spans="1:18" x14ac:dyDescent="0.3">
      <c r="A1924" t="s">
        <v>3531</v>
      </c>
      <c r="B1924" s="1">
        <v>45446</v>
      </c>
      <c r="C1924" t="s">
        <v>211</v>
      </c>
      <c r="D1924" t="s">
        <v>1431</v>
      </c>
      <c r="E1924" t="s">
        <v>1567</v>
      </c>
      <c r="F1924">
        <v>2.5158198562786098</v>
      </c>
      <c r="G1924" s="14">
        <v>443.68992455470698</v>
      </c>
      <c r="H1924" s="17">
        <v>0.159199793348511</v>
      </c>
      <c r="I1924" t="s">
        <v>1609</v>
      </c>
      <c r="J1924" s="14">
        <v>941.20077336561098</v>
      </c>
      <c r="K1924" s="14">
        <f t="shared" si="240"/>
        <v>33717.885261741372</v>
      </c>
      <c r="L1924" s="14">
        <f t="shared" si="241"/>
        <v>36</v>
      </c>
      <c r="M1924" s="14" t="str">
        <f t="shared" si="242"/>
        <v>03-06-2024</v>
      </c>
      <c r="N1924" s="14">
        <f t="shared" si="243"/>
        <v>0.15946013306621107</v>
      </c>
      <c r="O1924" s="20">
        <f t="shared" si="244"/>
        <v>2.516785790478512</v>
      </c>
      <c r="P1924" s="14">
        <f t="shared" si="245"/>
        <v>441.69705297862117</v>
      </c>
      <c r="Q1924" s="14">
        <f t="shared" si="246"/>
        <v>346.89142939248626</v>
      </c>
      <c r="R1924" s="14" t="str">
        <f t="shared" si="247"/>
        <v>Jun</v>
      </c>
    </row>
    <row r="1925" spans="1:18" x14ac:dyDescent="0.3">
      <c r="A1925" t="s">
        <v>3532</v>
      </c>
      <c r="B1925" s="1">
        <v>45259</v>
      </c>
      <c r="C1925" t="s">
        <v>1086</v>
      </c>
      <c r="D1925" t="s">
        <v>1485</v>
      </c>
      <c r="E1925" t="s">
        <v>1567</v>
      </c>
      <c r="F1925">
        <v>2.51584494547861</v>
      </c>
      <c r="G1925" s="14">
        <v>443.63816165662701</v>
      </c>
      <c r="H1925" s="17">
        <v>0.159206555419101</v>
      </c>
      <c r="I1925" t="s">
        <v>1614</v>
      </c>
      <c r="J1925" s="14">
        <v>941.09277690615897</v>
      </c>
      <c r="K1925" s="14">
        <f t="shared" si="240"/>
        <v>32776.684488375759</v>
      </c>
      <c r="L1925" s="14">
        <f t="shared" si="241"/>
        <v>35</v>
      </c>
      <c r="M1925" s="14" t="str">
        <f t="shared" si="242"/>
        <v>29-11-2023</v>
      </c>
      <c r="N1925" s="14">
        <f t="shared" si="243"/>
        <v>0.15946351410150589</v>
      </c>
      <c r="O1925" s="20">
        <f t="shared" si="244"/>
        <v>2.5167983350785108</v>
      </c>
      <c r="P1925" s="14">
        <f t="shared" si="245"/>
        <v>441.67117152958122</v>
      </c>
      <c r="Q1925" s="14">
        <f t="shared" si="246"/>
        <v>346.85149751592093</v>
      </c>
      <c r="R1925" s="14" t="str">
        <f t="shared" si="247"/>
        <v>Nov</v>
      </c>
    </row>
    <row r="1926" spans="1:18" x14ac:dyDescent="0.3">
      <c r="A1926" t="s">
        <v>3533</v>
      </c>
      <c r="B1926" s="1">
        <v>45297</v>
      </c>
      <c r="C1926" t="s">
        <v>1314</v>
      </c>
      <c r="D1926" t="s">
        <v>1451</v>
      </c>
      <c r="E1926" t="s">
        <v>1558</v>
      </c>
      <c r="F1926">
        <v>2.5158700346786098</v>
      </c>
      <c r="G1926" s="14">
        <v>443.58639875854698</v>
      </c>
      <c r="H1926" s="17">
        <v>0.15921331748969</v>
      </c>
      <c r="I1926" t="s">
        <v>1609</v>
      </c>
      <c r="J1926" s="14">
        <v>940.98478044670696</v>
      </c>
      <c r="K1926" s="14">
        <f t="shared" si="240"/>
        <v>32776.684488375759</v>
      </c>
      <c r="L1926" s="14">
        <f t="shared" si="241"/>
        <v>35</v>
      </c>
      <c r="M1926" s="14" t="str">
        <f t="shared" si="242"/>
        <v>06-01-2024</v>
      </c>
      <c r="N1926" s="14">
        <f t="shared" si="243"/>
        <v>0.15946689513680068</v>
      </c>
      <c r="O1926" s="20">
        <f t="shared" si="244"/>
        <v>2.5168108796785096</v>
      </c>
      <c r="P1926" s="14">
        <f t="shared" si="245"/>
        <v>441.64529008054114</v>
      </c>
      <c r="Q1926" s="14">
        <f t="shared" si="246"/>
        <v>346.81156563935554</v>
      </c>
      <c r="R1926" s="14" t="str">
        <f t="shared" si="247"/>
        <v>Jan</v>
      </c>
    </row>
    <row r="1927" spans="1:18" x14ac:dyDescent="0.3">
      <c r="A1927" t="s">
        <v>3534</v>
      </c>
      <c r="B1927" s="1">
        <v>45499</v>
      </c>
      <c r="C1927" t="s">
        <v>405</v>
      </c>
      <c r="D1927" t="s">
        <v>1363</v>
      </c>
      <c r="E1927" t="s">
        <v>1564</v>
      </c>
      <c r="F1927">
        <v>2.51589512387861</v>
      </c>
      <c r="G1927" s="14">
        <v>443.53463586046701</v>
      </c>
      <c r="H1927" s="17">
        <v>0.15922007956028</v>
      </c>
      <c r="I1927" t="s">
        <v>1614</v>
      </c>
      <c r="J1927" s="14">
        <v>940.87678398725495</v>
      </c>
      <c r="K1927" s="14">
        <f t="shared" si="240"/>
        <v>31835.699707929052</v>
      </c>
      <c r="L1927" s="14">
        <f t="shared" si="241"/>
        <v>34</v>
      </c>
      <c r="M1927" s="14" t="str">
        <f t="shared" si="242"/>
        <v>26-07-2024</v>
      </c>
      <c r="N1927" s="14">
        <f t="shared" si="243"/>
        <v>0.15947027617209547</v>
      </c>
      <c r="O1927" s="20">
        <f t="shared" si="244"/>
        <v>2.5168234242785079</v>
      </c>
      <c r="P1927" s="14">
        <f t="shared" si="245"/>
        <v>441.61940863150096</v>
      </c>
      <c r="Q1927" s="14">
        <f t="shared" si="246"/>
        <v>346.7716337627902</v>
      </c>
      <c r="R1927" s="14" t="str">
        <f t="shared" si="247"/>
        <v>Jul</v>
      </c>
    </row>
    <row r="1928" spans="1:18" x14ac:dyDescent="0.3">
      <c r="A1928" t="s">
        <v>3535</v>
      </c>
      <c r="B1928" s="1">
        <v>45850</v>
      </c>
      <c r="C1928" t="s">
        <v>75</v>
      </c>
      <c r="D1928" t="s">
        <v>1445</v>
      </c>
      <c r="E1928" t="s">
        <v>1554</v>
      </c>
      <c r="F1928">
        <v>2.5159202130786</v>
      </c>
      <c r="G1928" s="14">
        <v>443.48287296238698</v>
      </c>
      <c r="H1928" s="17">
        <v>0.15922684163087</v>
      </c>
      <c r="I1928" t="s">
        <v>1611</v>
      </c>
      <c r="J1928" s="14">
        <v>940.76878752780397</v>
      </c>
      <c r="K1928" s="14">
        <f t="shared" si="240"/>
        <v>31835.699707929052</v>
      </c>
      <c r="L1928" s="14">
        <f t="shared" si="241"/>
        <v>34</v>
      </c>
      <c r="M1928" s="14" t="str">
        <f t="shared" si="242"/>
        <v>12-07-2025</v>
      </c>
      <c r="N1928" s="14">
        <f t="shared" si="243"/>
        <v>0.15947365720739029</v>
      </c>
      <c r="O1928" s="20">
        <f t="shared" si="244"/>
        <v>2.5168359688785062</v>
      </c>
      <c r="P1928" s="14">
        <f t="shared" si="245"/>
        <v>441.59352718246083</v>
      </c>
      <c r="Q1928" s="14">
        <f t="shared" si="246"/>
        <v>346.7317018862251</v>
      </c>
      <c r="R1928" s="14" t="str">
        <f t="shared" si="247"/>
        <v>Jul</v>
      </c>
    </row>
    <row r="1929" spans="1:18" x14ac:dyDescent="0.3">
      <c r="A1929" t="s">
        <v>3536</v>
      </c>
      <c r="B1929" s="1">
        <v>45248</v>
      </c>
      <c r="C1929" t="s">
        <v>511</v>
      </c>
      <c r="D1929" t="s">
        <v>1473</v>
      </c>
      <c r="E1929" t="s">
        <v>1567</v>
      </c>
      <c r="F1929">
        <v>2.5159453022785998</v>
      </c>
      <c r="G1929" s="14">
        <v>443.43111006430598</v>
      </c>
      <c r="H1929" s="17">
        <v>0.159233603701459</v>
      </c>
      <c r="I1929" t="s">
        <v>1611</v>
      </c>
      <c r="J1929" s="14">
        <v>940.66079106835195</v>
      </c>
      <c r="K1929" s="14">
        <f t="shared" si="240"/>
        <v>31835.699707929052</v>
      </c>
      <c r="L1929" s="14">
        <f t="shared" si="241"/>
        <v>34</v>
      </c>
      <c r="M1929" s="14" t="str">
        <f t="shared" si="242"/>
        <v>18-11-2023</v>
      </c>
      <c r="N1929" s="14">
        <f t="shared" si="243"/>
        <v>0.15947703824268511</v>
      </c>
      <c r="O1929" s="20">
        <f t="shared" si="244"/>
        <v>2.5168485134785055</v>
      </c>
      <c r="P1929" s="14">
        <f t="shared" si="245"/>
        <v>441.56764573342076</v>
      </c>
      <c r="Q1929" s="14">
        <f t="shared" si="246"/>
        <v>346.69177000965954</v>
      </c>
      <c r="R1929" s="14" t="str">
        <f t="shared" si="247"/>
        <v>Nov</v>
      </c>
    </row>
    <row r="1930" spans="1:18" x14ac:dyDescent="0.3">
      <c r="A1930" t="s">
        <v>3537</v>
      </c>
      <c r="B1930" s="1">
        <v>45781</v>
      </c>
      <c r="C1930" t="s">
        <v>616</v>
      </c>
      <c r="D1930" t="s">
        <v>1531</v>
      </c>
      <c r="E1930" t="s">
        <v>1558</v>
      </c>
      <c r="F1930">
        <v>2.5159703914786</v>
      </c>
      <c r="G1930" s="14">
        <v>443.37934716622601</v>
      </c>
      <c r="H1930" s="17">
        <v>0.159240365772049</v>
      </c>
      <c r="I1930" t="s">
        <v>1611</v>
      </c>
      <c r="J1930" s="14">
        <v>940.55279460889994</v>
      </c>
      <c r="K1930" s="14">
        <f t="shared" si="240"/>
        <v>31835.699707929052</v>
      </c>
      <c r="L1930" s="14">
        <f t="shared" si="241"/>
        <v>34</v>
      </c>
      <c r="M1930" s="14" t="str">
        <f t="shared" si="242"/>
        <v>04-05-2025</v>
      </c>
      <c r="N1930" s="14">
        <f t="shared" si="243"/>
        <v>0.15948041927797987</v>
      </c>
      <c r="O1930" s="20">
        <f t="shared" si="244"/>
        <v>2.5168610580785038</v>
      </c>
      <c r="P1930" s="14">
        <f t="shared" si="245"/>
        <v>441.54176428438075</v>
      </c>
      <c r="Q1930" s="14">
        <f t="shared" si="246"/>
        <v>346.65183813309415</v>
      </c>
      <c r="R1930" s="14" t="str">
        <f t="shared" si="247"/>
        <v>May</v>
      </c>
    </row>
    <row r="1931" spans="1:18" x14ac:dyDescent="0.3">
      <c r="A1931" t="s">
        <v>3538</v>
      </c>
      <c r="B1931" s="1">
        <v>45869</v>
      </c>
      <c r="C1931" t="s">
        <v>1285</v>
      </c>
      <c r="D1931" t="s">
        <v>1399</v>
      </c>
      <c r="E1931" t="s">
        <v>1537</v>
      </c>
      <c r="F1931">
        <v>2.51599548067859</v>
      </c>
      <c r="G1931" s="14">
        <v>443.32758426814598</v>
      </c>
      <c r="H1931" s="17">
        <v>0.159247127842638</v>
      </c>
      <c r="I1931" t="s">
        <v>1611</v>
      </c>
      <c r="J1931" s="14">
        <v>940.44479814944805</v>
      </c>
      <c r="K1931" s="14">
        <f t="shared" si="240"/>
        <v>31835.699707929052</v>
      </c>
      <c r="L1931" s="14">
        <f t="shared" si="241"/>
        <v>34</v>
      </c>
      <c r="M1931" s="14" t="str">
        <f t="shared" si="242"/>
        <v>31-07-2025</v>
      </c>
      <c r="N1931" s="14">
        <f t="shared" si="243"/>
        <v>0.15948380031327469</v>
      </c>
      <c r="O1931" s="20">
        <f t="shared" si="244"/>
        <v>2.5168736026785026</v>
      </c>
      <c r="P1931" s="14">
        <f t="shared" si="245"/>
        <v>441.51588283534068</v>
      </c>
      <c r="Q1931" s="14">
        <f t="shared" si="246"/>
        <v>346.61190625652881</v>
      </c>
      <c r="R1931" s="14" t="str">
        <f t="shared" si="247"/>
        <v>Jul</v>
      </c>
    </row>
    <row r="1932" spans="1:18" x14ac:dyDescent="0.3">
      <c r="A1932" t="s">
        <v>3539</v>
      </c>
      <c r="B1932" s="1">
        <v>45335</v>
      </c>
      <c r="C1932" t="s">
        <v>241</v>
      </c>
      <c r="D1932" t="s">
        <v>1381</v>
      </c>
      <c r="E1932" t="s">
        <v>1584</v>
      </c>
      <c r="F1932">
        <v>2.5160205698785898</v>
      </c>
      <c r="G1932" s="14">
        <v>443.27582137006601</v>
      </c>
      <c r="H1932" s="17">
        <v>0.159253889913228</v>
      </c>
      <c r="I1932" t="s">
        <v>1609</v>
      </c>
      <c r="J1932" s="14">
        <v>940.33680168999695</v>
      </c>
      <c r="K1932" s="14">
        <f t="shared" si="240"/>
        <v>31835.699707929052</v>
      </c>
      <c r="L1932" s="14">
        <f t="shared" si="241"/>
        <v>34</v>
      </c>
      <c r="M1932" s="14" t="str">
        <f t="shared" si="242"/>
        <v>13-02-2024</v>
      </c>
      <c r="N1932" s="14">
        <f t="shared" si="243"/>
        <v>0.15948718134856948</v>
      </c>
      <c r="O1932" s="20">
        <f t="shared" si="244"/>
        <v>2.5168861472785018</v>
      </c>
      <c r="P1932" s="14">
        <f t="shared" si="245"/>
        <v>441.49000138630055</v>
      </c>
      <c r="Q1932" s="14">
        <f t="shared" si="246"/>
        <v>346.57197437996371</v>
      </c>
      <c r="R1932" s="14" t="str">
        <f t="shared" si="247"/>
        <v>Feb</v>
      </c>
    </row>
    <row r="1933" spans="1:18" x14ac:dyDescent="0.3">
      <c r="A1933" t="s">
        <v>3540</v>
      </c>
      <c r="B1933" s="1">
        <v>45801</v>
      </c>
      <c r="C1933" t="s">
        <v>1008</v>
      </c>
      <c r="D1933" t="s">
        <v>1411</v>
      </c>
      <c r="E1933" t="s">
        <v>1542</v>
      </c>
      <c r="F1933">
        <v>2.51604565907859</v>
      </c>
      <c r="G1933" s="14">
        <v>443.22405847198598</v>
      </c>
      <c r="H1933" s="17">
        <v>0.159260651983818</v>
      </c>
      <c r="I1933" t="s">
        <v>1609</v>
      </c>
      <c r="J1933" s="14">
        <v>940.22880523054505</v>
      </c>
      <c r="K1933" s="14">
        <f t="shared" si="240"/>
        <v>30895.362906239061</v>
      </c>
      <c r="L1933" s="14">
        <f t="shared" si="241"/>
        <v>33</v>
      </c>
      <c r="M1933" s="14" t="str">
        <f t="shared" si="242"/>
        <v>24-05-2025</v>
      </c>
      <c r="N1933" s="14">
        <f t="shared" si="243"/>
        <v>0.15949056238386433</v>
      </c>
      <c r="O1933" s="20">
        <f t="shared" si="244"/>
        <v>2.5168986918785001</v>
      </c>
      <c r="P1933" s="14">
        <f t="shared" si="245"/>
        <v>441.46411993726059</v>
      </c>
      <c r="Q1933" s="14">
        <f t="shared" si="246"/>
        <v>346.53204250339837</v>
      </c>
      <c r="R1933" s="14" t="str">
        <f t="shared" si="247"/>
        <v>May</v>
      </c>
    </row>
    <row r="1934" spans="1:18" x14ac:dyDescent="0.3">
      <c r="A1934" t="s">
        <v>3541</v>
      </c>
      <c r="B1934" s="1">
        <v>45528</v>
      </c>
      <c r="C1934" t="s">
        <v>761</v>
      </c>
      <c r="D1934" t="s">
        <v>1509</v>
      </c>
      <c r="E1934" t="s">
        <v>1554</v>
      </c>
      <c r="F1934">
        <v>2.5160707482785898</v>
      </c>
      <c r="G1934" s="14">
        <v>443.17229557390601</v>
      </c>
      <c r="H1934" s="17">
        <v>0.159267414054407</v>
      </c>
      <c r="I1934" t="s">
        <v>1609</v>
      </c>
      <c r="J1934" s="14">
        <v>940.12080877109304</v>
      </c>
      <c r="K1934" s="14">
        <f t="shared" si="240"/>
        <v>29955.134101008516</v>
      </c>
      <c r="L1934" s="14">
        <f t="shared" si="241"/>
        <v>32</v>
      </c>
      <c r="M1934" s="14" t="str">
        <f t="shared" si="242"/>
        <v>24-08-2024</v>
      </c>
      <c r="N1934" s="14">
        <f t="shared" si="243"/>
        <v>0.1594939434191591</v>
      </c>
      <c r="O1934" s="20">
        <f t="shared" si="244"/>
        <v>2.5169112364784989</v>
      </c>
      <c r="P1934" s="14">
        <f t="shared" si="245"/>
        <v>441.43823848822046</v>
      </c>
      <c r="Q1934" s="14">
        <f t="shared" si="246"/>
        <v>346.49211062683298</v>
      </c>
      <c r="R1934" s="14" t="str">
        <f t="shared" si="247"/>
        <v>Aug</v>
      </c>
    </row>
    <row r="1935" spans="1:18" x14ac:dyDescent="0.3">
      <c r="A1935" t="s">
        <v>3542</v>
      </c>
      <c r="B1935" s="1">
        <v>45875</v>
      </c>
      <c r="C1935" t="s">
        <v>1264</v>
      </c>
      <c r="D1935" t="s">
        <v>1401</v>
      </c>
      <c r="E1935" t="s">
        <v>1589</v>
      </c>
      <c r="F1935">
        <v>2.5160958374785798</v>
      </c>
      <c r="G1935" s="14">
        <v>443.12053267582502</v>
      </c>
      <c r="H1935" s="17">
        <v>0.159274176124997</v>
      </c>
      <c r="I1935" t="s">
        <v>1611</v>
      </c>
      <c r="J1935" s="14">
        <v>940.01281231164205</v>
      </c>
      <c r="K1935" s="14">
        <f t="shared" si="240"/>
        <v>29015.013292237425</v>
      </c>
      <c r="L1935" s="14">
        <f t="shared" si="241"/>
        <v>31</v>
      </c>
      <c r="M1935" s="14" t="str">
        <f t="shared" si="242"/>
        <v>06-08-2025</v>
      </c>
      <c r="N1935" s="14">
        <f t="shared" si="243"/>
        <v>0.15949732445445391</v>
      </c>
      <c r="O1935" s="20">
        <f t="shared" si="244"/>
        <v>2.5169237810784977</v>
      </c>
      <c r="P1935" s="14">
        <f t="shared" si="245"/>
        <v>441.41235703918039</v>
      </c>
      <c r="Q1935" s="14">
        <f t="shared" si="246"/>
        <v>346.45217875026765</v>
      </c>
      <c r="R1935" s="14" t="str">
        <f t="shared" si="247"/>
        <v>Aug</v>
      </c>
    </row>
    <row r="1936" spans="1:18" x14ac:dyDescent="0.3">
      <c r="A1936" t="s">
        <v>3543</v>
      </c>
      <c r="B1936" s="1">
        <v>45829</v>
      </c>
      <c r="C1936" t="s">
        <v>1092</v>
      </c>
      <c r="D1936" t="s">
        <v>1381</v>
      </c>
      <c r="E1936" t="s">
        <v>1586</v>
      </c>
      <c r="F1936">
        <v>2.51612092667858</v>
      </c>
      <c r="G1936" s="14">
        <v>443.06876977774499</v>
      </c>
      <c r="H1936" s="17">
        <v>0.159280938195586</v>
      </c>
      <c r="I1936" t="s">
        <v>1611</v>
      </c>
      <c r="J1936" s="14">
        <v>939.90481585219004</v>
      </c>
      <c r="K1936" s="14">
        <f t="shared" si="240"/>
        <v>29015.013292237425</v>
      </c>
      <c r="L1936" s="14">
        <f t="shared" si="241"/>
        <v>31</v>
      </c>
      <c r="M1936" s="14" t="str">
        <f t="shared" si="242"/>
        <v>21-06-2025</v>
      </c>
      <c r="N1936" s="14">
        <f t="shared" si="243"/>
        <v>0.15950070548974871</v>
      </c>
      <c r="O1936" s="20">
        <f t="shared" si="244"/>
        <v>2.516936325678496</v>
      </c>
      <c r="P1936" s="14">
        <f t="shared" si="245"/>
        <v>441.38647559014032</v>
      </c>
      <c r="Q1936" s="14">
        <f t="shared" si="246"/>
        <v>346.41224687370232</v>
      </c>
      <c r="R1936" s="14" t="str">
        <f t="shared" si="247"/>
        <v>Jun</v>
      </c>
    </row>
    <row r="1937" spans="1:18" x14ac:dyDescent="0.3">
      <c r="A1937" t="s">
        <v>3544</v>
      </c>
      <c r="B1937" s="1">
        <v>45636</v>
      </c>
      <c r="C1937" t="s">
        <v>1256</v>
      </c>
      <c r="D1937" t="s">
        <v>1405</v>
      </c>
      <c r="E1937" t="s">
        <v>1571</v>
      </c>
      <c r="F1937">
        <v>2.5161460158785798</v>
      </c>
      <c r="G1937" s="14">
        <v>443.01700687966502</v>
      </c>
      <c r="H1937" s="17">
        <v>0.159287700266176</v>
      </c>
      <c r="I1937" t="s">
        <v>1614</v>
      </c>
      <c r="J1937" s="14">
        <v>939.79681939273803</v>
      </c>
      <c r="K1937" s="14">
        <f t="shared" si="240"/>
        <v>29015.013292237425</v>
      </c>
      <c r="L1937" s="14">
        <f t="shared" si="241"/>
        <v>31</v>
      </c>
      <c r="M1937" s="14" t="str">
        <f t="shared" si="242"/>
        <v>10-12-2024</v>
      </c>
      <c r="N1937" s="14">
        <f t="shared" si="243"/>
        <v>0.15950408652504353</v>
      </c>
      <c r="O1937" s="20">
        <f t="shared" si="244"/>
        <v>2.5169488702784948</v>
      </c>
      <c r="P1937" s="14">
        <f t="shared" si="245"/>
        <v>441.36059414110019</v>
      </c>
      <c r="Q1937" s="14">
        <f t="shared" si="246"/>
        <v>346.37231499713698</v>
      </c>
      <c r="R1937" s="14" t="str">
        <f t="shared" si="247"/>
        <v>Dec</v>
      </c>
    </row>
    <row r="1938" spans="1:18" x14ac:dyDescent="0.3">
      <c r="A1938" t="s">
        <v>3545</v>
      </c>
      <c r="B1938" s="1">
        <v>45913</v>
      </c>
      <c r="C1938" t="s">
        <v>878</v>
      </c>
      <c r="D1938" t="s">
        <v>1463</v>
      </c>
      <c r="E1938" t="s">
        <v>1598</v>
      </c>
      <c r="F1938">
        <v>2.51617110507858</v>
      </c>
      <c r="G1938" s="14">
        <v>442.96524398158499</v>
      </c>
      <c r="H1938" s="17">
        <v>0.159294462336766</v>
      </c>
      <c r="I1938" t="s">
        <v>1609</v>
      </c>
      <c r="J1938" s="14">
        <v>939.68882293328602</v>
      </c>
      <c r="K1938" s="14">
        <f t="shared" si="240"/>
        <v>29015.013292237425</v>
      </c>
      <c r="L1938" s="14">
        <f t="shared" si="241"/>
        <v>31</v>
      </c>
      <c r="M1938" s="14" t="str">
        <f t="shared" si="242"/>
        <v>13-09-2025</v>
      </c>
      <c r="N1938" s="14">
        <f t="shared" si="243"/>
        <v>0.15950746756033832</v>
      </c>
      <c r="O1938" s="20">
        <f t="shared" si="244"/>
        <v>2.5169614148784936</v>
      </c>
      <c r="P1938" s="14">
        <f t="shared" si="245"/>
        <v>441.33471269206012</v>
      </c>
      <c r="Q1938" s="14">
        <f t="shared" si="246"/>
        <v>346.33238312057159</v>
      </c>
      <c r="R1938" s="14" t="str">
        <f t="shared" si="247"/>
        <v>Sep</v>
      </c>
    </row>
    <row r="1939" spans="1:18" x14ac:dyDescent="0.3">
      <c r="A1939" t="s">
        <v>3546</v>
      </c>
      <c r="B1939" s="1">
        <v>45637</v>
      </c>
      <c r="C1939" t="s">
        <v>288</v>
      </c>
      <c r="D1939" t="s">
        <v>1387</v>
      </c>
      <c r="E1939" t="s">
        <v>1554</v>
      </c>
      <c r="F1939">
        <v>2.51619619427857</v>
      </c>
      <c r="G1939" s="14">
        <v>442.91348108350502</v>
      </c>
      <c r="H1939" s="17">
        <v>0.159301224407355</v>
      </c>
      <c r="I1939" t="s">
        <v>1609</v>
      </c>
      <c r="J1939" s="14">
        <v>939.58082647383503</v>
      </c>
      <c r="K1939" s="14">
        <f t="shared" si="240"/>
        <v>28075.324469304138</v>
      </c>
      <c r="L1939" s="14">
        <f t="shared" si="241"/>
        <v>30</v>
      </c>
      <c r="M1939" s="14" t="str">
        <f t="shared" si="242"/>
        <v>11-12-2024</v>
      </c>
      <c r="N1939" s="14">
        <f t="shared" si="243"/>
        <v>0.15951084859563314</v>
      </c>
      <c r="O1939" s="20">
        <f t="shared" si="244"/>
        <v>2.5169739594784928</v>
      </c>
      <c r="P1939" s="14">
        <f t="shared" si="245"/>
        <v>441.30883124302005</v>
      </c>
      <c r="Q1939" s="14">
        <f t="shared" si="246"/>
        <v>346.29245124400649</v>
      </c>
      <c r="R1939" s="14" t="str">
        <f t="shared" si="247"/>
        <v>Dec</v>
      </c>
    </row>
    <row r="1940" spans="1:18" x14ac:dyDescent="0.3">
      <c r="A1940" t="s">
        <v>3547</v>
      </c>
      <c r="B1940" s="1">
        <v>45517</v>
      </c>
      <c r="C1940" t="s">
        <v>338</v>
      </c>
      <c r="D1940" t="s">
        <v>1411</v>
      </c>
      <c r="E1940" t="s">
        <v>1554</v>
      </c>
      <c r="F1940">
        <v>2.5162212834785702</v>
      </c>
      <c r="G1940" s="14">
        <v>442.86171818542499</v>
      </c>
      <c r="H1940" s="17">
        <v>0.159307986477945</v>
      </c>
      <c r="I1940" t="s">
        <v>1614</v>
      </c>
      <c r="J1940" s="14">
        <v>939.47283001438302</v>
      </c>
      <c r="K1940" s="14">
        <f t="shared" si="240"/>
        <v>27135.743642830301</v>
      </c>
      <c r="L1940" s="14">
        <f t="shared" si="241"/>
        <v>29</v>
      </c>
      <c r="M1940" s="14" t="str">
        <f t="shared" si="242"/>
        <v>13-08-2024</v>
      </c>
      <c r="N1940" s="14">
        <f t="shared" si="243"/>
        <v>0.15951422963092796</v>
      </c>
      <c r="O1940" s="20">
        <f t="shared" si="244"/>
        <v>2.5169865040784916</v>
      </c>
      <c r="P1940" s="14">
        <f t="shared" si="245"/>
        <v>441.28294979398004</v>
      </c>
      <c r="Q1940" s="14">
        <f t="shared" si="246"/>
        <v>346.2525193674411</v>
      </c>
      <c r="R1940" s="14" t="str">
        <f t="shared" si="247"/>
        <v>Aug</v>
      </c>
    </row>
    <row r="1941" spans="1:18" x14ac:dyDescent="0.3">
      <c r="A1941" t="s">
        <v>3548</v>
      </c>
      <c r="B1941" s="1">
        <v>45369</v>
      </c>
      <c r="C1941" t="s">
        <v>767</v>
      </c>
      <c r="D1941" t="s">
        <v>1453</v>
      </c>
      <c r="E1941" t="s">
        <v>1582</v>
      </c>
      <c r="F1941">
        <v>2.51624637267857</v>
      </c>
      <c r="G1941" s="14">
        <v>442.80995528734502</v>
      </c>
      <c r="H1941" s="17">
        <v>0.159314748548535</v>
      </c>
      <c r="I1941" t="s">
        <v>1614</v>
      </c>
      <c r="J1941" s="14">
        <v>939.36483355493101</v>
      </c>
      <c r="K1941" s="14">
        <f t="shared" si="240"/>
        <v>27135.743642830301</v>
      </c>
      <c r="L1941" s="14">
        <f t="shared" si="241"/>
        <v>29</v>
      </c>
      <c r="M1941" s="14" t="str">
        <f t="shared" si="242"/>
        <v>18-03-2024</v>
      </c>
      <c r="N1941" s="14">
        <f t="shared" si="243"/>
        <v>0.15951761066622275</v>
      </c>
      <c r="O1941" s="20">
        <f t="shared" si="244"/>
        <v>2.5169990486784899</v>
      </c>
      <c r="P1941" s="14">
        <f t="shared" si="245"/>
        <v>441.25706834493991</v>
      </c>
      <c r="Q1941" s="14">
        <f t="shared" si="246"/>
        <v>346.21258749087576</v>
      </c>
      <c r="R1941" s="14" t="str">
        <f t="shared" si="247"/>
        <v>Mar</v>
      </c>
    </row>
    <row r="1942" spans="1:18" x14ac:dyDescent="0.3">
      <c r="A1942" t="s">
        <v>3549</v>
      </c>
      <c r="B1942" s="1">
        <v>45843</v>
      </c>
      <c r="C1942" t="s">
        <v>487</v>
      </c>
      <c r="D1942" t="s">
        <v>1477</v>
      </c>
      <c r="E1942" t="s">
        <v>1592</v>
      </c>
      <c r="F1942">
        <v>2.5162714618785702</v>
      </c>
      <c r="G1942" s="14">
        <v>442.75819238926499</v>
      </c>
      <c r="H1942" s="17">
        <v>0.159321510619124</v>
      </c>
      <c r="I1942" t="s">
        <v>1614</v>
      </c>
      <c r="J1942" s="14">
        <v>939.256837095479</v>
      </c>
      <c r="K1942" s="14">
        <f t="shared" si="240"/>
        <v>27135.743642830301</v>
      </c>
      <c r="L1942" s="14">
        <f t="shared" si="241"/>
        <v>29</v>
      </c>
      <c r="M1942" s="14" t="str">
        <f t="shared" si="242"/>
        <v>05-07-2025</v>
      </c>
      <c r="N1942" s="14">
        <f t="shared" si="243"/>
        <v>0.15952099170151754</v>
      </c>
      <c r="O1942" s="20">
        <f t="shared" si="244"/>
        <v>2.5170115932784887</v>
      </c>
      <c r="P1942" s="14">
        <f t="shared" si="245"/>
        <v>441.23118689589978</v>
      </c>
      <c r="Q1942" s="14">
        <f t="shared" si="246"/>
        <v>346.17265561431043</v>
      </c>
      <c r="R1942" s="14" t="str">
        <f t="shared" si="247"/>
        <v>Jul</v>
      </c>
    </row>
    <row r="1943" spans="1:18" x14ac:dyDescent="0.3">
      <c r="A1943" t="s">
        <v>3550</v>
      </c>
      <c r="B1943" s="1">
        <v>45447</v>
      </c>
      <c r="C1943" t="s">
        <v>1217</v>
      </c>
      <c r="D1943" t="s">
        <v>1419</v>
      </c>
      <c r="E1943" t="s">
        <v>1595</v>
      </c>
      <c r="F1943">
        <v>2.5162965510785602</v>
      </c>
      <c r="G1943" s="14">
        <v>442.706429491184</v>
      </c>
      <c r="H1943" s="17">
        <v>0.159328272689714</v>
      </c>
      <c r="I1943" t="s">
        <v>1609</v>
      </c>
      <c r="J1943" s="14">
        <v>939.14884063602801</v>
      </c>
      <c r="K1943" s="14">
        <f t="shared" si="240"/>
        <v>27135.743642830301</v>
      </c>
      <c r="L1943" s="14">
        <f t="shared" si="241"/>
        <v>29</v>
      </c>
      <c r="M1943" s="14" t="str">
        <f t="shared" si="242"/>
        <v>04-06-2024</v>
      </c>
      <c r="N1943" s="14">
        <f t="shared" si="243"/>
        <v>0.15952437273681233</v>
      </c>
      <c r="O1943" s="20">
        <f t="shared" si="244"/>
        <v>2.517024137878487</v>
      </c>
      <c r="P1943" s="14">
        <f t="shared" si="245"/>
        <v>441.20530544685971</v>
      </c>
      <c r="Q1943" s="14">
        <f t="shared" si="246"/>
        <v>346.1327237377451</v>
      </c>
      <c r="R1943" s="14" t="str">
        <f t="shared" si="247"/>
        <v>Jun</v>
      </c>
    </row>
    <row r="1944" spans="1:18" x14ac:dyDescent="0.3">
      <c r="A1944" t="s">
        <v>3551</v>
      </c>
      <c r="B1944" s="1">
        <v>45394</v>
      </c>
      <c r="C1944" t="s">
        <v>1297</v>
      </c>
      <c r="D1944" t="s">
        <v>1471</v>
      </c>
      <c r="E1944" t="s">
        <v>1574</v>
      </c>
      <c r="F1944">
        <v>2.51632164027856</v>
      </c>
      <c r="G1944" s="14">
        <v>442.65466659310403</v>
      </c>
      <c r="H1944" s="17">
        <v>0.159335034760303</v>
      </c>
      <c r="I1944" t="s">
        <v>1611</v>
      </c>
      <c r="J1944" s="14">
        <v>939.040844176576</v>
      </c>
      <c r="K1944" s="14">
        <f t="shared" si="240"/>
        <v>26196.594802194279</v>
      </c>
      <c r="L1944" s="14">
        <f t="shared" si="241"/>
        <v>28</v>
      </c>
      <c r="M1944" s="14" t="str">
        <f t="shared" si="242"/>
        <v>12-04-2024</v>
      </c>
      <c r="N1944" s="14">
        <f t="shared" si="243"/>
        <v>0.15952775377210712</v>
      </c>
      <c r="O1944" s="20">
        <f t="shared" si="244"/>
        <v>2.5170366824784858</v>
      </c>
      <c r="P1944" s="14">
        <f t="shared" si="245"/>
        <v>441.17942399781964</v>
      </c>
      <c r="Q1944" s="14">
        <f t="shared" si="246"/>
        <v>346.09279186117971</v>
      </c>
      <c r="R1944" s="14" t="str">
        <f t="shared" si="247"/>
        <v>Apr</v>
      </c>
    </row>
    <row r="1945" spans="1:18" x14ac:dyDescent="0.3">
      <c r="A1945" t="s">
        <v>3552</v>
      </c>
      <c r="B1945" s="1">
        <v>45466</v>
      </c>
      <c r="C1945" t="s">
        <v>1151</v>
      </c>
      <c r="D1945" t="s">
        <v>1357</v>
      </c>
      <c r="E1945" t="s">
        <v>1567</v>
      </c>
      <c r="F1945">
        <v>2.5163467294785602</v>
      </c>
      <c r="G1945" s="14">
        <v>442.602903695024</v>
      </c>
      <c r="H1945" s="17">
        <v>0.159341796830893</v>
      </c>
      <c r="I1945" t="s">
        <v>1609</v>
      </c>
      <c r="J1945" s="14">
        <v>938.93284771712399</v>
      </c>
      <c r="K1945" s="14">
        <f t="shared" si="240"/>
        <v>26196.594802194279</v>
      </c>
      <c r="L1945" s="14">
        <f t="shared" si="241"/>
        <v>28</v>
      </c>
      <c r="M1945" s="14" t="str">
        <f t="shared" si="242"/>
        <v>23-06-2024</v>
      </c>
      <c r="N1945" s="14">
        <f t="shared" si="243"/>
        <v>0.15953113480740194</v>
      </c>
      <c r="O1945" s="20">
        <f t="shared" si="244"/>
        <v>2.5170492270784846</v>
      </c>
      <c r="P1945" s="14">
        <f t="shared" si="245"/>
        <v>441.15354254877963</v>
      </c>
      <c r="Q1945" s="14">
        <f t="shared" si="246"/>
        <v>346.05285998461437</v>
      </c>
      <c r="R1945" s="14" t="str">
        <f t="shared" si="247"/>
        <v>Jun</v>
      </c>
    </row>
    <row r="1946" spans="1:18" x14ac:dyDescent="0.3">
      <c r="A1946" t="s">
        <v>3553</v>
      </c>
      <c r="B1946" s="1">
        <v>45908</v>
      </c>
      <c r="C1946" t="s">
        <v>613</v>
      </c>
      <c r="D1946" t="s">
        <v>1467</v>
      </c>
      <c r="E1946" t="s">
        <v>1561</v>
      </c>
      <c r="F1946">
        <v>2.51637181867856</v>
      </c>
      <c r="G1946" s="14">
        <v>442.55114079694403</v>
      </c>
      <c r="H1946" s="17">
        <v>0.159348558901483</v>
      </c>
      <c r="I1946" t="s">
        <v>1609</v>
      </c>
      <c r="J1946" s="14">
        <v>938.82485125767198</v>
      </c>
      <c r="K1946" s="14">
        <f t="shared" si="240"/>
        <v>25257.661954477157</v>
      </c>
      <c r="L1946" s="14">
        <f t="shared" si="241"/>
        <v>27</v>
      </c>
      <c r="M1946" s="14" t="str">
        <f t="shared" si="242"/>
        <v>08-09-2025</v>
      </c>
      <c r="N1946" s="14">
        <f t="shared" si="243"/>
        <v>0.15953451584269676</v>
      </c>
      <c r="O1946" s="20">
        <f t="shared" si="244"/>
        <v>2.5170617716784833</v>
      </c>
      <c r="P1946" s="14">
        <f t="shared" si="245"/>
        <v>441.12766109973944</v>
      </c>
      <c r="Q1946" s="14">
        <f t="shared" si="246"/>
        <v>346.01292810804898</v>
      </c>
      <c r="R1946" s="14" t="str">
        <f t="shared" si="247"/>
        <v>Sep</v>
      </c>
    </row>
    <row r="1947" spans="1:18" x14ac:dyDescent="0.3">
      <c r="A1947" t="s">
        <v>3554</v>
      </c>
      <c r="B1947" s="1">
        <v>45552</v>
      </c>
      <c r="C1947" t="s">
        <v>1190</v>
      </c>
      <c r="D1947" t="s">
        <v>1340</v>
      </c>
      <c r="E1947" t="s">
        <v>1551</v>
      </c>
      <c r="F1947">
        <v>2.51639690787855</v>
      </c>
      <c r="G1947" s="14">
        <v>442.499377898864</v>
      </c>
      <c r="H1947" s="17">
        <v>0.159355320972072</v>
      </c>
      <c r="I1947" t="s">
        <v>1611</v>
      </c>
      <c r="J1947" s="14">
        <v>938.71685479822099</v>
      </c>
      <c r="K1947" s="14">
        <f t="shared" si="240"/>
        <v>24318.837103219485</v>
      </c>
      <c r="L1947" s="14">
        <f t="shared" si="241"/>
        <v>26</v>
      </c>
      <c r="M1947" s="14" t="str">
        <f t="shared" si="242"/>
        <v>17-09-2024</v>
      </c>
      <c r="N1947" s="14">
        <f t="shared" si="243"/>
        <v>0.15953789687799153</v>
      </c>
      <c r="O1947" s="20">
        <f t="shared" si="244"/>
        <v>2.5170743162784821</v>
      </c>
      <c r="P1947" s="14">
        <f t="shared" si="245"/>
        <v>441.10177965069948</v>
      </c>
      <c r="Q1947" s="14">
        <f t="shared" si="246"/>
        <v>345.97299623148388</v>
      </c>
      <c r="R1947" s="14" t="str">
        <f t="shared" si="247"/>
        <v>Sep</v>
      </c>
    </row>
    <row r="1948" spans="1:18" x14ac:dyDescent="0.3">
      <c r="A1948" t="s">
        <v>3555</v>
      </c>
      <c r="B1948" s="1">
        <v>45294</v>
      </c>
      <c r="C1948" t="s">
        <v>693</v>
      </c>
      <c r="D1948" t="s">
        <v>1529</v>
      </c>
      <c r="E1948" t="s">
        <v>1567</v>
      </c>
      <c r="F1948">
        <v>2.5164219970785502</v>
      </c>
      <c r="G1948" s="14">
        <v>442.44761500078403</v>
      </c>
      <c r="H1948" s="17">
        <v>0.159362083042662</v>
      </c>
      <c r="I1948" t="s">
        <v>1609</v>
      </c>
      <c r="J1948" s="14">
        <v>938.60885833876898</v>
      </c>
      <c r="K1948" s="14">
        <f t="shared" si="240"/>
        <v>24318.837103219485</v>
      </c>
      <c r="L1948" s="14">
        <f t="shared" si="241"/>
        <v>26</v>
      </c>
      <c r="M1948" s="14" t="str">
        <f t="shared" si="242"/>
        <v>03-01-2024</v>
      </c>
      <c r="N1948" s="14">
        <f t="shared" si="243"/>
        <v>0.15954127791328632</v>
      </c>
      <c r="O1948" s="20">
        <f t="shared" si="244"/>
        <v>2.5170868608784809</v>
      </c>
      <c r="P1948" s="14">
        <f t="shared" si="245"/>
        <v>441.07589820165936</v>
      </c>
      <c r="Q1948" s="14">
        <f t="shared" si="246"/>
        <v>345.93306435491854</v>
      </c>
      <c r="R1948" s="14" t="str">
        <f t="shared" si="247"/>
        <v>Jan</v>
      </c>
    </row>
    <row r="1949" spans="1:18" x14ac:dyDescent="0.3">
      <c r="A1949" t="s">
        <v>3556</v>
      </c>
      <c r="B1949" s="1">
        <v>45710</v>
      </c>
      <c r="C1949" t="s">
        <v>654</v>
      </c>
      <c r="D1949" t="s">
        <v>1487</v>
      </c>
      <c r="E1949" t="s">
        <v>1567</v>
      </c>
      <c r="F1949">
        <v>2.51644708627855</v>
      </c>
      <c r="G1949" s="14">
        <v>442.39585210270297</v>
      </c>
      <c r="H1949" s="17">
        <v>0.159368845113251</v>
      </c>
      <c r="I1949" t="s">
        <v>1609</v>
      </c>
      <c r="J1949" s="14">
        <v>938.50086187931697</v>
      </c>
      <c r="K1949" s="14">
        <f t="shared" si="240"/>
        <v>23380.228244880713</v>
      </c>
      <c r="L1949" s="14">
        <f t="shared" si="241"/>
        <v>25</v>
      </c>
      <c r="M1949" s="14" t="str">
        <f t="shared" si="242"/>
        <v>22-02-2025</v>
      </c>
      <c r="N1949" s="14">
        <f t="shared" si="243"/>
        <v>0.15954465894858116</v>
      </c>
      <c r="O1949" s="20">
        <f t="shared" si="244"/>
        <v>2.5170994054784797</v>
      </c>
      <c r="P1949" s="14">
        <f t="shared" si="245"/>
        <v>441.05001675261929</v>
      </c>
      <c r="Q1949" s="14">
        <f t="shared" si="246"/>
        <v>345.89313247835292</v>
      </c>
      <c r="R1949" s="14" t="str">
        <f t="shared" si="247"/>
        <v>Feb</v>
      </c>
    </row>
    <row r="1950" spans="1:18" x14ac:dyDescent="0.3">
      <c r="A1950" t="s">
        <v>3557</v>
      </c>
      <c r="B1950" s="1">
        <v>45923</v>
      </c>
      <c r="C1950" t="s">
        <v>499</v>
      </c>
      <c r="D1950" t="s">
        <v>1359</v>
      </c>
      <c r="E1950" t="s">
        <v>1546</v>
      </c>
      <c r="F1950">
        <v>2.5164721754785502</v>
      </c>
      <c r="G1950" s="14">
        <v>442.344089204623</v>
      </c>
      <c r="H1950" s="17">
        <v>0.159375607183841</v>
      </c>
      <c r="I1950" t="s">
        <v>1611</v>
      </c>
      <c r="J1950" s="14">
        <v>938.39286541986598</v>
      </c>
      <c r="K1950" s="14">
        <f t="shared" si="240"/>
        <v>22441.727383001395</v>
      </c>
      <c r="L1950" s="14">
        <f t="shared" si="241"/>
        <v>24</v>
      </c>
      <c r="M1950" s="14" t="str">
        <f t="shared" si="242"/>
        <v>23-09-2025</v>
      </c>
      <c r="N1950" s="14">
        <f t="shared" si="243"/>
        <v>0.15954803998387596</v>
      </c>
      <c r="O1950" s="20">
        <f t="shared" si="244"/>
        <v>2.5171119500784789</v>
      </c>
      <c r="P1950" s="14">
        <f t="shared" si="245"/>
        <v>441.02413530357927</v>
      </c>
      <c r="Q1950" s="14">
        <f t="shared" si="246"/>
        <v>345.85320060178788</v>
      </c>
      <c r="R1950" s="14" t="str">
        <f t="shared" si="247"/>
        <v>Sep</v>
      </c>
    </row>
    <row r="1951" spans="1:18" x14ac:dyDescent="0.3">
      <c r="A1951" t="s">
        <v>3558</v>
      </c>
      <c r="B1951" s="1">
        <v>45302</v>
      </c>
      <c r="C1951" t="s">
        <v>1092</v>
      </c>
      <c r="D1951" t="s">
        <v>1531</v>
      </c>
      <c r="E1951" t="s">
        <v>1551</v>
      </c>
      <c r="F1951">
        <v>2.5164972646785402</v>
      </c>
      <c r="G1951" s="14">
        <v>442.29232630654298</v>
      </c>
      <c r="H1951" s="17">
        <v>0.159382369254431</v>
      </c>
      <c r="I1951" t="s">
        <v>1609</v>
      </c>
      <c r="J1951" s="14">
        <v>938.28486896041397</v>
      </c>
      <c r="K1951" s="14">
        <f t="shared" si="240"/>
        <v>22441.727383001395</v>
      </c>
      <c r="L1951" s="14">
        <f t="shared" si="241"/>
        <v>24</v>
      </c>
      <c r="M1951" s="14" t="str">
        <f t="shared" si="242"/>
        <v>11-01-2024</v>
      </c>
      <c r="N1951" s="14">
        <f t="shared" si="243"/>
        <v>0.15955142101917075</v>
      </c>
      <c r="O1951" s="20">
        <f t="shared" si="244"/>
        <v>2.5171244946784772</v>
      </c>
      <c r="P1951" s="14">
        <f t="shared" si="245"/>
        <v>440.99825385453909</v>
      </c>
      <c r="Q1951" s="14">
        <f t="shared" si="246"/>
        <v>345.81326872522249</v>
      </c>
      <c r="R1951" s="14" t="str">
        <f t="shared" si="247"/>
        <v>Jan</v>
      </c>
    </row>
    <row r="1952" spans="1:18" x14ac:dyDescent="0.3">
      <c r="A1952" t="s">
        <v>3559</v>
      </c>
      <c r="B1952" s="1">
        <v>45217</v>
      </c>
      <c r="C1952" t="s">
        <v>118</v>
      </c>
      <c r="D1952" t="s">
        <v>1340</v>
      </c>
      <c r="E1952" t="s">
        <v>1598</v>
      </c>
      <c r="F1952">
        <v>2.51652235387854</v>
      </c>
      <c r="G1952" s="14">
        <v>442.240563408463</v>
      </c>
      <c r="H1952" s="17">
        <v>0.15938913132502</v>
      </c>
      <c r="I1952" t="s">
        <v>1611</v>
      </c>
      <c r="J1952" s="14">
        <v>938.17687250096196</v>
      </c>
      <c r="K1952" s="14">
        <f t="shared" si="240"/>
        <v>21503.44251404098</v>
      </c>
      <c r="L1952" s="14">
        <f t="shared" si="241"/>
        <v>23</v>
      </c>
      <c r="M1952" s="14" t="str">
        <f t="shared" si="242"/>
        <v>18-10-2023</v>
      </c>
      <c r="N1952" s="14">
        <f t="shared" si="243"/>
        <v>0.15955480205446554</v>
      </c>
      <c r="O1952" s="20">
        <f t="shared" si="244"/>
        <v>2.5171370392784755</v>
      </c>
      <c r="P1952" s="14">
        <f t="shared" si="245"/>
        <v>440.97237240549913</v>
      </c>
      <c r="Q1952" s="14">
        <f t="shared" si="246"/>
        <v>345.77333684865715</v>
      </c>
      <c r="R1952" s="14" t="str">
        <f t="shared" si="247"/>
        <v>Oct</v>
      </c>
    </row>
    <row r="1953" spans="1:18" x14ac:dyDescent="0.3">
      <c r="A1953" t="s">
        <v>3560</v>
      </c>
      <c r="B1953" s="1">
        <v>45593</v>
      </c>
      <c r="C1953" t="s">
        <v>1233</v>
      </c>
      <c r="D1953" t="s">
        <v>1439</v>
      </c>
      <c r="E1953" t="s">
        <v>1579</v>
      </c>
      <c r="F1953">
        <v>2.5165474430785402</v>
      </c>
      <c r="G1953" s="14">
        <v>442.18880051038298</v>
      </c>
      <c r="H1953" s="17">
        <v>0.15939589339561</v>
      </c>
      <c r="I1953" t="s">
        <v>1614</v>
      </c>
      <c r="J1953" s="14">
        <v>938.06887604150995</v>
      </c>
      <c r="K1953" s="14">
        <f t="shared" si="240"/>
        <v>21503.44251404098</v>
      </c>
      <c r="L1953" s="14">
        <f t="shared" si="241"/>
        <v>23</v>
      </c>
      <c r="M1953" s="14" t="str">
        <f t="shared" si="242"/>
        <v>28-10-2024</v>
      </c>
      <c r="N1953" s="14">
        <f t="shared" si="243"/>
        <v>0.15955818308976036</v>
      </c>
      <c r="O1953" s="20">
        <f t="shared" si="244"/>
        <v>2.5171495838784743</v>
      </c>
      <c r="P1953" s="14">
        <f t="shared" si="245"/>
        <v>440.946490956459</v>
      </c>
      <c r="Q1953" s="14">
        <f t="shared" si="246"/>
        <v>345.73340497209176</v>
      </c>
      <c r="R1953" s="14" t="str">
        <f t="shared" si="247"/>
        <v>Oct</v>
      </c>
    </row>
    <row r="1954" spans="1:18" x14ac:dyDescent="0.3">
      <c r="A1954" t="s">
        <v>3561</v>
      </c>
      <c r="B1954" s="1">
        <v>45597</v>
      </c>
      <c r="C1954" t="s">
        <v>1219</v>
      </c>
      <c r="D1954" t="s">
        <v>1483</v>
      </c>
      <c r="E1954" t="s">
        <v>1567</v>
      </c>
      <c r="F1954">
        <v>2.5165725322785302</v>
      </c>
      <c r="G1954" s="14">
        <v>442.137037612303</v>
      </c>
      <c r="H1954" s="17">
        <v>0.159402655466199</v>
      </c>
      <c r="I1954" t="s">
        <v>1609</v>
      </c>
      <c r="J1954" s="14">
        <v>937.96087958205896</v>
      </c>
      <c r="K1954" s="14">
        <f t="shared" si="240"/>
        <v>21503.44251404098</v>
      </c>
      <c r="L1954" s="14">
        <f t="shared" si="241"/>
        <v>23</v>
      </c>
      <c r="M1954" s="14" t="str">
        <f t="shared" si="242"/>
        <v>01-11-2024</v>
      </c>
      <c r="N1954" s="14">
        <f t="shared" si="243"/>
        <v>0.15956156412505512</v>
      </c>
      <c r="O1954" s="20">
        <f t="shared" si="244"/>
        <v>2.5171621284784726</v>
      </c>
      <c r="P1954" s="14">
        <f t="shared" si="245"/>
        <v>440.92060950741893</v>
      </c>
      <c r="Q1954" s="14">
        <f t="shared" si="246"/>
        <v>345.69347309552666</v>
      </c>
      <c r="R1954" s="14" t="str">
        <f t="shared" si="247"/>
        <v>Nov</v>
      </c>
    </row>
    <row r="1955" spans="1:18" x14ac:dyDescent="0.3">
      <c r="A1955" t="s">
        <v>3562</v>
      </c>
      <c r="B1955" s="1">
        <v>45620</v>
      </c>
      <c r="C1955" t="s">
        <v>1274</v>
      </c>
      <c r="D1955" t="s">
        <v>1357</v>
      </c>
      <c r="E1955" t="s">
        <v>1561</v>
      </c>
      <c r="F1955">
        <v>2.5165976214785299</v>
      </c>
      <c r="G1955" s="14">
        <v>442.08527471422201</v>
      </c>
      <c r="H1955" s="17">
        <v>0.159409417536789</v>
      </c>
      <c r="I1955" t="s">
        <v>1609</v>
      </c>
      <c r="J1955" s="14">
        <v>937.85288312260695</v>
      </c>
      <c r="K1955" s="14">
        <f t="shared" si="240"/>
        <v>20565.48163445892</v>
      </c>
      <c r="L1955" s="14">
        <f t="shared" si="241"/>
        <v>22</v>
      </c>
      <c r="M1955" s="14" t="str">
        <f t="shared" si="242"/>
        <v>24-11-2024</v>
      </c>
      <c r="N1955" s="14">
        <f t="shared" si="243"/>
        <v>0.15956494516034997</v>
      </c>
      <c r="O1955" s="20">
        <f t="shared" si="244"/>
        <v>2.5171746730784714</v>
      </c>
      <c r="P1955" s="14">
        <f t="shared" si="245"/>
        <v>440.89472805837886</v>
      </c>
      <c r="Q1955" s="14">
        <f t="shared" si="246"/>
        <v>345.6535412189611</v>
      </c>
      <c r="R1955" s="14" t="str">
        <f t="shared" si="247"/>
        <v>Nov</v>
      </c>
    </row>
    <row r="1956" spans="1:18" x14ac:dyDescent="0.3">
      <c r="A1956" t="s">
        <v>3563</v>
      </c>
      <c r="B1956" s="1">
        <v>45215</v>
      </c>
      <c r="C1956" t="s">
        <v>1080</v>
      </c>
      <c r="D1956" t="s">
        <v>1491</v>
      </c>
      <c r="E1956" t="s">
        <v>1542</v>
      </c>
      <c r="F1956">
        <v>2.5166227106785302</v>
      </c>
      <c r="G1956" s="14">
        <v>442.03351181614198</v>
      </c>
      <c r="H1956" s="17">
        <v>0.159416179607379</v>
      </c>
      <c r="I1956" t="s">
        <v>1609</v>
      </c>
      <c r="J1956" s="14">
        <v>937.74488666315494</v>
      </c>
      <c r="K1956" s="14">
        <f t="shared" si="240"/>
        <v>19627.62875133631</v>
      </c>
      <c r="L1956" s="14">
        <f t="shared" si="241"/>
        <v>21</v>
      </c>
      <c r="M1956" s="14" t="str">
        <f t="shared" si="242"/>
        <v>16-10-2023</v>
      </c>
      <c r="N1956" s="14">
        <f t="shared" si="243"/>
        <v>0.15956832619564479</v>
      </c>
      <c r="O1956" s="20">
        <f t="shared" si="244"/>
        <v>2.5171872176784702</v>
      </c>
      <c r="P1956" s="14">
        <f t="shared" si="245"/>
        <v>440.86884660933868</v>
      </c>
      <c r="Q1956" s="14">
        <f t="shared" si="246"/>
        <v>345.6136093423957</v>
      </c>
      <c r="R1956" s="14" t="str">
        <f t="shared" si="247"/>
        <v>Oct</v>
      </c>
    </row>
    <row r="1957" spans="1:18" x14ac:dyDescent="0.3">
      <c r="A1957" t="s">
        <v>3564</v>
      </c>
      <c r="B1957" s="1">
        <v>45878</v>
      </c>
      <c r="C1957" t="s">
        <v>708</v>
      </c>
      <c r="D1957" t="s">
        <v>1365</v>
      </c>
      <c r="E1957" t="s">
        <v>1551</v>
      </c>
      <c r="F1957">
        <v>2.5166477998785299</v>
      </c>
      <c r="G1957" s="14">
        <v>441.98174891806201</v>
      </c>
      <c r="H1957" s="17">
        <v>0.159422941677968</v>
      </c>
      <c r="I1957" t="s">
        <v>1614</v>
      </c>
      <c r="J1957" s="14">
        <v>937.63689020370305</v>
      </c>
      <c r="K1957" s="14">
        <f t="shared" si="240"/>
        <v>18689.883864673156</v>
      </c>
      <c r="L1957" s="14">
        <f t="shared" si="241"/>
        <v>20</v>
      </c>
      <c r="M1957" s="14" t="str">
        <f t="shared" si="242"/>
        <v>09-08-2025</v>
      </c>
      <c r="N1957" s="14">
        <f t="shared" si="243"/>
        <v>0.15957170723093955</v>
      </c>
      <c r="O1957" s="20">
        <f t="shared" si="244"/>
        <v>2.517199762278469</v>
      </c>
      <c r="P1957" s="14">
        <f t="shared" si="245"/>
        <v>440.84296516029872</v>
      </c>
      <c r="Q1957" s="14">
        <f t="shared" si="246"/>
        <v>345.57367746583037</v>
      </c>
      <c r="R1957" s="14" t="str">
        <f t="shared" si="247"/>
        <v>Aug</v>
      </c>
    </row>
    <row r="1958" spans="1:18" x14ac:dyDescent="0.3">
      <c r="A1958" t="s">
        <v>3565</v>
      </c>
      <c r="B1958" s="1">
        <v>45635</v>
      </c>
      <c r="C1958" t="s">
        <v>310</v>
      </c>
      <c r="D1958" t="s">
        <v>1340</v>
      </c>
      <c r="E1958" t="s">
        <v>1564</v>
      </c>
      <c r="F1958">
        <v>2.5166728890785199</v>
      </c>
      <c r="G1958" s="14">
        <v>441.92998601998198</v>
      </c>
      <c r="H1958" s="17">
        <v>0.159429703748558</v>
      </c>
      <c r="I1958" t="s">
        <v>1611</v>
      </c>
      <c r="J1958" s="14">
        <v>937.52889374425195</v>
      </c>
      <c r="K1958" s="14">
        <f t="shared" si="240"/>
        <v>18689.883864673156</v>
      </c>
      <c r="L1958" s="14">
        <f t="shared" si="241"/>
        <v>20</v>
      </c>
      <c r="M1958" s="14" t="str">
        <f t="shared" si="242"/>
        <v>09-12-2024</v>
      </c>
      <c r="N1958" s="14">
        <f t="shared" si="243"/>
        <v>0.15957508826623434</v>
      </c>
      <c r="O1958" s="20">
        <f t="shared" si="244"/>
        <v>2.5172123068784682</v>
      </c>
      <c r="P1958" s="14">
        <f t="shared" si="245"/>
        <v>440.81708371125859</v>
      </c>
      <c r="Q1958" s="14">
        <f t="shared" si="246"/>
        <v>345.53374558926527</v>
      </c>
      <c r="R1958" s="14" t="str">
        <f t="shared" si="247"/>
        <v>Dec</v>
      </c>
    </row>
    <row r="1959" spans="1:18" x14ac:dyDescent="0.3">
      <c r="A1959" t="s">
        <v>3566</v>
      </c>
      <c r="B1959" s="1">
        <v>45329</v>
      </c>
      <c r="C1959" t="s">
        <v>1313</v>
      </c>
      <c r="D1959" t="s">
        <v>1353</v>
      </c>
      <c r="E1959" t="s">
        <v>1592</v>
      </c>
      <c r="F1959">
        <v>2.5166979782785202</v>
      </c>
      <c r="G1959" s="14">
        <v>441.87822312190201</v>
      </c>
      <c r="H1959" s="17">
        <v>0.159436465819147</v>
      </c>
      <c r="I1959" t="s">
        <v>1611</v>
      </c>
      <c r="J1959" s="14">
        <v>937.42089728480005</v>
      </c>
      <c r="K1959" s="14">
        <f t="shared" si="240"/>
        <v>18689.883864673156</v>
      </c>
      <c r="L1959" s="14">
        <f t="shared" si="241"/>
        <v>20</v>
      </c>
      <c r="M1959" s="14" t="str">
        <f t="shared" si="242"/>
        <v>07-02-2024</v>
      </c>
      <c r="N1959" s="14">
        <f t="shared" si="243"/>
        <v>0.15957846930152916</v>
      </c>
      <c r="O1959" s="20">
        <f t="shared" si="244"/>
        <v>2.517224851478467</v>
      </c>
      <c r="P1959" s="14">
        <f t="shared" si="245"/>
        <v>440.79120226221852</v>
      </c>
      <c r="Q1959" s="14">
        <f t="shared" si="246"/>
        <v>345.49381371269993</v>
      </c>
      <c r="R1959" s="14" t="str">
        <f t="shared" si="247"/>
        <v>Feb</v>
      </c>
    </row>
    <row r="1960" spans="1:18" x14ac:dyDescent="0.3">
      <c r="A1960" t="s">
        <v>3567</v>
      </c>
      <c r="B1960" s="1">
        <v>45378</v>
      </c>
      <c r="C1960" t="s">
        <v>622</v>
      </c>
      <c r="D1960" t="s">
        <v>1399</v>
      </c>
      <c r="E1960" t="s">
        <v>1582</v>
      </c>
      <c r="F1960">
        <v>2.5167230674785199</v>
      </c>
      <c r="G1960" s="14">
        <v>441.82646022382198</v>
      </c>
      <c r="H1960" s="17">
        <v>0.159443227889737</v>
      </c>
      <c r="I1960" t="s">
        <v>1614</v>
      </c>
      <c r="J1960" s="14">
        <v>937.31290082534804</v>
      </c>
      <c r="K1960" s="14">
        <f t="shared" si="240"/>
        <v>18689.883864673156</v>
      </c>
      <c r="L1960" s="14">
        <f t="shared" si="241"/>
        <v>20</v>
      </c>
      <c r="M1960" s="14" t="str">
        <f t="shared" si="242"/>
        <v>27-03-2024</v>
      </c>
      <c r="N1960" s="14">
        <f t="shared" si="243"/>
        <v>0.15958185033682398</v>
      </c>
      <c r="O1960" s="20">
        <f t="shared" si="244"/>
        <v>2.5172373960784653</v>
      </c>
      <c r="P1960" s="14">
        <f t="shared" si="245"/>
        <v>440.76532081317845</v>
      </c>
      <c r="Q1960" s="14">
        <f t="shared" si="246"/>
        <v>345.45388183613454</v>
      </c>
      <c r="R1960" s="14" t="str">
        <f t="shared" si="247"/>
        <v>Mar</v>
      </c>
    </row>
    <row r="1961" spans="1:18" x14ac:dyDescent="0.3">
      <c r="A1961" t="s">
        <v>3568</v>
      </c>
      <c r="B1961" s="1">
        <v>45264</v>
      </c>
      <c r="C1961" t="s">
        <v>1252</v>
      </c>
      <c r="D1961" t="s">
        <v>1521</v>
      </c>
      <c r="E1961" t="s">
        <v>1551</v>
      </c>
      <c r="F1961">
        <v>2.5167481566785201</v>
      </c>
      <c r="G1961" s="14">
        <v>441.77469732574201</v>
      </c>
      <c r="H1961" s="17">
        <v>0.159449989960327</v>
      </c>
      <c r="I1961" t="s">
        <v>1609</v>
      </c>
      <c r="J1961" s="14">
        <v>937.20490436589603</v>
      </c>
      <c r="K1961" s="14">
        <f t="shared" si="240"/>
        <v>18689.883864673156</v>
      </c>
      <c r="L1961" s="14">
        <f t="shared" si="241"/>
        <v>20</v>
      </c>
      <c r="M1961" s="14" t="str">
        <f t="shared" si="242"/>
        <v>04-12-2023</v>
      </c>
      <c r="N1961" s="14">
        <f t="shared" si="243"/>
        <v>0.1595852313721188</v>
      </c>
      <c r="O1961" s="20">
        <f t="shared" si="244"/>
        <v>2.5172499406784641</v>
      </c>
      <c r="P1961" s="14">
        <f t="shared" si="245"/>
        <v>440.73943936413838</v>
      </c>
      <c r="Q1961" s="14">
        <f t="shared" si="246"/>
        <v>345.41394995956921</v>
      </c>
      <c r="R1961" s="14" t="str">
        <f t="shared" si="247"/>
        <v>Dec</v>
      </c>
    </row>
    <row r="1962" spans="1:18" x14ac:dyDescent="0.3">
      <c r="A1962" t="s">
        <v>3569</v>
      </c>
      <c r="B1962" s="1">
        <v>45486</v>
      </c>
      <c r="C1962" t="s">
        <v>264</v>
      </c>
      <c r="D1962" t="s">
        <v>1385</v>
      </c>
      <c r="E1962" t="s">
        <v>1598</v>
      </c>
      <c r="F1962">
        <v>2.5167732458785101</v>
      </c>
      <c r="G1962" s="14">
        <v>441.72293442766102</v>
      </c>
      <c r="H1962" s="17">
        <v>0.159456752030916</v>
      </c>
      <c r="I1962" t="s">
        <v>1614</v>
      </c>
      <c r="J1962" s="14">
        <v>937.09690790644504</v>
      </c>
      <c r="K1962" s="14">
        <f t="shared" si="240"/>
        <v>17752.678960307261</v>
      </c>
      <c r="L1962" s="14">
        <f t="shared" si="241"/>
        <v>19</v>
      </c>
      <c r="M1962" s="14" t="str">
        <f t="shared" si="242"/>
        <v>13-07-2024</v>
      </c>
      <c r="N1962" s="14">
        <f t="shared" si="243"/>
        <v>0.15958861240741359</v>
      </c>
      <c r="O1962" s="20">
        <f t="shared" si="244"/>
        <v>2.5172624852784629</v>
      </c>
      <c r="P1962" s="14">
        <f t="shared" si="245"/>
        <v>440.71355791509831</v>
      </c>
      <c r="Q1962" s="14">
        <f t="shared" si="246"/>
        <v>345.37401808300388</v>
      </c>
      <c r="R1962" s="14" t="str">
        <f t="shared" si="247"/>
        <v>Jul</v>
      </c>
    </row>
    <row r="1963" spans="1:18" x14ac:dyDescent="0.3">
      <c r="A1963" t="s">
        <v>3570</v>
      </c>
      <c r="B1963" s="1">
        <v>45241</v>
      </c>
      <c r="C1963" t="s">
        <v>954</v>
      </c>
      <c r="D1963" t="s">
        <v>1379</v>
      </c>
      <c r="E1963" t="s">
        <v>1567</v>
      </c>
      <c r="F1963">
        <v>2.5167983350785099</v>
      </c>
      <c r="G1963" s="14">
        <v>441.67117152958099</v>
      </c>
      <c r="H1963" s="17">
        <v>0.159463514101506</v>
      </c>
      <c r="I1963" t="s">
        <v>1611</v>
      </c>
      <c r="J1963" s="14">
        <v>936.98891144699303</v>
      </c>
      <c r="K1963" s="14">
        <f t="shared" si="240"/>
        <v>17752.678960307261</v>
      </c>
      <c r="L1963" s="14">
        <f t="shared" si="241"/>
        <v>19</v>
      </c>
      <c r="M1963" s="14" t="str">
        <f t="shared" si="242"/>
        <v>11-11-2023</v>
      </c>
      <c r="N1963" s="14">
        <f t="shared" si="243"/>
        <v>0.15959199344270841</v>
      </c>
      <c r="O1963" s="20">
        <f t="shared" si="244"/>
        <v>2.5172750298784616</v>
      </c>
      <c r="P1963" s="14">
        <f t="shared" si="245"/>
        <v>440.68767646605818</v>
      </c>
      <c r="Q1963" s="14">
        <f t="shared" si="246"/>
        <v>345.33408620643854</v>
      </c>
      <c r="R1963" s="14" t="str">
        <f t="shared" si="247"/>
        <v>Nov</v>
      </c>
    </row>
    <row r="1964" spans="1:18" x14ac:dyDescent="0.3">
      <c r="A1964" t="s">
        <v>3571</v>
      </c>
      <c r="B1964" s="1">
        <v>45649</v>
      </c>
      <c r="C1964" t="s">
        <v>1053</v>
      </c>
      <c r="D1964" t="s">
        <v>1391</v>
      </c>
      <c r="E1964" t="s">
        <v>1571</v>
      </c>
      <c r="F1964">
        <v>2.5168234242785101</v>
      </c>
      <c r="G1964" s="14">
        <v>441.61940863150102</v>
      </c>
      <c r="H1964" s="17">
        <v>0.159470276172095</v>
      </c>
      <c r="I1964" t="s">
        <v>1611</v>
      </c>
      <c r="J1964" s="14">
        <v>936.88091498754102</v>
      </c>
      <c r="K1964" s="14">
        <f t="shared" si="240"/>
        <v>17752.678960307261</v>
      </c>
      <c r="L1964" s="14">
        <f t="shared" si="241"/>
        <v>19</v>
      </c>
      <c r="M1964" s="14" t="str">
        <f t="shared" si="242"/>
        <v>23-12-2024</v>
      </c>
      <c r="N1964" s="14">
        <f t="shared" si="243"/>
        <v>0.1595953744780032</v>
      </c>
      <c r="O1964" s="20">
        <f t="shared" si="244"/>
        <v>2.5172875744784604</v>
      </c>
      <c r="P1964" s="14">
        <f t="shared" si="245"/>
        <v>440.66179501701805</v>
      </c>
      <c r="Q1964" s="14">
        <f t="shared" si="246"/>
        <v>345.29415432987315</v>
      </c>
      <c r="R1964" s="14" t="str">
        <f t="shared" si="247"/>
        <v>Dec</v>
      </c>
    </row>
    <row r="1965" spans="1:18" x14ac:dyDescent="0.3">
      <c r="A1965" t="s">
        <v>3572</v>
      </c>
      <c r="B1965" s="1">
        <v>45677</v>
      </c>
      <c r="C1965" t="s">
        <v>304</v>
      </c>
      <c r="D1965" t="s">
        <v>1399</v>
      </c>
      <c r="E1965" t="s">
        <v>1592</v>
      </c>
      <c r="F1965">
        <v>2.5168485134785099</v>
      </c>
      <c r="G1965" s="14">
        <v>441.56764573342099</v>
      </c>
      <c r="H1965" s="17">
        <v>0.159477038242685</v>
      </c>
      <c r="I1965" t="s">
        <v>1611</v>
      </c>
      <c r="J1965" s="14">
        <v>936.77291852809003</v>
      </c>
      <c r="K1965" s="14">
        <f t="shared" si="240"/>
        <v>17752.678960307261</v>
      </c>
      <c r="L1965" s="14">
        <f t="shared" si="241"/>
        <v>19</v>
      </c>
      <c r="M1965" s="14" t="str">
        <f t="shared" si="242"/>
        <v>20-01-2025</v>
      </c>
      <c r="N1965" s="14">
        <f t="shared" si="243"/>
        <v>0.15959875551329802</v>
      </c>
      <c r="O1965" s="20">
        <f t="shared" si="244"/>
        <v>2.5173001190784592</v>
      </c>
      <c r="P1965" s="14">
        <f t="shared" si="245"/>
        <v>440.63591356797809</v>
      </c>
      <c r="Q1965" s="14">
        <f t="shared" si="246"/>
        <v>345.25422245330805</v>
      </c>
      <c r="R1965" s="14" t="str">
        <f t="shared" si="247"/>
        <v>Jan</v>
      </c>
    </row>
    <row r="1966" spans="1:18" x14ac:dyDescent="0.3">
      <c r="A1966" t="s">
        <v>3573</v>
      </c>
      <c r="B1966" s="1">
        <v>45538</v>
      </c>
      <c r="C1966" t="s">
        <v>663</v>
      </c>
      <c r="D1966" t="s">
        <v>1419</v>
      </c>
      <c r="E1966" t="s">
        <v>1579</v>
      </c>
      <c r="F1966">
        <v>2.5168736026784999</v>
      </c>
      <c r="G1966" s="14">
        <v>441.51588283534102</v>
      </c>
      <c r="H1966" s="17">
        <v>0.159483800313275</v>
      </c>
      <c r="I1966" t="s">
        <v>1614</v>
      </c>
      <c r="J1966" s="14">
        <v>936.66492206863802</v>
      </c>
      <c r="K1966" s="14">
        <f t="shared" si="240"/>
        <v>17752.678960307261</v>
      </c>
      <c r="L1966" s="14">
        <f t="shared" si="241"/>
        <v>19</v>
      </c>
      <c r="M1966" s="14" t="str">
        <f t="shared" si="242"/>
        <v>03-09-2024</v>
      </c>
      <c r="N1966" s="14">
        <f t="shared" si="243"/>
        <v>0.15960213654859282</v>
      </c>
      <c r="O1966" s="20">
        <f t="shared" si="244"/>
        <v>2.5173126636784575</v>
      </c>
      <c r="P1966" s="14">
        <f t="shared" si="245"/>
        <v>440.61003211893797</v>
      </c>
      <c r="Q1966" s="14">
        <f t="shared" si="246"/>
        <v>345.21429057674271</v>
      </c>
      <c r="R1966" s="14" t="str">
        <f t="shared" si="247"/>
        <v>Sep</v>
      </c>
    </row>
    <row r="1967" spans="1:18" x14ac:dyDescent="0.3">
      <c r="A1967" t="s">
        <v>3574</v>
      </c>
      <c r="B1967" s="1">
        <v>45606</v>
      </c>
      <c r="C1967" t="s">
        <v>1291</v>
      </c>
      <c r="D1967" t="s">
        <v>1451</v>
      </c>
      <c r="E1967" t="s">
        <v>1567</v>
      </c>
      <c r="F1967">
        <v>2.5168986918785001</v>
      </c>
      <c r="G1967" s="14">
        <v>441.46411993726099</v>
      </c>
      <c r="H1967" s="17">
        <v>0.159490562383864</v>
      </c>
      <c r="I1967" t="s">
        <v>1611</v>
      </c>
      <c r="J1967" s="14">
        <v>936.55692560918601</v>
      </c>
      <c r="K1967" s="14">
        <f t="shared" si="240"/>
        <v>17752.678960307261</v>
      </c>
      <c r="L1967" s="14">
        <f t="shared" si="241"/>
        <v>19</v>
      </c>
      <c r="M1967" s="14" t="str">
        <f t="shared" si="242"/>
        <v>10-11-2024</v>
      </c>
      <c r="N1967" s="14">
        <f t="shared" si="243"/>
        <v>0.15960551758388761</v>
      </c>
      <c r="O1967" s="20">
        <f t="shared" si="244"/>
        <v>2.5173252082784563</v>
      </c>
      <c r="P1967" s="14">
        <f t="shared" si="245"/>
        <v>440.58415066989784</v>
      </c>
      <c r="Q1967" s="14">
        <f t="shared" si="246"/>
        <v>345.17435870017732</v>
      </c>
      <c r="R1967" s="14" t="str">
        <f t="shared" si="247"/>
        <v>Nov</v>
      </c>
    </row>
    <row r="1968" spans="1:18" x14ac:dyDescent="0.3">
      <c r="A1968" t="s">
        <v>3575</v>
      </c>
      <c r="B1968" s="1">
        <v>45570</v>
      </c>
      <c r="C1968" t="s">
        <v>258</v>
      </c>
      <c r="D1968" t="s">
        <v>1489</v>
      </c>
      <c r="E1968" t="s">
        <v>1589</v>
      </c>
      <c r="F1968">
        <v>2.5169237810784999</v>
      </c>
      <c r="G1968" s="14">
        <v>441.41235703917999</v>
      </c>
      <c r="H1968" s="17">
        <v>0.159497324454454</v>
      </c>
      <c r="I1968" t="s">
        <v>1611</v>
      </c>
      <c r="J1968" s="14">
        <v>936.448929149734</v>
      </c>
      <c r="K1968" s="14">
        <f t="shared" si="240"/>
        <v>17752.678960307261</v>
      </c>
      <c r="L1968" s="14">
        <f t="shared" si="241"/>
        <v>19</v>
      </c>
      <c r="M1968" s="14" t="str">
        <f t="shared" si="242"/>
        <v>05-10-2024</v>
      </c>
      <c r="N1968" s="14">
        <f t="shared" si="243"/>
        <v>0.15960889861918243</v>
      </c>
      <c r="O1968" s="20">
        <f t="shared" si="244"/>
        <v>2.5173377528784551</v>
      </c>
      <c r="P1968" s="14">
        <f t="shared" si="245"/>
        <v>440.55826922085777</v>
      </c>
      <c r="Q1968" s="14">
        <f t="shared" si="246"/>
        <v>345.13442682361176</v>
      </c>
      <c r="R1968" s="14" t="str">
        <f t="shared" si="247"/>
        <v>Oct</v>
      </c>
    </row>
    <row r="1969" spans="1:18" x14ac:dyDescent="0.3">
      <c r="A1969" t="s">
        <v>3576</v>
      </c>
      <c r="B1969" s="1">
        <v>45466</v>
      </c>
      <c r="C1969" t="s">
        <v>44</v>
      </c>
      <c r="D1969" t="s">
        <v>1393</v>
      </c>
      <c r="E1969" t="s">
        <v>1577</v>
      </c>
      <c r="F1969">
        <v>2.5169488702785001</v>
      </c>
      <c r="G1969" s="14">
        <v>441.36059414110002</v>
      </c>
      <c r="H1969" s="17">
        <v>0.159504086525043</v>
      </c>
      <c r="I1969" t="s">
        <v>1611</v>
      </c>
      <c r="J1969" s="14">
        <v>936.34093269028301</v>
      </c>
      <c r="K1969" s="14">
        <f t="shared" si="240"/>
        <v>17752.678960307261</v>
      </c>
      <c r="L1969" s="14">
        <f t="shared" si="241"/>
        <v>19</v>
      </c>
      <c r="M1969" s="14" t="str">
        <f t="shared" si="242"/>
        <v>23-06-2024</v>
      </c>
      <c r="N1969" s="14">
        <f t="shared" si="243"/>
        <v>0.15961227965447722</v>
      </c>
      <c r="O1969" s="20">
        <f t="shared" si="244"/>
        <v>2.5173502974784534</v>
      </c>
      <c r="P1969" s="14">
        <f t="shared" si="245"/>
        <v>440.53238777181764</v>
      </c>
      <c r="Q1969" s="14">
        <f t="shared" si="246"/>
        <v>345.09449494704666</v>
      </c>
      <c r="R1969" s="14" t="str">
        <f t="shared" si="247"/>
        <v>Jun</v>
      </c>
    </row>
    <row r="1970" spans="1:18" x14ac:dyDescent="0.3">
      <c r="A1970" t="s">
        <v>3577</v>
      </c>
      <c r="B1970" s="1">
        <v>45218</v>
      </c>
      <c r="C1970" t="s">
        <v>663</v>
      </c>
      <c r="D1970" t="s">
        <v>1421</v>
      </c>
      <c r="E1970" t="s">
        <v>1592</v>
      </c>
      <c r="F1970">
        <v>2.5169739594784901</v>
      </c>
      <c r="G1970" s="14">
        <v>441.30883124301999</v>
      </c>
      <c r="H1970" s="17">
        <v>0.159510848595633</v>
      </c>
      <c r="I1970" t="s">
        <v>1609</v>
      </c>
      <c r="J1970" s="14">
        <v>936.232936230831</v>
      </c>
      <c r="K1970" s="14">
        <f t="shared" si="240"/>
        <v>17752.678960307261</v>
      </c>
      <c r="L1970" s="14">
        <f t="shared" si="241"/>
        <v>19</v>
      </c>
      <c r="M1970" s="14" t="str">
        <f t="shared" si="242"/>
        <v>19-10-2023</v>
      </c>
      <c r="N1970" s="14">
        <f t="shared" si="243"/>
        <v>0.15961566068977204</v>
      </c>
      <c r="O1970" s="20">
        <f t="shared" si="244"/>
        <v>2.5173628420784522</v>
      </c>
      <c r="P1970" s="14">
        <f t="shared" si="245"/>
        <v>440.50650632277757</v>
      </c>
      <c r="Q1970" s="14">
        <f t="shared" si="246"/>
        <v>345.05456307048127</v>
      </c>
      <c r="R1970" s="14" t="str">
        <f t="shared" si="247"/>
        <v>Oct</v>
      </c>
    </row>
    <row r="1971" spans="1:18" x14ac:dyDescent="0.3">
      <c r="A1971" t="s">
        <v>3578</v>
      </c>
      <c r="B1971" s="1">
        <v>45607</v>
      </c>
      <c r="C1971" t="s">
        <v>1241</v>
      </c>
      <c r="D1971" t="s">
        <v>1375</v>
      </c>
      <c r="E1971" t="s">
        <v>1589</v>
      </c>
      <c r="F1971">
        <v>2.5169990486784899</v>
      </c>
      <c r="G1971" s="14">
        <v>441.25706834494002</v>
      </c>
      <c r="H1971" s="17">
        <v>0.159517610666223</v>
      </c>
      <c r="I1971" t="s">
        <v>1614</v>
      </c>
      <c r="J1971" s="14">
        <v>936.12493977137899</v>
      </c>
      <c r="K1971" s="14">
        <f t="shared" si="240"/>
        <v>16816.446024076431</v>
      </c>
      <c r="L1971" s="14">
        <f t="shared" si="241"/>
        <v>18</v>
      </c>
      <c r="M1971" s="14" t="str">
        <f t="shared" si="242"/>
        <v>11-11-2024</v>
      </c>
      <c r="N1971" s="14">
        <f t="shared" si="243"/>
        <v>0.15961904172506686</v>
      </c>
      <c r="O1971" s="20">
        <f t="shared" si="244"/>
        <v>2.517375386678451</v>
      </c>
      <c r="P1971" s="14">
        <f t="shared" si="245"/>
        <v>440.4806248737375</v>
      </c>
      <c r="Q1971" s="14">
        <f t="shared" si="246"/>
        <v>345.01463119391593</v>
      </c>
      <c r="R1971" s="14" t="str">
        <f t="shared" si="247"/>
        <v>Nov</v>
      </c>
    </row>
    <row r="1972" spans="1:18" x14ac:dyDescent="0.3">
      <c r="A1972" t="s">
        <v>3579</v>
      </c>
      <c r="B1972" s="1">
        <v>45291</v>
      </c>
      <c r="C1972" t="s">
        <v>258</v>
      </c>
      <c r="D1972" t="s">
        <v>1437</v>
      </c>
      <c r="E1972" t="s">
        <v>1571</v>
      </c>
      <c r="F1972">
        <v>2.5170241378784901</v>
      </c>
      <c r="G1972" s="14">
        <v>441.20530544686</v>
      </c>
      <c r="H1972" s="17">
        <v>0.159524372736812</v>
      </c>
      <c r="I1972" t="s">
        <v>1611</v>
      </c>
      <c r="J1972" s="14">
        <v>936.01694331192698</v>
      </c>
      <c r="K1972" s="14">
        <f t="shared" si="240"/>
        <v>16816.446024076431</v>
      </c>
      <c r="L1972" s="14">
        <f t="shared" si="241"/>
        <v>18</v>
      </c>
      <c r="M1972" s="14" t="str">
        <f t="shared" si="242"/>
        <v>31-12-2023</v>
      </c>
      <c r="N1972" s="14">
        <f t="shared" si="243"/>
        <v>0.15962242276036168</v>
      </c>
      <c r="O1972" s="20">
        <f t="shared" si="244"/>
        <v>2.5173879312784493</v>
      </c>
      <c r="P1972" s="14">
        <f t="shared" si="245"/>
        <v>440.45474342469737</v>
      </c>
      <c r="Q1972" s="14">
        <f t="shared" si="246"/>
        <v>344.97469931735054</v>
      </c>
      <c r="R1972" s="14" t="str">
        <f t="shared" si="247"/>
        <v>Dec</v>
      </c>
    </row>
    <row r="1973" spans="1:18" x14ac:dyDescent="0.3">
      <c r="A1973" t="s">
        <v>3580</v>
      </c>
      <c r="B1973" s="1">
        <v>45689</v>
      </c>
      <c r="C1973" t="s">
        <v>481</v>
      </c>
      <c r="D1973" t="s">
        <v>1471</v>
      </c>
      <c r="E1973" t="s">
        <v>1564</v>
      </c>
      <c r="F1973">
        <v>2.5170492270784801</v>
      </c>
      <c r="G1973" s="14">
        <v>441.15354254878002</v>
      </c>
      <c r="H1973" s="17">
        <v>0.159531134807402</v>
      </c>
      <c r="I1973" t="s">
        <v>1609</v>
      </c>
      <c r="J1973" s="14">
        <v>935.90894685247599</v>
      </c>
      <c r="K1973" s="14">
        <f t="shared" si="240"/>
        <v>16816.446024076431</v>
      </c>
      <c r="L1973" s="14">
        <f t="shared" si="241"/>
        <v>18</v>
      </c>
      <c r="M1973" s="14" t="str">
        <f t="shared" si="242"/>
        <v>01-02-2025</v>
      </c>
      <c r="N1973" s="14">
        <f t="shared" si="243"/>
        <v>0.1596258037956565</v>
      </c>
      <c r="O1973" s="20">
        <f t="shared" si="244"/>
        <v>2.5174004758784481</v>
      </c>
      <c r="P1973" s="14">
        <f t="shared" si="245"/>
        <v>440.4288619756573</v>
      </c>
      <c r="Q1973" s="14">
        <f t="shared" si="246"/>
        <v>344.93476744078549</v>
      </c>
      <c r="R1973" s="14" t="str">
        <f t="shared" si="247"/>
        <v>Feb</v>
      </c>
    </row>
    <row r="1974" spans="1:18" x14ac:dyDescent="0.3">
      <c r="A1974" t="s">
        <v>3581</v>
      </c>
      <c r="B1974" s="1">
        <v>45894</v>
      </c>
      <c r="C1974" t="s">
        <v>499</v>
      </c>
      <c r="D1974" t="s">
        <v>1511</v>
      </c>
      <c r="E1974" t="s">
        <v>1561</v>
      </c>
      <c r="F1974">
        <v>2.5170743162784799</v>
      </c>
      <c r="G1974" s="14">
        <v>441.10177965069897</v>
      </c>
      <c r="H1974" s="17">
        <v>0.159537896877992</v>
      </c>
      <c r="I1974" t="s">
        <v>1609</v>
      </c>
      <c r="J1974" s="14">
        <v>935.80095039302398</v>
      </c>
      <c r="K1974" s="14">
        <f t="shared" si="240"/>
        <v>15880.537077223953</v>
      </c>
      <c r="L1974" s="14">
        <f t="shared" si="241"/>
        <v>17</v>
      </c>
      <c r="M1974" s="14" t="str">
        <f t="shared" si="242"/>
        <v>25-08-2025</v>
      </c>
      <c r="N1974" s="14">
        <f t="shared" si="243"/>
        <v>0.15962918483095129</v>
      </c>
      <c r="O1974" s="20">
        <f t="shared" si="244"/>
        <v>2.5174130204784468</v>
      </c>
      <c r="P1974" s="14">
        <f t="shared" si="245"/>
        <v>440.40298052661728</v>
      </c>
      <c r="Q1974" s="14">
        <f t="shared" si="246"/>
        <v>344.89483556421987</v>
      </c>
      <c r="R1974" s="14" t="str">
        <f t="shared" si="247"/>
        <v>Aug</v>
      </c>
    </row>
    <row r="1975" spans="1:18" x14ac:dyDescent="0.3">
      <c r="A1975" t="s">
        <v>3582</v>
      </c>
      <c r="B1975" s="1">
        <v>45677</v>
      </c>
      <c r="C1975" t="s">
        <v>1020</v>
      </c>
      <c r="D1975" t="s">
        <v>1373</v>
      </c>
      <c r="E1975" t="s">
        <v>1567</v>
      </c>
      <c r="F1975">
        <v>2.5170994054784801</v>
      </c>
      <c r="G1975" s="14">
        <v>441.050016752619</v>
      </c>
      <c r="H1975" s="17">
        <v>0.159544658948581</v>
      </c>
      <c r="I1975" t="s">
        <v>1614</v>
      </c>
      <c r="J1975" s="14">
        <v>935.69295393357197</v>
      </c>
      <c r="K1975" s="14">
        <f t="shared" si="240"/>
        <v>14944.736126830927</v>
      </c>
      <c r="L1975" s="14">
        <f t="shared" si="241"/>
        <v>16</v>
      </c>
      <c r="M1975" s="14" t="str">
        <f t="shared" si="242"/>
        <v>20-01-2025</v>
      </c>
      <c r="N1975" s="14">
        <f t="shared" si="243"/>
        <v>0.15963256586624605</v>
      </c>
      <c r="O1975" s="20">
        <f t="shared" si="244"/>
        <v>2.5174255650784456</v>
      </c>
      <c r="P1975" s="14">
        <f t="shared" si="245"/>
        <v>440.37709907757716</v>
      </c>
      <c r="Q1975" s="14">
        <f t="shared" si="246"/>
        <v>344.85490368765448</v>
      </c>
      <c r="R1975" s="14" t="str">
        <f t="shared" si="247"/>
        <v>Jan</v>
      </c>
    </row>
    <row r="1976" spans="1:18" x14ac:dyDescent="0.3">
      <c r="A1976" t="s">
        <v>3583</v>
      </c>
      <c r="B1976" s="1">
        <v>45706</v>
      </c>
      <c r="C1976" t="s">
        <v>341</v>
      </c>
      <c r="D1976" t="s">
        <v>1413</v>
      </c>
      <c r="E1976" t="s">
        <v>1574</v>
      </c>
      <c r="F1976">
        <v>2.5171244946784799</v>
      </c>
      <c r="G1976" s="14">
        <v>440.99825385453897</v>
      </c>
      <c r="H1976" s="17">
        <v>0.159551421019171</v>
      </c>
      <c r="I1976" t="s">
        <v>1609</v>
      </c>
      <c r="J1976" s="14">
        <v>935.58495747411996</v>
      </c>
      <c r="K1976" s="14">
        <f t="shared" si="240"/>
        <v>14944.736126830927</v>
      </c>
      <c r="L1976" s="14">
        <f t="shared" si="241"/>
        <v>16</v>
      </c>
      <c r="M1976" s="14" t="str">
        <f t="shared" si="242"/>
        <v>18-02-2025</v>
      </c>
      <c r="N1976" s="14">
        <f t="shared" si="243"/>
        <v>0.1596359469015409</v>
      </c>
      <c r="O1976" s="20">
        <f t="shared" si="244"/>
        <v>2.5174381096784444</v>
      </c>
      <c r="P1976" s="14">
        <f t="shared" si="245"/>
        <v>440.35121762853709</v>
      </c>
      <c r="Q1976" s="14">
        <f t="shared" si="246"/>
        <v>344.81497181108915</v>
      </c>
      <c r="R1976" s="14" t="str">
        <f t="shared" si="247"/>
        <v>Feb</v>
      </c>
    </row>
    <row r="1977" spans="1:18" x14ac:dyDescent="0.3">
      <c r="A1977" t="s">
        <v>3584</v>
      </c>
      <c r="B1977" s="1">
        <v>45589</v>
      </c>
      <c r="C1977" t="s">
        <v>1237</v>
      </c>
      <c r="D1977" t="s">
        <v>1431</v>
      </c>
      <c r="E1977" t="s">
        <v>1577</v>
      </c>
      <c r="F1977">
        <v>2.5171495838784699</v>
      </c>
      <c r="G1977" s="14">
        <v>440.946490956459</v>
      </c>
      <c r="H1977" s="17">
        <v>0.15955818308976</v>
      </c>
      <c r="I1977" t="s">
        <v>1614</v>
      </c>
      <c r="J1977" s="14">
        <v>935.47696101466897</v>
      </c>
      <c r="K1977" s="14">
        <f t="shared" si="240"/>
        <v>14009.151169356808</v>
      </c>
      <c r="L1977" s="14">
        <f t="shared" si="241"/>
        <v>15</v>
      </c>
      <c r="M1977" s="14" t="str">
        <f t="shared" si="242"/>
        <v>24-10-2024</v>
      </c>
      <c r="N1977" s="14">
        <f t="shared" si="243"/>
        <v>0.15963932793683569</v>
      </c>
      <c r="O1977" s="20">
        <f t="shared" si="244"/>
        <v>2.5174506542784436</v>
      </c>
      <c r="P1977" s="14">
        <f t="shared" si="245"/>
        <v>440.32533617949707</v>
      </c>
      <c r="Q1977" s="14">
        <f t="shared" si="246"/>
        <v>344.77503993452405</v>
      </c>
      <c r="R1977" s="14" t="str">
        <f t="shared" si="247"/>
        <v>Oct</v>
      </c>
    </row>
    <row r="1978" spans="1:18" x14ac:dyDescent="0.3">
      <c r="A1978" t="s">
        <v>3585</v>
      </c>
      <c r="B1978" s="1">
        <v>45282</v>
      </c>
      <c r="C1978" t="s">
        <v>292</v>
      </c>
      <c r="D1978" t="s">
        <v>1401</v>
      </c>
      <c r="E1978" t="s">
        <v>1561</v>
      </c>
      <c r="F1978">
        <v>2.5171746730784701</v>
      </c>
      <c r="G1978" s="14">
        <v>440.89472805837897</v>
      </c>
      <c r="H1978" s="17">
        <v>0.15956494516035</v>
      </c>
      <c r="I1978" t="s">
        <v>1611</v>
      </c>
      <c r="J1978" s="14">
        <v>935.36896455521696</v>
      </c>
      <c r="K1978" s="14">
        <f t="shared" si="240"/>
        <v>14009.151169356808</v>
      </c>
      <c r="L1978" s="14">
        <f t="shared" si="241"/>
        <v>15</v>
      </c>
      <c r="M1978" s="14" t="str">
        <f t="shared" si="242"/>
        <v>22-12-2023</v>
      </c>
      <c r="N1978" s="14">
        <f t="shared" si="243"/>
        <v>0.15964270897213051</v>
      </c>
      <c r="O1978" s="20">
        <f t="shared" si="244"/>
        <v>2.5174631988784424</v>
      </c>
      <c r="P1978" s="14">
        <f t="shared" si="245"/>
        <v>440.299454730457</v>
      </c>
      <c r="Q1978" s="14">
        <f t="shared" si="246"/>
        <v>344.73510805795866</v>
      </c>
      <c r="R1978" s="14" t="str">
        <f t="shared" si="247"/>
        <v>Dec</v>
      </c>
    </row>
    <row r="1979" spans="1:18" x14ac:dyDescent="0.3">
      <c r="A1979" t="s">
        <v>3586</v>
      </c>
      <c r="B1979" s="1">
        <v>45462</v>
      </c>
      <c r="C1979" t="s">
        <v>1288</v>
      </c>
      <c r="D1979" t="s">
        <v>1427</v>
      </c>
      <c r="E1979" t="s">
        <v>1584</v>
      </c>
      <c r="F1979">
        <v>2.5171997622784699</v>
      </c>
      <c r="G1979" s="14">
        <v>440.842965160299</v>
      </c>
      <c r="H1979" s="17">
        <v>0.15957170723094</v>
      </c>
      <c r="I1979" t="s">
        <v>1609</v>
      </c>
      <c r="J1979" s="14">
        <v>935.26096809576495</v>
      </c>
      <c r="K1979" s="14">
        <f t="shared" si="240"/>
        <v>14009.151169356808</v>
      </c>
      <c r="L1979" s="14">
        <f t="shared" si="241"/>
        <v>15</v>
      </c>
      <c r="M1979" s="14" t="str">
        <f t="shared" si="242"/>
        <v>19-06-2024</v>
      </c>
      <c r="N1979" s="14">
        <f t="shared" si="243"/>
        <v>0.1596460900074253</v>
      </c>
      <c r="O1979" s="20">
        <f t="shared" si="244"/>
        <v>2.5174757434784412</v>
      </c>
      <c r="P1979" s="14">
        <f t="shared" si="245"/>
        <v>440.27357328141699</v>
      </c>
      <c r="Q1979" s="14">
        <f t="shared" si="246"/>
        <v>344.69517618139332</v>
      </c>
      <c r="R1979" s="14" t="str">
        <f t="shared" si="247"/>
        <v>Jun</v>
      </c>
    </row>
    <row r="1980" spans="1:18" x14ac:dyDescent="0.3">
      <c r="A1980" t="s">
        <v>3587</v>
      </c>
      <c r="B1980" s="1">
        <v>45633</v>
      </c>
      <c r="C1980" t="s">
        <v>1225</v>
      </c>
      <c r="D1980" t="s">
        <v>1363</v>
      </c>
      <c r="E1980" t="s">
        <v>1564</v>
      </c>
      <c r="F1980">
        <v>2.5172248514784701</v>
      </c>
      <c r="G1980" s="14">
        <v>440.79120226221801</v>
      </c>
      <c r="H1980" s="17">
        <v>0.159578469301529</v>
      </c>
      <c r="I1980" t="s">
        <v>1611</v>
      </c>
      <c r="J1980" s="14">
        <v>935.15297163631396</v>
      </c>
      <c r="K1980" s="14">
        <f t="shared" si="240"/>
        <v>13073.890201261043</v>
      </c>
      <c r="L1980" s="14">
        <f t="shared" si="241"/>
        <v>14</v>
      </c>
      <c r="M1980" s="14" t="str">
        <f t="shared" si="242"/>
        <v>07-12-2024</v>
      </c>
      <c r="N1980" s="14">
        <f t="shared" si="243"/>
        <v>0.15964947104272006</v>
      </c>
      <c r="O1980" s="20">
        <f t="shared" si="244"/>
        <v>2.5174882880784399</v>
      </c>
      <c r="P1980" s="14">
        <f t="shared" si="245"/>
        <v>440.2476918323768</v>
      </c>
      <c r="Q1980" s="14">
        <f t="shared" si="246"/>
        <v>344.65524430482799</v>
      </c>
      <c r="R1980" s="14" t="str">
        <f t="shared" si="247"/>
        <v>Dec</v>
      </c>
    </row>
    <row r="1981" spans="1:18" x14ac:dyDescent="0.3">
      <c r="A1981" t="s">
        <v>3588</v>
      </c>
      <c r="B1981" s="1">
        <v>45257</v>
      </c>
      <c r="C1981" t="s">
        <v>1148</v>
      </c>
      <c r="D1981" t="s">
        <v>1511</v>
      </c>
      <c r="E1981" t="s">
        <v>1577</v>
      </c>
      <c r="F1981">
        <v>2.5172499406784601</v>
      </c>
      <c r="G1981" s="14">
        <v>440.73943936413798</v>
      </c>
      <c r="H1981" s="17">
        <v>0.159585231372119</v>
      </c>
      <c r="I1981" t="s">
        <v>1611</v>
      </c>
      <c r="J1981" s="14">
        <v>935.04497517686195</v>
      </c>
      <c r="K1981" s="14">
        <f t="shared" si="240"/>
        <v>13073.890201261043</v>
      </c>
      <c r="L1981" s="14">
        <f t="shared" si="241"/>
        <v>14</v>
      </c>
      <c r="M1981" s="14" t="str">
        <f t="shared" si="242"/>
        <v>27-11-2023</v>
      </c>
      <c r="N1981" s="14">
        <f t="shared" si="243"/>
        <v>0.15965285207801494</v>
      </c>
      <c r="O1981" s="20">
        <f t="shared" si="244"/>
        <v>2.5175008326784383</v>
      </c>
      <c r="P1981" s="14">
        <f t="shared" si="245"/>
        <v>440.22181038333667</v>
      </c>
      <c r="Q1981" s="14">
        <f t="shared" si="246"/>
        <v>344.61531242826265</v>
      </c>
      <c r="R1981" s="14" t="str">
        <f t="shared" si="247"/>
        <v>Nov</v>
      </c>
    </row>
    <row r="1982" spans="1:18" x14ac:dyDescent="0.3">
      <c r="A1982" t="s">
        <v>3589</v>
      </c>
      <c r="B1982" s="1">
        <v>45854</v>
      </c>
      <c r="C1982" t="s">
        <v>1229</v>
      </c>
      <c r="D1982" t="s">
        <v>1395</v>
      </c>
      <c r="E1982" t="s">
        <v>1574</v>
      </c>
      <c r="F1982">
        <v>2.5172750298784599</v>
      </c>
      <c r="G1982" s="14">
        <v>440.68767646605801</v>
      </c>
      <c r="H1982" s="17">
        <v>0.159591993442708</v>
      </c>
      <c r="I1982" t="s">
        <v>1614</v>
      </c>
      <c r="J1982" s="14">
        <v>934.93697871741006</v>
      </c>
      <c r="K1982" s="14">
        <f t="shared" si="240"/>
        <v>13073.890201261043</v>
      </c>
      <c r="L1982" s="14">
        <f t="shared" si="241"/>
        <v>14</v>
      </c>
      <c r="M1982" s="14" t="str">
        <f t="shared" si="242"/>
        <v>16-07-2025</v>
      </c>
      <c r="N1982" s="14">
        <f t="shared" si="243"/>
        <v>0.1596562331133097</v>
      </c>
      <c r="O1982" s="20">
        <f t="shared" si="244"/>
        <v>2.517513377278437</v>
      </c>
      <c r="P1982" s="14">
        <f t="shared" si="245"/>
        <v>440.1959289342966</v>
      </c>
      <c r="Q1982" s="14">
        <f t="shared" si="246"/>
        <v>344.57538055169732</v>
      </c>
      <c r="R1982" s="14" t="str">
        <f t="shared" si="247"/>
        <v>Jul</v>
      </c>
    </row>
    <row r="1983" spans="1:18" x14ac:dyDescent="0.3">
      <c r="A1983" t="s">
        <v>3590</v>
      </c>
      <c r="B1983" s="1">
        <v>45716</v>
      </c>
      <c r="C1983" t="s">
        <v>767</v>
      </c>
      <c r="D1983" t="s">
        <v>1371</v>
      </c>
      <c r="E1983" t="s">
        <v>1564</v>
      </c>
      <c r="F1983">
        <v>2.5173001190784601</v>
      </c>
      <c r="G1983" s="14">
        <v>440.63591356797798</v>
      </c>
      <c r="H1983" s="17">
        <v>0.159598755513298</v>
      </c>
      <c r="I1983" t="s">
        <v>1611</v>
      </c>
      <c r="J1983" s="14">
        <v>934.82898225795805</v>
      </c>
      <c r="K1983" s="14">
        <f t="shared" si="240"/>
        <v>13073.890201261043</v>
      </c>
      <c r="L1983" s="14">
        <f t="shared" si="241"/>
        <v>14</v>
      </c>
      <c r="M1983" s="14" t="str">
        <f t="shared" si="242"/>
        <v>28-02-2025</v>
      </c>
      <c r="N1983" s="14">
        <f t="shared" si="243"/>
        <v>0.15965961414860455</v>
      </c>
      <c r="O1983" s="20">
        <f t="shared" si="244"/>
        <v>2.5175259218784363</v>
      </c>
      <c r="P1983" s="14">
        <f t="shared" si="245"/>
        <v>440.17004748525659</v>
      </c>
      <c r="Q1983" s="14">
        <f t="shared" si="246"/>
        <v>344.53544867513193</v>
      </c>
      <c r="R1983" s="14" t="str">
        <f t="shared" si="247"/>
        <v>Feb</v>
      </c>
    </row>
    <row r="1984" spans="1:18" x14ac:dyDescent="0.3">
      <c r="A1984" t="s">
        <v>3591</v>
      </c>
      <c r="B1984" s="1">
        <v>45515</v>
      </c>
      <c r="C1984" t="s">
        <v>1285</v>
      </c>
      <c r="D1984" t="s">
        <v>1519</v>
      </c>
      <c r="E1984" t="s">
        <v>1589</v>
      </c>
      <c r="F1984">
        <v>2.5173252082784598</v>
      </c>
      <c r="G1984" s="14">
        <v>440.58415066989801</v>
      </c>
      <c r="H1984" s="17">
        <v>0.159605517583888</v>
      </c>
      <c r="I1984" t="s">
        <v>1609</v>
      </c>
      <c r="J1984" s="14">
        <v>934.72098579850694</v>
      </c>
      <c r="K1984" s="14">
        <f t="shared" si="240"/>
        <v>13073.890201261043</v>
      </c>
      <c r="L1984" s="14">
        <f t="shared" si="241"/>
        <v>14</v>
      </c>
      <c r="M1984" s="14" t="str">
        <f t="shared" si="242"/>
        <v>11-08-2024</v>
      </c>
      <c r="N1984" s="14">
        <f t="shared" si="243"/>
        <v>0.15966299518389931</v>
      </c>
      <c r="O1984" s="20">
        <f t="shared" si="244"/>
        <v>2.5175384664784346</v>
      </c>
      <c r="P1984" s="14">
        <f t="shared" si="245"/>
        <v>440.14416603621652</v>
      </c>
      <c r="Q1984" s="14">
        <f t="shared" si="246"/>
        <v>344.49551679856683</v>
      </c>
      <c r="R1984" s="14" t="str">
        <f t="shared" si="247"/>
        <v>Aug</v>
      </c>
    </row>
    <row r="1985" spans="1:18" x14ac:dyDescent="0.3">
      <c r="A1985" t="s">
        <v>3592</v>
      </c>
      <c r="B1985" s="1">
        <v>45927</v>
      </c>
      <c r="C1985" t="s">
        <v>435</v>
      </c>
      <c r="D1985" t="s">
        <v>1511</v>
      </c>
      <c r="E1985" t="s">
        <v>1579</v>
      </c>
      <c r="F1985">
        <v>2.5173502974784498</v>
      </c>
      <c r="G1985" s="14">
        <v>440.53238777181798</v>
      </c>
      <c r="H1985" s="17">
        <v>0.159612279654477</v>
      </c>
      <c r="I1985" t="s">
        <v>1609</v>
      </c>
      <c r="J1985" s="14">
        <v>934.61298933905505</v>
      </c>
      <c r="K1985" s="14">
        <f t="shared" si="240"/>
        <v>12139.169215462538</v>
      </c>
      <c r="L1985" s="14">
        <f t="shared" si="241"/>
        <v>13</v>
      </c>
      <c r="M1985" s="14" t="str">
        <f t="shared" si="242"/>
        <v>27-09-2025</v>
      </c>
      <c r="N1985" s="14">
        <f t="shared" si="243"/>
        <v>0.15966637621919411</v>
      </c>
      <c r="O1985" s="20">
        <f t="shared" si="244"/>
        <v>2.5175510110784334</v>
      </c>
      <c r="P1985" s="14">
        <f t="shared" si="245"/>
        <v>440.11828458717645</v>
      </c>
      <c r="Q1985" s="14">
        <f t="shared" si="246"/>
        <v>344.45558492200149</v>
      </c>
      <c r="R1985" s="14" t="str">
        <f t="shared" si="247"/>
        <v>Sep</v>
      </c>
    </row>
    <row r="1986" spans="1:18" x14ac:dyDescent="0.3">
      <c r="A1986" t="s">
        <v>3593</v>
      </c>
      <c r="B1986" s="1">
        <v>45914</v>
      </c>
      <c r="C1986" t="s">
        <v>815</v>
      </c>
      <c r="D1986" t="s">
        <v>1439</v>
      </c>
      <c r="E1986" t="s">
        <v>1574</v>
      </c>
      <c r="F1986">
        <v>2.5173753866784501</v>
      </c>
      <c r="G1986" s="14">
        <v>440.48062487373801</v>
      </c>
      <c r="H1986" s="17">
        <v>0.159619041725067</v>
      </c>
      <c r="I1986" t="s">
        <v>1609</v>
      </c>
      <c r="J1986">
        <v>934.50499287960304</v>
      </c>
      <c r="K1986" s="14">
        <f t="shared" ref="K1986:K2001" si="248">SUMIF(I1986:I3985,"Credit Card",J1986:J3985)</f>
        <v>11204.556226123483</v>
      </c>
      <c r="L1986" s="14">
        <f t="shared" ref="L1986:L2001" si="249">COUNTIF(I1986:I3985,"Credit Card")</f>
        <v>12</v>
      </c>
      <c r="M1986" s="14" t="str">
        <f t="shared" ref="M1986:M2001" si="250">TEXT(B1986:B3985,"dd-mm-yyyy")</f>
        <v>14-09-2025</v>
      </c>
      <c r="N1986" s="14">
        <f t="shared" ref="N1986:N2001" si="251">AVERAGE(H1986:H3985)</f>
        <v>0.15966975725448895</v>
      </c>
      <c r="O1986" s="20">
        <f t="shared" ref="O1986:O2001" si="252">AVERAGE(F1986:F3985)</f>
        <v>2.5175635556784322</v>
      </c>
      <c r="P1986" s="14">
        <f t="shared" ref="P1986:P2001" si="253">AVERAGE(G1986:G3985)</f>
        <v>440.09240313813632</v>
      </c>
      <c r="Q1986" s="14">
        <f t="shared" ref="Q1986:Q2001" si="254">AVERAGE(F1986,G1986,H1986,J1986)</f>
        <v>344.41565304543616</v>
      </c>
      <c r="R1986" s="14" t="str">
        <f t="shared" ref="R1986:R2001" si="255">TEXT(M1986,"mmm")</f>
        <v>Sep</v>
      </c>
    </row>
    <row r="1987" spans="1:18" x14ac:dyDescent="0.3">
      <c r="A1987" t="s">
        <v>3594</v>
      </c>
      <c r="B1987" s="1">
        <v>45290</v>
      </c>
      <c r="C1987" t="s">
        <v>541</v>
      </c>
      <c r="D1987" t="s">
        <v>1531</v>
      </c>
      <c r="E1987" t="s">
        <v>1592</v>
      </c>
      <c r="F1987">
        <v>2.5174004758784498</v>
      </c>
      <c r="G1987" s="14">
        <v>440.42886197565701</v>
      </c>
      <c r="H1987" s="17">
        <v>0.159625803795656</v>
      </c>
      <c r="I1987" t="s">
        <v>1609</v>
      </c>
      <c r="J1987" s="14">
        <v>934.39699642015103</v>
      </c>
      <c r="K1987" s="14">
        <f t="shared" si="248"/>
        <v>10270.051233243879</v>
      </c>
      <c r="L1987" s="14">
        <f t="shared" si="249"/>
        <v>11</v>
      </c>
      <c r="M1987" s="14" t="str">
        <f t="shared" si="250"/>
        <v>30-12-2023</v>
      </c>
      <c r="N1987" s="14">
        <f t="shared" si="251"/>
        <v>0.15967313828978374</v>
      </c>
      <c r="O1987" s="20">
        <f t="shared" si="252"/>
        <v>2.5175761002784309</v>
      </c>
      <c r="P1987" s="14">
        <f t="shared" si="253"/>
        <v>440.06652168909625</v>
      </c>
      <c r="Q1987" s="14">
        <f t="shared" si="254"/>
        <v>344.37572116887054</v>
      </c>
      <c r="R1987" s="14" t="str">
        <f t="shared" si="255"/>
        <v>Dec</v>
      </c>
    </row>
    <row r="1988" spans="1:18" x14ac:dyDescent="0.3">
      <c r="A1988" t="s">
        <v>3595</v>
      </c>
      <c r="B1988" s="1">
        <v>45213</v>
      </c>
      <c r="C1988" t="s">
        <v>857</v>
      </c>
      <c r="D1988" t="s">
        <v>1487</v>
      </c>
      <c r="E1988" t="s">
        <v>1546</v>
      </c>
      <c r="F1988">
        <v>2.5174255650784501</v>
      </c>
      <c r="G1988" s="14">
        <v>440.37709907757699</v>
      </c>
      <c r="H1988" s="17">
        <v>0.159632565866246</v>
      </c>
      <c r="I1988" t="s">
        <v>1609</v>
      </c>
      <c r="J1988" s="14">
        <v>934.28899996070004</v>
      </c>
      <c r="K1988" s="14">
        <f t="shared" si="248"/>
        <v>9335.6542368237297</v>
      </c>
      <c r="L1988" s="14">
        <f t="shared" si="249"/>
        <v>10</v>
      </c>
      <c r="M1988" s="14" t="str">
        <f t="shared" si="250"/>
        <v>14-10-2023</v>
      </c>
      <c r="N1988" s="14">
        <f t="shared" si="251"/>
        <v>0.15967651932507859</v>
      </c>
      <c r="O1988" s="20">
        <f t="shared" si="252"/>
        <v>2.5175886448784297</v>
      </c>
      <c r="P1988" s="14">
        <f t="shared" si="253"/>
        <v>440.04064024005618</v>
      </c>
      <c r="Q1988" s="14">
        <f t="shared" si="254"/>
        <v>344.33578929230544</v>
      </c>
      <c r="R1988" s="14" t="str">
        <f t="shared" si="255"/>
        <v>Oct</v>
      </c>
    </row>
    <row r="1989" spans="1:18" x14ac:dyDescent="0.3">
      <c r="A1989" t="s">
        <v>3596</v>
      </c>
      <c r="B1989" s="1">
        <v>45255</v>
      </c>
      <c r="C1989" t="s">
        <v>1304</v>
      </c>
      <c r="D1989" t="s">
        <v>1357</v>
      </c>
      <c r="E1989" t="s">
        <v>1546</v>
      </c>
      <c r="F1989">
        <v>2.5174506542784401</v>
      </c>
      <c r="G1989" s="14">
        <v>440.32533617949701</v>
      </c>
      <c r="H1989" s="17">
        <v>0.159639327936836</v>
      </c>
      <c r="I1989" t="s">
        <v>1611</v>
      </c>
      <c r="J1989" s="14">
        <v>934.18100350124803</v>
      </c>
      <c r="K1989" s="14">
        <f t="shared" si="248"/>
        <v>8401.3652368630283</v>
      </c>
      <c r="L1989" s="14">
        <f t="shared" si="249"/>
        <v>9</v>
      </c>
      <c r="M1989" s="14" t="str">
        <f t="shared" si="250"/>
        <v>25-11-2023</v>
      </c>
      <c r="N1989" s="14">
        <f t="shared" si="251"/>
        <v>0.15967990036037336</v>
      </c>
      <c r="O1989" s="20">
        <f t="shared" si="252"/>
        <v>2.5176011894784276</v>
      </c>
      <c r="P1989" s="14">
        <f t="shared" si="253"/>
        <v>440.01475879101611</v>
      </c>
      <c r="Q1989" s="14">
        <f t="shared" si="254"/>
        <v>344.2958574157401</v>
      </c>
      <c r="R1989" s="14" t="str">
        <f t="shared" si="255"/>
        <v>Nov</v>
      </c>
    </row>
    <row r="1990" spans="1:18" x14ac:dyDescent="0.3">
      <c r="A1990" t="s">
        <v>3597</v>
      </c>
      <c r="B1990" s="1">
        <v>45270</v>
      </c>
      <c r="C1990" t="s">
        <v>1163</v>
      </c>
      <c r="D1990" t="s">
        <v>1477</v>
      </c>
      <c r="E1990" t="s">
        <v>1574</v>
      </c>
      <c r="F1990">
        <v>2.5174757434784398</v>
      </c>
      <c r="G1990" s="14">
        <v>440.27357328141699</v>
      </c>
      <c r="H1990" s="17">
        <v>0.159646090007425</v>
      </c>
      <c r="I1990" t="s">
        <v>1609</v>
      </c>
      <c r="J1990" s="14">
        <v>934.07300704179602</v>
      </c>
      <c r="K1990" s="14">
        <f t="shared" si="248"/>
        <v>8401.3652368630283</v>
      </c>
      <c r="L1990" s="14">
        <f t="shared" si="249"/>
        <v>9</v>
      </c>
      <c r="M1990" s="14" t="str">
        <f t="shared" si="250"/>
        <v>10-12-2023</v>
      </c>
      <c r="N1990" s="14">
        <f t="shared" si="251"/>
        <v>0.15968328139566818</v>
      </c>
      <c r="O1990" s="20">
        <f t="shared" si="252"/>
        <v>2.5176137340784268</v>
      </c>
      <c r="P1990" s="14">
        <f t="shared" si="253"/>
        <v>439.98887734197598</v>
      </c>
      <c r="Q1990" s="14">
        <f t="shared" si="254"/>
        <v>344.25592553917471</v>
      </c>
      <c r="R1990" s="14" t="str">
        <f t="shared" si="255"/>
        <v>Dec</v>
      </c>
    </row>
    <row r="1991" spans="1:18" x14ac:dyDescent="0.3">
      <c r="A1991" t="s">
        <v>3598</v>
      </c>
      <c r="B1991" s="1">
        <v>45897</v>
      </c>
      <c r="C1991" t="s">
        <v>1244</v>
      </c>
      <c r="D1991" t="s">
        <v>1359</v>
      </c>
      <c r="E1991" t="s">
        <v>1589</v>
      </c>
      <c r="F1991">
        <v>2.51750083267844</v>
      </c>
      <c r="G1991" s="14">
        <v>440.22181038333702</v>
      </c>
      <c r="H1991" s="17">
        <v>0.159652852078015</v>
      </c>
      <c r="I1991" t="s">
        <v>1609</v>
      </c>
      <c r="J1991" s="14">
        <v>933.96501058234401</v>
      </c>
      <c r="K1991" s="14">
        <f t="shared" si="248"/>
        <v>7467.2922298212325</v>
      </c>
      <c r="L1991" s="14">
        <f t="shared" si="249"/>
        <v>8</v>
      </c>
      <c r="M1991" s="14" t="str">
        <f t="shared" si="250"/>
        <v>28-08-2025</v>
      </c>
      <c r="N1991" s="14">
        <f t="shared" si="251"/>
        <v>0.15968666243096299</v>
      </c>
      <c r="O1991" s="20">
        <f t="shared" si="252"/>
        <v>2.5176262786784251</v>
      </c>
      <c r="P1991" s="14">
        <f t="shared" si="253"/>
        <v>439.96299589293591</v>
      </c>
      <c r="Q1991" s="14">
        <f t="shared" si="254"/>
        <v>344.21599366260938</v>
      </c>
      <c r="R1991" s="14" t="str">
        <f t="shared" si="255"/>
        <v>Aug</v>
      </c>
    </row>
    <row r="1992" spans="1:18" x14ac:dyDescent="0.3">
      <c r="A1992" t="s">
        <v>3599</v>
      </c>
      <c r="B1992" s="1">
        <v>45849</v>
      </c>
      <c r="C1992" t="s">
        <v>218</v>
      </c>
      <c r="D1992" t="s">
        <v>1453</v>
      </c>
      <c r="E1992" t="s">
        <v>1558</v>
      </c>
      <c r="F1992">
        <v>2.5175259218784398</v>
      </c>
      <c r="G1992" s="14">
        <v>440.17004748525699</v>
      </c>
      <c r="H1992" s="17">
        <v>0.15965961414860499</v>
      </c>
      <c r="I1992" t="s">
        <v>1614</v>
      </c>
      <c r="J1992">
        <v>933.85701412289302</v>
      </c>
      <c r="K1992" s="14">
        <f t="shared" si="248"/>
        <v>6533.3272192388886</v>
      </c>
      <c r="L1992" s="14">
        <f t="shared" si="249"/>
        <v>7</v>
      </c>
      <c r="M1992" s="14" t="str">
        <f t="shared" si="250"/>
        <v>11-07-2025</v>
      </c>
      <c r="N1992" s="14">
        <f t="shared" si="251"/>
        <v>0.15969004346625781</v>
      </c>
      <c r="O1992" s="20">
        <f t="shared" si="252"/>
        <v>2.5176388232784239</v>
      </c>
      <c r="P1992" s="14">
        <f t="shared" si="253"/>
        <v>439.93711444389572</v>
      </c>
      <c r="Q1992" s="14">
        <f t="shared" si="254"/>
        <v>344.17606178604427</v>
      </c>
      <c r="R1992" s="14" t="str">
        <f t="shared" si="255"/>
        <v>Jul</v>
      </c>
    </row>
    <row r="1993" spans="1:18" x14ac:dyDescent="0.3">
      <c r="A1993" t="s">
        <v>3600</v>
      </c>
      <c r="B1993" s="1">
        <v>45889</v>
      </c>
      <c r="C1993" t="s">
        <v>559</v>
      </c>
      <c r="D1993" t="s">
        <v>1477</v>
      </c>
      <c r="E1993" t="s">
        <v>1542</v>
      </c>
      <c r="F1993">
        <v>2.5175510110784298</v>
      </c>
      <c r="G1993" s="14">
        <v>440.11828458717599</v>
      </c>
      <c r="H1993" s="17">
        <v>0.159666376219194</v>
      </c>
      <c r="I1993" t="s">
        <v>1609</v>
      </c>
      <c r="J1993" s="14">
        <v>933.74901766344101</v>
      </c>
      <c r="K1993" s="14">
        <f t="shared" si="248"/>
        <v>6533.3272192388886</v>
      </c>
      <c r="L1993" s="14">
        <f t="shared" si="249"/>
        <v>7</v>
      </c>
      <c r="M1993" s="14" t="str">
        <f t="shared" si="250"/>
        <v>20-08-2025</v>
      </c>
      <c r="N1993" s="14">
        <f t="shared" si="251"/>
        <v>0.15969342450155255</v>
      </c>
      <c r="O1993" s="20">
        <f t="shared" si="252"/>
        <v>2.5176513678784218</v>
      </c>
      <c r="P1993" s="14">
        <f t="shared" si="253"/>
        <v>439.91123299485565</v>
      </c>
      <c r="Q1993" s="14">
        <f t="shared" si="254"/>
        <v>344.13612990947865</v>
      </c>
      <c r="R1993" s="14" t="str">
        <f t="shared" si="255"/>
        <v>Aug</v>
      </c>
    </row>
    <row r="1994" spans="1:18" x14ac:dyDescent="0.3">
      <c r="A1994" t="s">
        <v>3601</v>
      </c>
      <c r="B1994" s="1">
        <v>45533</v>
      </c>
      <c r="C1994" t="s">
        <v>1230</v>
      </c>
      <c r="D1994" t="s">
        <v>1409</v>
      </c>
      <c r="E1994" t="s">
        <v>1558</v>
      </c>
      <c r="F1994">
        <v>2.51757610027843</v>
      </c>
      <c r="G1994" s="14">
        <v>440.06652168909602</v>
      </c>
      <c r="H1994" s="17">
        <v>0.15967313828978399</v>
      </c>
      <c r="I1994" t="s">
        <v>1609</v>
      </c>
      <c r="J1994" s="14">
        <v>933.641021203989</v>
      </c>
      <c r="K1994" s="14">
        <f t="shared" si="248"/>
        <v>5599.5782015754476</v>
      </c>
      <c r="L1994" s="14">
        <f t="shared" si="249"/>
        <v>6</v>
      </c>
      <c r="M1994" s="14" t="str">
        <f t="shared" si="250"/>
        <v>29-08-2024</v>
      </c>
      <c r="N1994" s="14">
        <f t="shared" si="251"/>
        <v>0.15969680553684737</v>
      </c>
      <c r="O1994" s="20">
        <f t="shared" si="252"/>
        <v>2.517663912478421</v>
      </c>
      <c r="P1994" s="14">
        <f t="shared" si="253"/>
        <v>439.88535154581558</v>
      </c>
      <c r="Q1994" s="14">
        <f t="shared" si="254"/>
        <v>344.09619803291332</v>
      </c>
      <c r="R1994" s="14" t="str">
        <f t="shared" si="255"/>
        <v>Aug</v>
      </c>
    </row>
    <row r="1995" spans="1:18" x14ac:dyDescent="0.3">
      <c r="A1995" t="s">
        <v>3602</v>
      </c>
      <c r="B1995" s="1">
        <v>45626</v>
      </c>
      <c r="C1995" t="s">
        <v>147</v>
      </c>
      <c r="D1995" t="s">
        <v>1423</v>
      </c>
      <c r="E1995" t="s">
        <v>1577</v>
      </c>
      <c r="F1995">
        <v>2.5176011894784298</v>
      </c>
      <c r="G1995" s="14">
        <v>440.01475879101599</v>
      </c>
      <c r="H1995" s="17">
        <v>0.15967990036037299</v>
      </c>
      <c r="I1995" t="s">
        <v>1609</v>
      </c>
      <c r="J1995" s="14">
        <v>933.53302474453699</v>
      </c>
      <c r="K1995" s="14">
        <f t="shared" si="248"/>
        <v>4665.9371803714594</v>
      </c>
      <c r="L1995" s="14">
        <f t="shared" si="249"/>
        <v>5</v>
      </c>
      <c r="M1995" s="14" t="str">
        <f t="shared" si="250"/>
        <v>30-11-2024</v>
      </c>
      <c r="N1995" s="14">
        <f t="shared" si="251"/>
        <v>0.15970018657214213</v>
      </c>
      <c r="O1995" s="20">
        <f t="shared" si="252"/>
        <v>2.5176764570784198</v>
      </c>
      <c r="P1995" s="14">
        <f t="shared" si="253"/>
        <v>439.85947009677557</v>
      </c>
      <c r="Q1995" s="14">
        <f t="shared" si="254"/>
        <v>344.05626615634793</v>
      </c>
      <c r="R1995" s="14" t="str">
        <f t="shared" si="255"/>
        <v>Nov</v>
      </c>
    </row>
    <row r="1996" spans="1:18" x14ac:dyDescent="0.3">
      <c r="A1996" t="s">
        <v>3603</v>
      </c>
      <c r="B1996" s="1">
        <v>45942</v>
      </c>
      <c r="C1996" t="s">
        <v>869</v>
      </c>
      <c r="D1996" t="s">
        <v>1373</v>
      </c>
      <c r="E1996" t="s">
        <v>1567</v>
      </c>
      <c r="F1996">
        <v>2.51762627867843</v>
      </c>
      <c r="G1996" s="14">
        <v>439.96299589293602</v>
      </c>
      <c r="H1996" s="17">
        <v>0.15968666243096299</v>
      </c>
      <c r="I1996" t="s">
        <v>1614</v>
      </c>
      <c r="J1996" s="14">
        <v>933.425028285086</v>
      </c>
      <c r="K1996" s="14">
        <f t="shared" si="248"/>
        <v>3732.4041556269221</v>
      </c>
      <c r="L1996" s="14">
        <f t="shared" si="249"/>
        <v>4</v>
      </c>
      <c r="M1996" s="14" t="str">
        <f t="shared" si="250"/>
        <v>12-10-2025</v>
      </c>
      <c r="N1996" s="14">
        <f t="shared" si="251"/>
        <v>0.15970356760743701</v>
      </c>
      <c r="O1996" s="20">
        <f t="shared" si="252"/>
        <v>2.5176890016784186</v>
      </c>
      <c r="P1996" s="14">
        <f t="shared" si="253"/>
        <v>439.8335886477355</v>
      </c>
      <c r="Q1996" s="14">
        <f t="shared" si="254"/>
        <v>344.01633427978288</v>
      </c>
      <c r="R1996" s="14" t="str">
        <f t="shared" si="255"/>
        <v>Oct</v>
      </c>
    </row>
    <row r="1997" spans="1:18" x14ac:dyDescent="0.3">
      <c r="A1997" t="s">
        <v>3604</v>
      </c>
      <c r="B1997" s="1">
        <v>45500</v>
      </c>
      <c r="C1997" t="s">
        <v>141</v>
      </c>
      <c r="D1997" t="s">
        <v>1527</v>
      </c>
      <c r="E1997" t="s">
        <v>1579</v>
      </c>
      <c r="F1997">
        <v>2.51765136787842</v>
      </c>
      <c r="G1997" s="14">
        <v>439.91123299485599</v>
      </c>
      <c r="H1997" s="17">
        <v>0.15969342450155299</v>
      </c>
      <c r="I1997" t="s">
        <v>1609</v>
      </c>
      <c r="J1997" s="14">
        <v>933.31703182563399</v>
      </c>
      <c r="K1997" s="14">
        <f t="shared" si="248"/>
        <v>3732.4041556269221</v>
      </c>
      <c r="L1997" s="14">
        <f t="shared" si="249"/>
        <v>4</v>
      </c>
      <c r="M1997" s="14" t="str">
        <f t="shared" si="250"/>
        <v>27-07-2024</v>
      </c>
      <c r="N1997" s="14">
        <f t="shared" si="251"/>
        <v>0.1597069486427318</v>
      </c>
      <c r="O1997" s="20">
        <f t="shared" si="252"/>
        <v>2.517701546278416</v>
      </c>
      <c r="P1997" s="14">
        <f t="shared" si="253"/>
        <v>439.80770719869543</v>
      </c>
      <c r="Q1997" s="14">
        <f t="shared" si="254"/>
        <v>343.97640240321749</v>
      </c>
      <c r="R1997" s="14" t="str">
        <f t="shared" si="255"/>
        <v>Jul</v>
      </c>
    </row>
    <row r="1998" spans="1:18" x14ac:dyDescent="0.3">
      <c r="A1998" t="s">
        <v>3605</v>
      </c>
      <c r="B1998" s="1">
        <v>45285</v>
      </c>
      <c r="C1998" t="s">
        <v>85</v>
      </c>
      <c r="D1998" t="s">
        <v>1485</v>
      </c>
      <c r="E1998" t="s">
        <v>1574</v>
      </c>
      <c r="F1998">
        <v>2.5176764570784198</v>
      </c>
      <c r="G1998" s="14">
        <v>439.85947009677602</v>
      </c>
      <c r="H1998" s="17">
        <v>0.15970018657214199</v>
      </c>
      <c r="I1998" t="s">
        <v>1609</v>
      </c>
      <c r="J1998" s="14">
        <v>933.20903536618198</v>
      </c>
      <c r="K1998" s="14">
        <f t="shared" si="248"/>
        <v>2799.0871238012878</v>
      </c>
      <c r="L1998" s="14">
        <f t="shared" si="249"/>
        <v>3</v>
      </c>
      <c r="M1998" s="14" t="str">
        <f t="shared" si="250"/>
        <v>25-12-2023</v>
      </c>
      <c r="N1998" s="14">
        <f t="shared" si="251"/>
        <v>0.15971032967802648</v>
      </c>
      <c r="O1998" s="20">
        <f t="shared" si="252"/>
        <v>2.5177140908784148</v>
      </c>
      <c r="P1998" s="14">
        <f t="shared" si="253"/>
        <v>439.78182574965524</v>
      </c>
      <c r="Q1998" s="14">
        <f t="shared" si="254"/>
        <v>343.93647052665216</v>
      </c>
      <c r="R1998" s="14" t="str">
        <f t="shared" si="255"/>
        <v>Dec</v>
      </c>
    </row>
    <row r="1999" spans="1:18" x14ac:dyDescent="0.3">
      <c r="A1999" t="s">
        <v>3606</v>
      </c>
      <c r="B1999" s="1">
        <v>45800</v>
      </c>
      <c r="C1999" t="s">
        <v>40</v>
      </c>
      <c r="D1999" t="s">
        <v>1467</v>
      </c>
      <c r="E1999" t="s">
        <v>1586</v>
      </c>
      <c r="F1999">
        <v>2.51770154627842</v>
      </c>
      <c r="G1999" s="14">
        <v>439.80770719869503</v>
      </c>
      <c r="H1999" s="17">
        <v>0.15970694864273199</v>
      </c>
      <c r="I1999" t="s">
        <v>1614</v>
      </c>
      <c r="J1999" s="14">
        <v>933.10103890673099</v>
      </c>
      <c r="K1999" s="14">
        <f t="shared" si="248"/>
        <v>1865.8780884351058</v>
      </c>
      <c r="L1999" s="14">
        <f t="shared" si="249"/>
        <v>2</v>
      </c>
      <c r="M1999" s="14" t="str">
        <f t="shared" si="250"/>
        <v>23-05-2025</v>
      </c>
      <c r="N1999" s="14">
        <f t="shared" si="251"/>
        <v>0.15971371071332133</v>
      </c>
      <c r="O1999" s="20">
        <f t="shared" si="252"/>
        <v>2.5177266354784131</v>
      </c>
      <c r="P1999" s="14">
        <f t="shared" si="253"/>
        <v>439.755944300615</v>
      </c>
      <c r="Q1999" s="14">
        <f t="shared" si="254"/>
        <v>343.89653865008677</v>
      </c>
      <c r="R1999" s="14" t="str">
        <f t="shared" si="255"/>
        <v>May</v>
      </c>
    </row>
    <row r="2000" spans="1:18" x14ac:dyDescent="0.3">
      <c r="A2000" t="s">
        <v>3607</v>
      </c>
      <c r="B2000" s="1">
        <v>45609</v>
      </c>
      <c r="C2000" t="s">
        <v>716</v>
      </c>
      <c r="D2000" t="s">
        <v>1499</v>
      </c>
      <c r="E2000" t="s">
        <v>1567</v>
      </c>
      <c r="F2000">
        <v>2.51772663547841</v>
      </c>
      <c r="G2000" s="14">
        <v>439.755944300615</v>
      </c>
      <c r="H2000" s="17">
        <v>0.15971371071332099</v>
      </c>
      <c r="I2000" t="s">
        <v>1609</v>
      </c>
      <c r="J2000" s="14">
        <v>932.99304244727898</v>
      </c>
      <c r="K2000" s="14">
        <f t="shared" si="248"/>
        <v>1865.8780884351058</v>
      </c>
      <c r="L2000" s="14">
        <f t="shared" si="249"/>
        <v>2</v>
      </c>
      <c r="M2000" s="14" t="str">
        <f t="shared" si="250"/>
        <v>13-11-2024</v>
      </c>
      <c r="N2000" s="14">
        <f t="shared" si="251"/>
        <v>0.15971709174861598</v>
      </c>
      <c r="O2000" s="20">
        <f t="shared" si="252"/>
        <v>2.5177391800784097</v>
      </c>
      <c r="P2000" s="14">
        <f t="shared" si="253"/>
        <v>439.73006285157498</v>
      </c>
      <c r="Q2000" s="14">
        <f t="shared" si="254"/>
        <v>343.85660677352143</v>
      </c>
      <c r="R2000" s="14" t="str">
        <f t="shared" si="255"/>
        <v>Nov</v>
      </c>
    </row>
    <row r="2001" spans="1:18" x14ac:dyDescent="0.3">
      <c r="A2001" t="s">
        <v>3608</v>
      </c>
      <c r="B2001" s="1">
        <v>45268</v>
      </c>
      <c r="C2001" t="s">
        <v>402</v>
      </c>
      <c r="D2001" t="s">
        <v>1375</v>
      </c>
      <c r="E2001" t="s">
        <v>1546</v>
      </c>
      <c r="F2001">
        <v>2.5177517246784098</v>
      </c>
      <c r="G2001" s="14">
        <v>439.70418140253503</v>
      </c>
      <c r="H2001" s="17">
        <v>0.15972047278391099</v>
      </c>
      <c r="I2001" t="s">
        <v>1609</v>
      </c>
      <c r="J2001" s="14">
        <v>932.88504598782697</v>
      </c>
      <c r="K2001" s="14">
        <f t="shared" si="248"/>
        <v>932.88504598782697</v>
      </c>
      <c r="L2001" s="14">
        <f t="shared" si="249"/>
        <v>1</v>
      </c>
      <c r="M2001" s="14" t="str">
        <f t="shared" si="250"/>
        <v>08-12-2023</v>
      </c>
      <c r="N2001" s="14">
        <f t="shared" si="251"/>
        <v>0.15972047278391099</v>
      </c>
      <c r="O2001" s="20">
        <f t="shared" si="252"/>
        <v>2.5177517246784098</v>
      </c>
      <c r="P2001" s="14">
        <f t="shared" si="253"/>
        <v>439.70418140253503</v>
      </c>
      <c r="Q2001" s="14">
        <f t="shared" si="254"/>
        <v>343.8166748969561</v>
      </c>
      <c r="R2001" s="14" t="str">
        <f t="shared" si="255"/>
        <v>Dec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workbookViewId="0">
      <selection activeCell="J1" sqref="J1"/>
    </sheetView>
  </sheetViews>
  <sheetFormatPr defaultRowHeight="14.4" x14ac:dyDescent="0.3"/>
  <cols>
    <col min="1" max="1" width="13.77734375" customWidth="1"/>
    <col min="2" max="2" width="13.33203125" customWidth="1"/>
    <col min="4" max="4" width="9" customWidth="1"/>
    <col min="7" max="7" width="9.6640625" customWidth="1"/>
    <col min="8" max="8" width="14.33203125" customWidth="1"/>
    <col min="9" max="9" width="18" customWidth="1"/>
    <col min="10" max="10" width="10.44140625" customWidth="1"/>
  </cols>
  <sheetData>
    <row r="1" spans="1:12" x14ac:dyDescent="0.3">
      <c r="A1" s="2" t="s">
        <v>0</v>
      </c>
      <c r="B1" s="1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3742</v>
      </c>
    </row>
    <row r="2" spans="1:12" x14ac:dyDescent="0.3">
      <c r="A2" t="s">
        <v>8</v>
      </c>
      <c r="B2" t="s">
        <v>3743</v>
      </c>
      <c r="C2">
        <v>55</v>
      </c>
      <c r="D2" t="s">
        <v>9</v>
      </c>
      <c r="E2" t="s">
        <v>10</v>
      </c>
      <c r="F2" t="s">
        <v>11</v>
      </c>
      <c r="G2" t="s">
        <v>12</v>
      </c>
      <c r="H2" t="s">
        <v>19</v>
      </c>
      <c r="I2" t="str">
        <f>PROPER(B2)</f>
        <v xml:space="preserve">Sheena Bonilla  </v>
      </c>
    </row>
    <row r="3" spans="1:12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  <c r="I3" t="str">
        <f t="shared" ref="I3:I65" si="0">PROPER(B3)</f>
        <v>Eugene Nelson</v>
      </c>
      <c r="K3" t="s">
        <v>3776</v>
      </c>
    </row>
    <row r="4" spans="1:12" x14ac:dyDescent="0.3">
      <c r="A4" t="s">
        <v>20</v>
      </c>
      <c r="B4" t="s">
        <v>3617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  <c r="I4" t="str">
        <f t="shared" si="0"/>
        <v>Dr. Benjamin Price</v>
      </c>
    </row>
    <row r="5" spans="1:12" x14ac:dyDescent="0.3">
      <c r="A5" t="s">
        <v>23</v>
      </c>
      <c r="B5" t="s">
        <v>3618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  <c r="I5" t="str">
        <f t="shared" si="0"/>
        <v>Jeremy Harris</v>
      </c>
    </row>
    <row r="6" spans="1:12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  <c r="I6" t="str">
        <f t="shared" si="0"/>
        <v>Caroline Collins</v>
      </c>
      <c r="J6" t="s">
        <v>3777</v>
      </c>
    </row>
    <row r="7" spans="1:12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  <c r="I7" t="str">
        <f t="shared" si="0"/>
        <v>Christine Vaughn</v>
      </c>
    </row>
    <row r="8" spans="1:12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  <c r="I8" t="str">
        <f t="shared" si="0"/>
        <v>Amber Jackson</v>
      </c>
      <c r="J8" t="s">
        <v>3778</v>
      </c>
      <c r="L8" t="s">
        <v>3779</v>
      </c>
    </row>
    <row r="9" spans="1:12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  <c r="I9" t="str">
        <f t="shared" si="0"/>
        <v>Daniel Boyd</v>
      </c>
    </row>
    <row r="10" spans="1:12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  <c r="I10" t="str">
        <f t="shared" si="0"/>
        <v>Melissa Howard</v>
      </c>
    </row>
    <row r="11" spans="1:12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  <c r="I11" t="str">
        <f t="shared" si="0"/>
        <v>Ms. Maria Leach</v>
      </c>
    </row>
    <row r="12" spans="1:12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  <c r="I12" t="str">
        <f t="shared" si="0"/>
        <v>Dominic Page</v>
      </c>
    </row>
    <row r="13" spans="1:12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  <c r="I13" t="str">
        <f t="shared" si="0"/>
        <v>Brian Lopez</v>
      </c>
    </row>
    <row r="14" spans="1:12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  <c r="I14" t="str">
        <f t="shared" si="0"/>
        <v>Kenneth Lambert</v>
      </c>
    </row>
    <row r="15" spans="1:12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  <c r="I15" t="str">
        <f t="shared" si="0"/>
        <v>Nathan Hernandez</v>
      </c>
    </row>
    <row r="16" spans="1:12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  <c r="I16" t="str">
        <f t="shared" si="0"/>
        <v>Ashley Cohen</v>
      </c>
    </row>
    <row r="17" spans="1:9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  <c r="I17" t="str">
        <f t="shared" si="0"/>
        <v>Laura Alvarez</v>
      </c>
    </row>
    <row r="18" spans="1:9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  <c r="I18" t="str">
        <f t="shared" si="0"/>
        <v>John Scott</v>
      </c>
    </row>
    <row r="19" spans="1:9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  <c r="I19" t="str">
        <f t="shared" si="0"/>
        <v>Adam Cruz</v>
      </c>
    </row>
    <row r="20" spans="1:9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  <c r="H20" t="s">
        <v>31</v>
      </c>
      <c r="I20" t="str">
        <f t="shared" si="0"/>
        <v>Rhonda Moss</v>
      </c>
    </row>
    <row r="21" spans="1:9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  <c r="I21" t="str">
        <f t="shared" si="0"/>
        <v>Michael Torres</v>
      </c>
    </row>
    <row r="22" spans="1:9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  <c r="I22" t="str">
        <f t="shared" si="0"/>
        <v>Bridget Allen</v>
      </c>
    </row>
    <row r="23" spans="1:9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  <c r="I23" t="str">
        <f t="shared" si="0"/>
        <v>Jeff Martinez</v>
      </c>
    </row>
    <row r="24" spans="1:9" x14ac:dyDescent="0.3">
      <c r="A24" t="s">
        <v>97</v>
      </c>
      <c r="B24" t="s">
        <v>3744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  <c r="I24" t="str">
        <f t="shared" si="0"/>
        <v>Paul Fox</v>
      </c>
    </row>
    <row r="25" spans="1:9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  <c r="I25" t="str">
        <f t="shared" si="0"/>
        <v>Jonathan Steele</v>
      </c>
    </row>
    <row r="26" spans="1:9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  <c r="I26" t="str">
        <f t="shared" si="0"/>
        <v>Heather Collins</v>
      </c>
    </row>
    <row r="27" spans="1:9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  <c r="I27" t="str">
        <f t="shared" si="0"/>
        <v>Diana Taylor</v>
      </c>
    </row>
    <row r="28" spans="1:9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  <c r="I28" t="str">
        <f t="shared" si="0"/>
        <v>Amber Carlson</v>
      </c>
    </row>
    <row r="29" spans="1:9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  <c r="H29" t="s">
        <v>19</v>
      </c>
      <c r="I29" t="str">
        <f t="shared" si="0"/>
        <v>Leslie Johnson</v>
      </c>
    </row>
    <row r="30" spans="1:9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  <c r="I30" t="str">
        <f t="shared" si="0"/>
        <v>Joshua Ryan</v>
      </c>
    </row>
    <row r="31" spans="1:9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  <c r="I31" t="str">
        <f t="shared" si="0"/>
        <v>David Arnold</v>
      </c>
    </row>
    <row r="32" spans="1:9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  <c r="I32" t="str">
        <f t="shared" si="0"/>
        <v>Jessica Acevedo</v>
      </c>
    </row>
    <row r="33" spans="1:9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  <c r="I33" t="str">
        <f t="shared" si="0"/>
        <v>Sarah Vance</v>
      </c>
    </row>
    <row r="34" spans="1:9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  <c r="I34" t="str">
        <f t="shared" si="0"/>
        <v>Mike Jennings</v>
      </c>
    </row>
    <row r="35" spans="1:9" x14ac:dyDescent="0.3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  <c r="I35" t="str">
        <f t="shared" si="0"/>
        <v>Robert Jones Dds</v>
      </c>
    </row>
    <row r="36" spans="1:9" x14ac:dyDescent="0.3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  <c r="I36" t="str">
        <f t="shared" si="0"/>
        <v>Christopher Olson</v>
      </c>
    </row>
    <row r="37" spans="1:9" x14ac:dyDescent="0.3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  <c r="I37" t="str">
        <f t="shared" si="0"/>
        <v>Rachel Myers</v>
      </c>
    </row>
    <row r="38" spans="1:9" x14ac:dyDescent="0.3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  <c r="I38" t="str">
        <f t="shared" si="0"/>
        <v>Thomas Phillips</v>
      </c>
    </row>
    <row r="39" spans="1:9" x14ac:dyDescent="0.3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  <c r="H39" t="s">
        <v>19</v>
      </c>
      <c r="I39" t="str">
        <f t="shared" si="0"/>
        <v>Christopher Carter</v>
      </c>
    </row>
    <row r="40" spans="1:9" x14ac:dyDescent="0.3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  <c r="I40" t="str">
        <f t="shared" si="0"/>
        <v>Deanna Simpson</v>
      </c>
    </row>
    <row r="41" spans="1:9" x14ac:dyDescent="0.3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  <c r="I41" t="str">
        <f t="shared" si="0"/>
        <v>Tonya Reynolds</v>
      </c>
    </row>
    <row r="42" spans="1:9" x14ac:dyDescent="0.3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  <c r="I42" t="str">
        <f t="shared" si="0"/>
        <v>Eric Vega</v>
      </c>
    </row>
    <row r="43" spans="1:9" x14ac:dyDescent="0.3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  <c r="I43" t="str">
        <f t="shared" si="0"/>
        <v>James Gibbs</v>
      </c>
    </row>
    <row r="44" spans="1:9" x14ac:dyDescent="0.3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  <c r="I44" t="str">
        <f t="shared" si="0"/>
        <v>William Martin</v>
      </c>
    </row>
    <row r="45" spans="1:9" x14ac:dyDescent="0.3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  <c r="I45" t="str">
        <f t="shared" si="0"/>
        <v>Joseph Snow</v>
      </c>
    </row>
    <row r="46" spans="1:9" x14ac:dyDescent="0.3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  <c r="I46" t="str">
        <f t="shared" si="0"/>
        <v>Denise Williams</v>
      </c>
    </row>
    <row r="47" spans="1:9" x14ac:dyDescent="0.3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  <c r="I47" t="str">
        <f t="shared" si="0"/>
        <v>Jordan Jackson Dds</v>
      </c>
    </row>
    <row r="48" spans="1:9" x14ac:dyDescent="0.3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  <c r="I48" t="str">
        <f t="shared" si="0"/>
        <v>Michelle Garcia Dds</v>
      </c>
    </row>
    <row r="49" spans="1:9" x14ac:dyDescent="0.3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  <c r="I49" t="str">
        <f t="shared" si="0"/>
        <v>Gina Knight</v>
      </c>
    </row>
    <row r="50" spans="1:9" x14ac:dyDescent="0.3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  <c r="I50" t="str">
        <f t="shared" si="0"/>
        <v>April Mullins</v>
      </c>
    </row>
    <row r="51" spans="1:9" x14ac:dyDescent="0.3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  <c r="I51" t="str">
        <f t="shared" si="0"/>
        <v>Timothy Weaver</v>
      </c>
    </row>
    <row r="52" spans="1:9" x14ac:dyDescent="0.3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  <c r="I52" t="str">
        <f t="shared" si="0"/>
        <v>Matthew Hunter Jr.</v>
      </c>
    </row>
    <row r="53" spans="1:9" x14ac:dyDescent="0.3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  <c r="I53" t="str">
        <f t="shared" si="0"/>
        <v>Sarah Rodgers</v>
      </c>
    </row>
    <row r="54" spans="1:9" x14ac:dyDescent="0.3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  <c r="I54" t="str">
        <f t="shared" si="0"/>
        <v>Debra Liu</v>
      </c>
    </row>
    <row r="55" spans="1:9" x14ac:dyDescent="0.3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  <c r="I55" t="str">
        <f t="shared" si="0"/>
        <v>Sharon Brown</v>
      </c>
    </row>
    <row r="56" spans="1:9" x14ac:dyDescent="0.3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  <c r="I56" t="str">
        <f t="shared" si="0"/>
        <v>Katherine Dorsey</v>
      </c>
    </row>
    <row r="57" spans="1:9" x14ac:dyDescent="0.3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  <c r="I57" t="str">
        <f t="shared" si="0"/>
        <v>Wayne Mcpherson</v>
      </c>
    </row>
    <row r="58" spans="1:9" x14ac:dyDescent="0.3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  <c r="I58" t="str">
        <f t="shared" si="0"/>
        <v>Christopher Sutton</v>
      </c>
    </row>
    <row r="59" spans="1:9" x14ac:dyDescent="0.3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  <c r="I59" t="str">
        <f t="shared" si="0"/>
        <v>Jay Patel</v>
      </c>
    </row>
    <row r="60" spans="1:9" x14ac:dyDescent="0.3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  <c r="I60" t="str">
        <f t="shared" si="0"/>
        <v>Cheryl Copeland</v>
      </c>
    </row>
    <row r="61" spans="1:9" x14ac:dyDescent="0.3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  <c r="I61" t="str">
        <f t="shared" si="0"/>
        <v>Alyssa Vargas</v>
      </c>
    </row>
    <row r="62" spans="1:9" x14ac:dyDescent="0.3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  <c r="I62" t="str">
        <f t="shared" si="0"/>
        <v>Dr. David Smith</v>
      </c>
    </row>
    <row r="63" spans="1:9" x14ac:dyDescent="0.3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  <c r="I63" t="str">
        <f t="shared" si="0"/>
        <v>Kristin Stein</v>
      </c>
    </row>
    <row r="64" spans="1:9" x14ac:dyDescent="0.3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  <c r="I64" t="str">
        <f t="shared" si="0"/>
        <v>James Bean</v>
      </c>
    </row>
    <row r="65" spans="1:9" x14ac:dyDescent="0.3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  <c r="I65" t="str">
        <f t="shared" si="0"/>
        <v>Michael Daniel</v>
      </c>
    </row>
    <row r="66" spans="1:9" x14ac:dyDescent="0.3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  <c r="I66" t="str">
        <f t="shared" ref="I66:I129" si="1">PROPER(B66)</f>
        <v>Mr. Mason Butler</v>
      </c>
    </row>
    <row r="67" spans="1:9" x14ac:dyDescent="0.3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  <c r="I67" t="str">
        <f t="shared" si="1"/>
        <v>Michael Thomas</v>
      </c>
    </row>
    <row r="68" spans="1:9" x14ac:dyDescent="0.3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  <c r="I68" t="str">
        <f t="shared" si="1"/>
        <v>Cody Diaz</v>
      </c>
    </row>
    <row r="69" spans="1:9" x14ac:dyDescent="0.3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  <c r="I69" t="str">
        <f t="shared" si="1"/>
        <v>Amber Mcclain</v>
      </c>
    </row>
    <row r="70" spans="1:9" x14ac:dyDescent="0.3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  <c r="I70" t="str">
        <f t="shared" si="1"/>
        <v>Mr. Mark Beasley</v>
      </c>
    </row>
    <row r="71" spans="1:9" x14ac:dyDescent="0.3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  <c r="I71" t="str">
        <f t="shared" si="1"/>
        <v>Roy Cole</v>
      </c>
    </row>
    <row r="72" spans="1:9" x14ac:dyDescent="0.3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  <c r="I72" t="str">
        <f t="shared" si="1"/>
        <v>Eric Singh</v>
      </c>
    </row>
    <row r="73" spans="1:9" x14ac:dyDescent="0.3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  <c r="I73" t="str">
        <f t="shared" si="1"/>
        <v>Andrea Perez</v>
      </c>
    </row>
    <row r="74" spans="1:9" x14ac:dyDescent="0.3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  <c r="I74" t="str">
        <f t="shared" si="1"/>
        <v>Tonya Burch</v>
      </c>
    </row>
    <row r="75" spans="1:9" x14ac:dyDescent="0.3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  <c r="I75" t="str">
        <f t="shared" si="1"/>
        <v>Christopher Brown</v>
      </c>
    </row>
    <row r="76" spans="1:9" x14ac:dyDescent="0.3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  <c r="I76" t="str">
        <f t="shared" si="1"/>
        <v>John Mayer</v>
      </c>
    </row>
    <row r="77" spans="1:9" x14ac:dyDescent="0.3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  <c r="I77" t="str">
        <f t="shared" si="1"/>
        <v>Rhonda Morales</v>
      </c>
    </row>
    <row r="78" spans="1:9" x14ac:dyDescent="0.3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  <c r="I78" t="str">
        <f t="shared" si="1"/>
        <v>Nathan Campbell</v>
      </c>
    </row>
    <row r="79" spans="1:9" x14ac:dyDescent="0.3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  <c r="I79" t="str">
        <f t="shared" si="1"/>
        <v>Katherine Young</v>
      </c>
    </row>
    <row r="80" spans="1:9" x14ac:dyDescent="0.3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  <c r="I80" t="str">
        <f t="shared" si="1"/>
        <v>Cody Blake</v>
      </c>
    </row>
    <row r="81" spans="1:9" x14ac:dyDescent="0.3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  <c r="I81" t="str">
        <f t="shared" si="1"/>
        <v>Molly Gardner</v>
      </c>
    </row>
    <row r="82" spans="1:9" x14ac:dyDescent="0.3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  <c r="I82" t="str">
        <f t="shared" si="1"/>
        <v>Jennifer Garcia</v>
      </c>
    </row>
    <row r="83" spans="1:9" x14ac:dyDescent="0.3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  <c r="I83" t="str">
        <f t="shared" si="1"/>
        <v>Krystal Ford</v>
      </c>
    </row>
    <row r="84" spans="1:9" x14ac:dyDescent="0.3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  <c r="I84" t="str">
        <f t="shared" si="1"/>
        <v>George Rosario</v>
      </c>
    </row>
    <row r="85" spans="1:9" x14ac:dyDescent="0.3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  <c r="I85" t="str">
        <f t="shared" si="1"/>
        <v>Thomas Robinson</v>
      </c>
    </row>
    <row r="86" spans="1:9" x14ac:dyDescent="0.3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  <c r="I86" t="str">
        <f t="shared" si="1"/>
        <v>Christy Hoffman</v>
      </c>
    </row>
    <row r="87" spans="1:9" x14ac:dyDescent="0.3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  <c r="I87" t="str">
        <f t="shared" si="1"/>
        <v>Richard Delgado</v>
      </c>
    </row>
    <row r="88" spans="1:9" x14ac:dyDescent="0.3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  <c r="I88" t="str">
        <f t="shared" si="1"/>
        <v>Tammy Miller Md</v>
      </c>
    </row>
    <row r="89" spans="1:9" x14ac:dyDescent="0.3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  <c r="I89" t="str">
        <f t="shared" si="1"/>
        <v>Melissa Duffy Md</v>
      </c>
    </row>
    <row r="90" spans="1:9" x14ac:dyDescent="0.3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  <c r="I90" t="str">
        <f t="shared" si="1"/>
        <v>Timothy Wright</v>
      </c>
    </row>
    <row r="91" spans="1:9" x14ac:dyDescent="0.3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  <c r="I91" t="str">
        <f t="shared" si="1"/>
        <v>Jamie Yoder</v>
      </c>
    </row>
    <row r="92" spans="1:9" x14ac:dyDescent="0.3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  <c r="I92" t="str">
        <f t="shared" si="1"/>
        <v>Oscar Moon</v>
      </c>
    </row>
    <row r="93" spans="1:9" x14ac:dyDescent="0.3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  <c r="I93" t="str">
        <f t="shared" si="1"/>
        <v>Donna Gregory</v>
      </c>
    </row>
    <row r="94" spans="1:9" x14ac:dyDescent="0.3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  <c r="I94" t="str">
        <f t="shared" si="1"/>
        <v>Robert Jackson</v>
      </c>
    </row>
    <row r="95" spans="1:9" x14ac:dyDescent="0.3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  <c r="I95" t="str">
        <f t="shared" si="1"/>
        <v>Christy Vasquez</v>
      </c>
    </row>
    <row r="96" spans="1:9" x14ac:dyDescent="0.3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  <c r="I96" t="str">
        <f t="shared" si="1"/>
        <v>David Patterson</v>
      </c>
    </row>
    <row r="97" spans="1:9" x14ac:dyDescent="0.3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  <c r="I97" t="str">
        <f t="shared" si="1"/>
        <v>Amy Fowler</v>
      </c>
    </row>
    <row r="98" spans="1:9" x14ac:dyDescent="0.3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  <c r="I98" t="str">
        <f t="shared" si="1"/>
        <v>Samantha Walker</v>
      </c>
    </row>
    <row r="99" spans="1:9" x14ac:dyDescent="0.3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  <c r="I99" t="str">
        <f t="shared" si="1"/>
        <v>David Cobb</v>
      </c>
    </row>
    <row r="100" spans="1:9" x14ac:dyDescent="0.3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  <c r="I100" t="str">
        <f t="shared" si="1"/>
        <v>Brittney Morgan</v>
      </c>
    </row>
    <row r="101" spans="1:9" x14ac:dyDescent="0.3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  <c r="I101" t="str">
        <f t="shared" si="1"/>
        <v>Sheila Wilson</v>
      </c>
    </row>
    <row r="102" spans="1:9" x14ac:dyDescent="0.3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  <c r="I102" t="str">
        <f t="shared" si="1"/>
        <v>Diane Watson</v>
      </c>
    </row>
    <row r="103" spans="1:9" x14ac:dyDescent="0.3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  <c r="I103" t="str">
        <f t="shared" si="1"/>
        <v>Colleen Maynard</v>
      </c>
    </row>
    <row r="104" spans="1:9" x14ac:dyDescent="0.3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  <c r="I104" t="str">
        <f t="shared" si="1"/>
        <v>Sarah Schneider</v>
      </c>
    </row>
    <row r="105" spans="1:9" x14ac:dyDescent="0.3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  <c r="I105" t="str">
        <f t="shared" si="1"/>
        <v>Steven Stein</v>
      </c>
    </row>
    <row r="106" spans="1:9" x14ac:dyDescent="0.3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  <c r="I106" t="str">
        <f t="shared" si="1"/>
        <v>Christopher Lester</v>
      </c>
    </row>
    <row r="107" spans="1:9" x14ac:dyDescent="0.3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  <c r="I107" t="str">
        <f t="shared" si="1"/>
        <v>Lance Baker</v>
      </c>
    </row>
    <row r="108" spans="1:9" x14ac:dyDescent="0.3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  <c r="I108" t="str">
        <f t="shared" si="1"/>
        <v>Howard Summers</v>
      </c>
    </row>
    <row r="109" spans="1:9" x14ac:dyDescent="0.3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  <c r="I109" t="str">
        <f t="shared" si="1"/>
        <v>Erica Carney</v>
      </c>
    </row>
    <row r="110" spans="1:9" x14ac:dyDescent="0.3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  <c r="I110" t="str">
        <f t="shared" si="1"/>
        <v>Travis Holland</v>
      </c>
    </row>
    <row r="111" spans="1:9" x14ac:dyDescent="0.3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  <c r="I111" t="str">
        <f t="shared" si="1"/>
        <v>Amy Walker</v>
      </c>
    </row>
    <row r="112" spans="1:9" x14ac:dyDescent="0.3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  <c r="I112" t="str">
        <f t="shared" si="1"/>
        <v>Ashley Griffin</v>
      </c>
    </row>
    <row r="113" spans="1:9" x14ac:dyDescent="0.3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  <c r="I113" t="str">
        <f t="shared" si="1"/>
        <v>Julie Farmer</v>
      </c>
    </row>
    <row r="114" spans="1:9" x14ac:dyDescent="0.3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  <c r="I114" t="str">
        <f t="shared" si="1"/>
        <v>David Cole</v>
      </c>
    </row>
    <row r="115" spans="1:9" x14ac:dyDescent="0.3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  <c r="I115" t="str">
        <f t="shared" si="1"/>
        <v>Edward Hall</v>
      </c>
    </row>
    <row r="116" spans="1:9" x14ac:dyDescent="0.3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  <c r="I116" t="str">
        <f t="shared" si="1"/>
        <v>Ryan Hernandez</v>
      </c>
    </row>
    <row r="117" spans="1:9" x14ac:dyDescent="0.3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  <c r="I117" t="str">
        <f t="shared" si="1"/>
        <v>Tyler Conrad</v>
      </c>
    </row>
    <row r="118" spans="1:9" x14ac:dyDescent="0.3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  <c r="I118" t="str">
        <f t="shared" si="1"/>
        <v>Anthony Phillips</v>
      </c>
    </row>
    <row r="119" spans="1:9" x14ac:dyDescent="0.3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  <c r="I119" t="str">
        <f t="shared" si="1"/>
        <v>Colleen Mccarthy</v>
      </c>
    </row>
    <row r="120" spans="1:9" x14ac:dyDescent="0.3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  <c r="I120" t="str">
        <f t="shared" si="1"/>
        <v>Earl Allen</v>
      </c>
    </row>
    <row r="121" spans="1:9" x14ac:dyDescent="0.3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  <c r="I121" t="str">
        <f t="shared" si="1"/>
        <v>Michael Jones</v>
      </c>
    </row>
    <row r="122" spans="1:9" x14ac:dyDescent="0.3">
      <c r="A122" t="s">
        <v>417</v>
      </c>
      <c r="B122" t="s">
        <v>418</v>
      </c>
      <c r="C122">
        <v>44</v>
      </c>
      <c r="D122" t="s">
        <v>16</v>
      </c>
      <c r="E122" t="s">
        <v>3609</v>
      </c>
      <c r="F122" t="s">
        <v>51</v>
      </c>
      <c r="G122" t="s">
        <v>12</v>
      </c>
      <c r="H122" t="s">
        <v>19</v>
      </c>
      <c r="I122" t="str">
        <f t="shared" si="1"/>
        <v>Jacob Hopkins</v>
      </c>
    </row>
    <row r="123" spans="1:9" x14ac:dyDescent="0.3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  <c r="I123" t="str">
        <f t="shared" si="1"/>
        <v>Joel Robinson</v>
      </c>
    </row>
    <row r="124" spans="1:9" x14ac:dyDescent="0.3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  <c r="I124" t="str">
        <f t="shared" si="1"/>
        <v>Michael Chang</v>
      </c>
    </row>
    <row r="125" spans="1:9" x14ac:dyDescent="0.3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  <c r="I125" t="str">
        <f t="shared" si="1"/>
        <v>Erin Hopkins</v>
      </c>
    </row>
    <row r="126" spans="1:9" x14ac:dyDescent="0.3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  <c r="I126" t="str">
        <f t="shared" si="1"/>
        <v>Donald Lee</v>
      </c>
    </row>
    <row r="127" spans="1:9" x14ac:dyDescent="0.3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  <c r="I127" t="str">
        <f t="shared" si="1"/>
        <v>Keith Miller</v>
      </c>
    </row>
    <row r="128" spans="1:9" x14ac:dyDescent="0.3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  <c r="I128" t="str">
        <f t="shared" si="1"/>
        <v>James Wolfe</v>
      </c>
    </row>
    <row r="129" spans="1:9" x14ac:dyDescent="0.3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  <c r="I129" t="str">
        <f t="shared" si="1"/>
        <v>John Mcknight</v>
      </c>
    </row>
    <row r="130" spans="1:9" x14ac:dyDescent="0.3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  <c r="I130" t="str">
        <f t="shared" ref="I130:I193" si="2">PROPER(B130)</f>
        <v>Susan Mcdonald</v>
      </c>
    </row>
    <row r="131" spans="1:9" x14ac:dyDescent="0.3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  <c r="I131" t="str">
        <f t="shared" si="2"/>
        <v>Jessica Mitchell</v>
      </c>
    </row>
    <row r="132" spans="1:9" x14ac:dyDescent="0.3">
      <c r="A132" t="s">
        <v>447</v>
      </c>
      <c r="B132" t="s">
        <v>448</v>
      </c>
      <c r="C132">
        <v>29</v>
      </c>
      <c r="D132" t="s">
        <v>9</v>
      </c>
      <c r="E132" t="s">
        <v>3610</v>
      </c>
      <c r="F132" t="s">
        <v>167</v>
      </c>
      <c r="G132" t="s">
        <v>3611</v>
      </c>
      <c r="H132" t="s">
        <v>19</v>
      </c>
      <c r="I132" t="str">
        <f t="shared" si="2"/>
        <v>Jamie Reyes</v>
      </c>
    </row>
    <row r="133" spans="1:9" x14ac:dyDescent="0.3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  <c r="I133" t="str">
        <f t="shared" si="2"/>
        <v>Joseph Richards</v>
      </c>
    </row>
    <row r="134" spans="1:9" x14ac:dyDescent="0.3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  <c r="I134" t="str">
        <f t="shared" si="2"/>
        <v>Miguel Reynolds</v>
      </c>
    </row>
    <row r="135" spans="1:9" x14ac:dyDescent="0.3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  <c r="I135" t="str">
        <f t="shared" si="2"/>
        <v>Hayley Pope</v>
      </c>
    </row>
    <row r="136" spans="1:9" x14ac:dyDescent="0.3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  <c r="I136" t="str">
        <f t="shared" si="2"/>
        <v>Morgan Bowen</v>
      </c>
    </row>
    <row r="137" spans="1:9" x14ac:dyDescent="0.3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  <c r="I137" t="str">
        <f t="shared" si="2"/>
        <v>Matthew Hanna</v>
      </c>
    </row>
    <row r="138" spans="1:9" x14ac:dyDescent="0.3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  <c r="I138" t="str">
        <f t="shared" si="2"/>
        <v>Patrick Coleman</v>
      </c>
    </row>
    <row r="139" spans="1:9" x14ac:dyDescent="0.3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  <c r="I139" t="str">
        <f t="shared" si="2"/>
        <v>Rick Dominguez</v>
      </c>
    </row>
    <row r="140" spans="1:9" x14ac:dyDescent="0.3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  <c r="I140" t="str">
        <f t="shared" si="2"/>
        <v>Sean Roth</v>
      </c>
    </row>
    <row r="141" spans="1:9" x14ac:dyDescent="0.3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  <c r="I141" t="str">
        <f t="shared" si="2"/>
        <v>Brian Holder</v>
      </c>
    </row>
    <row r="142" spans="1:9" x14ac:dyDescent="0.3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  <c r="I142" t="str">
        <f t="shared" si="2"/>
        <v>Patty Francis</v>
      </c>
    </row>
    <row r="143" spans="1:9" x14ac:dyDescent="0.3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3611</v>
      </c>
      <c r="H143" t="s">
        <v>26</v>
      </c>
      <c r="I143" t="str">
        <f t="shared" si="2"/>
        <v>Cristian Wright</v>
      </c>
    </row>
    <row r="144" spans="1:9" x14ac:dyDescent="0.3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  <c r="I144" t="str">
        <f t="shared" si="2"/>
        <v>Maria Ramirez</v>
      </c>
    </row>
    <row r="145" spans="1:9" x14ac:dyDescent="0.3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  <c r="I145" t="str">
        <f t="shared" si="2"/>
        <v>Carlos Skinner</v>
      </c>
    </row>
    <row r="146" spans="1:9" x14ac:dyDescent="0.3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  <c r="I146" t="str">
        <f t="shared" si="2"/>
        <v>Justin Cross</v>
      </c>
    </row>
    <row r="147" spans="1:9" x14ac:dyDescent="0.3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  <c r="I147" t="str">
        <f t="shared" si="2"/>
        <v>Cameron Simpson</v>
      </c>
    </row>
    <row r="148" spans="1:9" x14ac:dyDescent="0.3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  <c r="I148" t="str">
        <f t="shared" si="2"/>
        <v>Edward Rivera</v>
      </c>
    </row>
    <row r="149" spans="1:9" x14ac:dyDescent="0.3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  <c r="I149" t="str">
        <f t="shared" si="2"/>
        <v>Rhonda Young</v>
      </c>
    </row>
    <row r="150" spans="1:9" x14ac:dyDescent="0.3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  <c r="I150" t="str">
        <f t="shared" si="2"/>
        <v>Theresa Campbell</v>
      </c>
    </row>
    <row r="151" spans="1:9" x14ac:dyDescent="0.3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  <c r="I151" t="str">
        <f t="shared" si="2"/>
        <v>Denise Griffin</v>
      </c>
    </row>
    <row r="152" spans="1:9" x14ac:dyDescent="0.3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  <c r="I152" t="str">
        <f t="shared" si="2"/>
        <v>Stephanie Conway</v>
      </c>
    </row>
    <row r="153" spans="1:9" x14ac:dyDescent="0.3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  <c r="I153" t="str">
        <f t="shared" si="2"/>
        <v>Michael Davies</v>
      </c>
    </row>
    <row r="154" spans="1:9" x14ac:dyDescent="0.3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  <c r="I154" t="str">
        <f t="shared" si="2"/>
        <v>Patrick Roberts</v>
      </c>
    </row>
    <row r="155" spans="1:9" x14ac:dyDescent="0.3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  <c r="I155" t="str">
        <f t="shared" si="2"/>
        <v>Joseph Faulkner</v>
      </c>
    </row>
    <row r="156" spans="1:9" x14ac:dyDescent="0.3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  <c r="I156" t="str">
        <f t="shared" si="2"/>
        <v>Julie Hale</v>
      </c>
    </row>
    <row r="157" spans="1:9" x14ac:dyDescent="0.3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  <c r="I157" t="str">
        <f t="shared" si="2"/>
        <v>Curtis Haynes</v>
      </c>
    </row>
    <row r="158" spans="1:9" x14ac:dyDescent="0.3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  <c r="I158" t="str">
        <f t="shared" si="2"/>
        <v>Maria Sanchez</v>
      </c>
    </row>
    <row r="159" spans="1:9" x14ac:dyDescent="0.3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  <c r="I159" t="str">
        <f t="shared" si="2"/>
        <v>Paul Zamora</v>
      </c>
    </row>
    <row r="160" spans="1:9" x14ac:dyDescent="0.3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  <c r="I160" t="str">
        <f t="shared" si="2"/>
        <v>Sean Powell</v>
      </c>
    </row>
    <row r="161" spans="1:9" x14ac:dyDescent="0.3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  <c r="I161" t="str">
        <f t="shared" si="2"/>
        <v>Brian Choi</v>
      </c>
    </row>
    <row r="162" spans="1:9" x14ac:dyDescent="0.3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  <c r="I162" t="str">
        <f t="shared" si="2"/>
        <v>John Lawson</v>
      </c>
    </row>
    <row r="163" spans="1:9" x14ac:dyDescent="0.3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  <c r="I163" t="str">
        <f t="shared" si="2"/>
        <v>Cynthia Morris</v>
      </c>
    </row>
    <row r="164" spans="1:9" x14ac:dyDescent="0.3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3611</v>
      </c>
      <c r="H164" t="s">
        <v>31</v>
      </c>
      <c r="I164" t="str">
        <f t="shared" si="2"/>
        <v>Mariah Brown</v>
      </c>
    </row>
    <row r="165" spans="1:9" x14ac:dyDescent="0.3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  <c r="I165" t="str">
        <f t="shared" si="2"/>
        <v>Joseph Jones</v>
      </c>
    </row>
    <row r="166" spans="1:9" x14ac:dyDescent="0.3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  <c r="I166" t="str">
        <f t="shared" si="2"/>
        <v>Daniel Rivas</v>
      </c>
    </row>
    <row r="167" spans="1:9" x14ac:dyDescent="0.3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  <c r="I167" t="str">
        <f t="shared" si="2"/>
        <v>Jason Wheeler</v>
      </c>
    </row>
    <row r="168" spans="1:9" x14ac:dyDescent="0.3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  <c r="I168" t="str">
        <f t="shared" si="2"/>
        <v>Patricia Gardner</v>
      </c>
    </row>
    <row r="169" spans="1:9" x14ac:dyDescent="0.3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  <c r="I169" t="str">
        <f t="shared" si="2"/>
        <v>Antonio Wade</v>
      </c>
    </row>
    <row r="170" spans="1:9" x14ac:dyDescent="0.3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  <c r="I170" t="str">
        <f t="shared" si="2"/>
        <v>Daniel Contreras</v>
      </c>
    </row>
    <row r="171" spans="1:9" x14ac:dyDescent="0.3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  <c r="I171" t="str">
        <f t="shared" si="2"/>
        <v>Steve Mclaughlin</v>
      </c>
    </row>
    <row r="172" spans="1:9" x14ac:dyDescent="0.3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  <c r="I172" t="str">
        <f t="shared" si="2"/>
        <v>Christopher Garcia Dds</v>
      </c>
    </row>
    <row r="173" spans="1:9" x14ac:dyDescent="0.3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  <c r="I173" t="str">
        <f t="shared" si="2"/>
        <v>Amy Wilson</v>
      </c>
    </row>
    <row r="174" spans="1:9" x14ac:dyDescent="0.3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  <c r="I174" t="str">
        <f t="shared" si="2"/>
        <v>Thomas Rhodes</v>
      </c>
    </row>
    <row r="175" spans="1:9" x14ac:dyDescent="0.3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3612</v>
      </c>
      <c r="H175" t="s">
        <v>19</v>
      </c>
      <c r="I175" t="str">
        <f t="shared" si="2"/>
        <v>Teresa Stokes</v>
      </c>
    </row>
    <row r="176" spans="1:9" x14ac:dyDescent="0.3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  <c r="I176" t="str">
        <f t="shared" si="2"/>
        <v>Maria Davis</v>
      </c>
    </row>
    <row r="177" spans="1:9" x14ac:dyDescent="0.3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  <c r="I177" t="str">
        <f t="shared" si="2"/>
        <v>Michelle Rogers</v>
      </c>
    </row>
    <row r="178" spans="1:9" x14ac:dyDescent="0.3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  <c r="I178" t="str">
        <f t="shared" si="2"/>
        <v>John Bradford</v>
      </c>
    </row>
    <row r="179" spans="1:9" x14ac:dyDescent="0.3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  <c r="I179" t="str">
        <f t="shared" si="2"/>
        <v>Curtis Lam</v>
      </c>
    </row>
    <row r="180" spans="1:9" x14ac:dyDescent="0.3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  <c r="I180" t="str">
        <f t="shared" si="2"/>
        <v>Michelle Myers</v>
      </c>
    </row>
    <row r="181" spans="1:9" x14ac:dyDescent="0.3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  <c r="I181" t="str">
        <f t="shared" si="2"/>
        <v>Nicholas Bradshaw</v>
      </c>
    </row>
    <row r="182" spans="1:9" x14ac:dyDescent="0.3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  <c r="I182" t="str">
        <f t="shared" si="2"/>
        <v>Wesley Thompson</v>
      </c>
    </row>
    <row r="183" spans="1:9" x14ac:dyDescent="0.3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  <c r="I183" t="str">
        <f t="shared" si="2"/>
        <v>Erin Ward</v>
      </c>
    </row>
    <row r="184" spans="1:9" x14ac:dyDescent="0.3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  <c r="I184" t="str">
        <f t="shared" si="2"/>
        <v>Melissa Hamilton</v>
      </c>
    </row>
    <row r="185" spans="1:9" x14ac:dyDescent="0.3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  <c r="I185" t="str">
        <f t="shared" si="2"/>
        <v>Mario Jacobs</v>
      </c>
    </row>
    <row r="186" spans="1:9" x14ac:dyDescent="0.3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  <c r="I186" t="str">
        <f t="shared" si="2"/>
        <v>Leonard Cochran</v>
      </c>
    </row>
    <row r="187" spans="1:9" x14ac:dyDescent="0.3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  <c r="I187" t="str">
        <f t="shared" si="2"/>
        <v>Brent Rivas</v>
      </c>
    </row>
    <row r="188" spans="1:9" x14ac:dyDescent="0.3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  <c r="I188" t="str">
        <f t="shared" si="2"/>
        <v>Jennifer Pruitt</v>
      </c>
    </row>
    <row r="189" spans="1:9" x14ac:dyDescent="0.3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  <c r="I189" t="str">
        <f t="shared" si="2"/>
        <v>Dr. Suzanne Bullock</v>
      </c>
    </row>
    <row r="190" spans="1:9" x14ac:dyDescent="0.3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  <c r="I190" t="str">
        <f t="shared" si="2"/>
        <v>Kimberly Brooks</v>
      </c>
    </row>
    <row r="191" spans="1:9" x14ac:dyDescent="0.3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  <c r="I191" t="str">
        <f t="shared" si="2"/>
        <v>Daniel Austin</v>
      </c>
    </row>
    <row r="192" spans="1:9" x14ac:dyDescent="0.3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  <c r="I192" t="str">
        <f t="shared" si="2"/>
        <v>Christopher Stewart</v>
      </c>
    </row>
    <row r="193" spans="1:9" x14ac:dyDescent="0.3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  <c r="I193" t="str">
        <f t="shared" si="2"/>
        <v>Todd Poole</v>
      </c>
    </row>
    <row r="194" spans="1:9" x14ac:dyDescent="0.3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  <c r="I194" t="str">
        <f t="shared" ref="I194:I257" si="3">PROPER(B194)</f>
        <v>Jacob Wood</v>
      </c>
    </row>
    <row r="195" spans="1:9" x14ac:dyDescent="0.3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  <c r="I195" t="str">
        <f t="shared" si="3"/>
        <v>David Roberts</v>
      </c>
    </row>
    <row r="196" spans="1:9" x14ac:dyDescent="0.3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  <c r="I196" t="str">
        <f t="shared" si="3"/>
        <v>Ashley Ferguson</v>
      </c>
    </row>
    <row r="197" spans="1:9" x14ac:dyDescent="0.3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  <c r="I197" t="str">
        <f t="shared" si="3"/>
        <v>Anthony Garcia</v>
      </c>
    </row>
    <row r="198" spans="1:9" x14ac:dyDescent="0.3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  <c r="I198" t="str">
        <f t="shared" si="3"/>
        <v>Megan Greer</v>
      </c>
    </row>
    <row r="199" spans="1:9" x14ac:dyDescent="0.3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  <c r="I199" t="str">
        <f t="shared" si="3"/>
        <v>Andrea Jacobs</v>
      </c>
    </row>
    <row r="200" spans="1:9" x14ac:dyDescent="0.3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  <c r="I200" t="str">
        <f t="shared" si="3"/>
        <v>Wanda Snyder</v>
      </c>
    </row>
    <row r="201" spans="1:9" x14ac:dyDescent="0.3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  <c r="I201" t="str">
        <f t="shared" si="3"/>
        <v>Carmen Price</v>
      </c>
    </row>
    <row r="202" spans="1:9" x14ac:dyDescent="0.3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  <c r="I202" t="str">
        <f t="shared" si="3"/>
        <v>Anna Perez</v>
      </c>
    </row>
    <row r="203" spans="1:9" x14ac:dyDescent="0.3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  <c r="I203" t="str">
        <f t="shared" si="3"/>
        <v>Mary Boyd</v>
      </c>
    </row>
    <row r="204" spans="1:9" x14ac:dyDescent="0.3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  <c r="I204" t="str">
        <f t="shared" si="3"/>
        <v>Christina Garcia</v>
      </c>
    </row>
    <row r="205" spans="1:9" x14ac:dyDescent="0.3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  <c r="I205" t="str">
        <f t="shared" si="3"/>
        <v>Sarah Brady</v>
      </c>
    </row>
    <row r="206" spans="1:9" x14ac:dyDescent="0.3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  <c r="I206" t="str">
        <f t="shared" si="3"/>
        <v>Tiffany Herrera</v>
      </c>
    </row>
    <row r="207" spans="1:9" x14ac:dyDescent="0.3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  <c r="I207" t="str">
        <f t="shared" si="3"/>
        <v>Michelle Carpenter</v>
      </c>
    </row>
    <row r="208" spans="1:9" x14ac:dyDescent="0.3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  <c r="I208" t="str">
        <f t="shared" si="3"/>
        <v>Ronald Jones</v>
      </c>
    </row>
    <row r="209" spans="1:9" x14ac:dyDescent="0.3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  <c r="I209" t="str">
        <f t="shared" si="3"/>
        <v>Jacqueline Pacheco</v>
      </c>
    </row>
    <row r="210" spans="1:9" x14ac:dyDescent="0.3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  <c r="I210" t="str">
        <f t="shared" si="3"/>
        <v>John Perez</v>
      </c>
    </row>
    <row r="211" spans="1:9" x14ac:dyDescent="0.3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  <c r="I211" t="str">
        <f t="shared" si="3"/>
        <v>Joan Johnson</v>
      </c>
    </row>
    <row r="212" spans="1:9" x14ac:dyDescent="0.3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  <c r="I212" t="str">
        <f t="shared" si="3"/>
        <v>Antonio Jones</v>
      </c>
    </row>
    <row r="213" spans="1:9" x14ac:dyDescent="0.3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  <c r="I213" t="str">
        <f t="shared" si="3"/>
        <v>Rodney Huffman</v>
      </c>
    </row>
    <row r="214" spans="1:9" x14ac:dyDescent="0.3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  <c r="I214" t="str">
        <f t="shared" si="3"/>
        <v>Blake Harrison</v>
      </c>
    </row>
    <row r="215" spans="1:9" x14ac:dyDescent="0.3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  <c r="I215" t="str">
        <f t="shared" si="3"/>
        <v>Stuart Johnson</v>
      </c>
    </row>
    <row r="216" spans="1:9" x14ac:dyDescent="0.3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  <c r="I216" t="str">
        <f t="shared" si="3"/>
        <v>Eric Todd</v>
      </c>
    </row>
    <row r="217" spans="1:9" x14ac:dyDescent="0.3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  <c r="I217" t="str">
        <f t="shared" si="3"/>
        <v>Steve Medina</v>
      </c>
    </row>
    <row r="218" spans="1:9" x14ac:dyDescent="0.3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  <c r="I218" t="str">
        <f t="shared" si="3"/>
        <v>Kathryn Garcia</v>
      </c>
    </row>
    <row r="219" spans="1:9" x14ac:dyDescent="0.3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  <c r="I219" t="str">
        <f t="shared" si="3"/>
        <v>Kathy Copeland</v>
      </c>
    </row>
    <row r="220" spans="1:9" x14ac:dyDescent="0.3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  <c r="I220" t="str">
        <f t="shared" si="3"/>
        <v>Julia Jackson</v>
      </c>
    </row>
    <row r="221" spans="1:9" x14ac:dyDescent="0.3">
      <c r="A221" t="s">
        <v>711</v>
      </c>
      <c r="B221" t="s">
        <v>712</v>
      </c>
      <c r="C221">
        <v>47</v>
      </c>
      <c r="D221" t="s">
        <v>16</v>
      </c>
      <c r="E221" t="s">
        <v>3614</v>
      </c>
      <c r="F221" t="s">
        <v>88</v>
      </c>
      <c r="G221" t="s">
        <v>12</v>
      </c>
      <c r="H221" t="s">
        <v>13</v>
      </c>
      <c r="I221" t="str">
        <f t="shared" si="3"/>
        <v>Jordan Wells</v>
      </c>
    </row>
    <row r="222" spans="1:9" x14ac:dyDescent="0.3">
      <c r="A222" t="s">
        <v>713</v>
      </c>
      <c r="B222" t="s">
        <v>714</v>
      </c>
      <c r="C222">
        <v>50</v>
      </c>
      <c r="D222" t="s">
        <v>16</v>
      </c>
      <c r="E222" t="s">
        <v>3613</v>
      </c>
      <c r="F222" t="s">
        <v>715</v>
      </c>
      <c r="G222" t="s">
        <v>3612</v>
      </c>
      <c r="H222" t="s">
        <v>26</v>
      </c>
      <c r="I222" t="str">
        <f t="shared" si="3"/>
        <v>George Davis</v>
      </c>
    </row>
    <row r="223" spans="1:9" x14ac:dyDescent="0.3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  <c r="I223" t="str">
        <f t="shared" si="3"/>
        <v>Lisa Young</v>
      </c>
    </row>
    <row r="224" spans="1:9" x14ac:dyDescent="0.3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  <c r="I224" t="str">
        <f t="shared" si="3"/>
        <v>Alejandro Doyle</v>
      </c>
    </row>
    <row r="225" spans="1:9" x14ac:dyDescent="0.3">
      <c r="A225" t="s">
        <v>722</v>
      </c>
      <c r="B225" t="s">
        <v>723</v>
      </c>
      <c r="C225">
        <v>50</v>
      </c>
      <c r="D225" t="s">
        <v>9</v>
      </c>
      <c r="E225" t="s">
        <v>3615</v>
      </c>
      <c r="F225" t="s">
        <v>267</v>
      </c>
      <c r="G225" t="s">
        <v>12</v>
      </c>
      <c r="H225" t="s">
        <v>19</v>
      </c>
      <c r="I225" t="str">
        <f t="shared" si="3"/>
        <v>Robert Harris</v>
      </c>
    </row>
    <row r="226" spans="1:9" x14ac:dyDescent="0.3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  <c r="I226" t="str">
        <f t="shared" si="3"/>
        <v>Anthony Morgan</v>
      </c>
    </row>
    <row r="227" spans="1:9" x14ac:dyDescent="0.3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  <c r="I227" t="str">
        <f t="shared" si="3"/>
        <v>Elizabeth Stanley</v>
      </c>
    </row>
    <row r="228" spans="1:9" x14ac:dyDescent="0.3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  <c r="I228" t="str">
        <f t="shared" si="3"/>
        <v>Alexis Castaneda</v>
      </c>
    </row>
    <row r="229" spans="1:9" x14ac:dyDescent="0.3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  <c r="I229" t="str">
        <f t="shared" si="3"/>
        <v>Gregory Pham</v>
      </c>
    </row>
    <row r="230" spans="1:9" x14ac:dyDescent="0.3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  <c r="I230" t="str">
        <f t="shared" si="3"/>
        <v>Casey Flores</v>
      </c>
    </row>
    <row r="231" spans="1:9" x14ac:dyDescent="0.3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  <c r="I231" t="str">
        <f t="shared" si="3"/>
        <v>Tanner Thompson</v>
      </c>
    </row>
    <row r="232" spans="1:9" x14ac:dyDescent="0.3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  <c r="I232" t="str">
        <f t="shared" si="3"/>
        <v>Timothy Sanders</v>
      </c>
    </row>
    <row r="233" spans="1:9" x14ac:dyDescent="0.3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  <c r="I233" t="str">
        <f t="shared" si="3"/>
        <v>Timothy Juarez</v>
      </c>
    </row>
    <row r="234" spans="1:9" x14ac:dyDescent="0.3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  <c r="I234" t="str">
        <f t="shared" si="3"/>
        <v>Christy Hill</v>
      </c>
    </row>
    <row r="235" spans="1:9" x14ac:dyDescent="0.3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  <c r="I235" t="str">
        <f t="shared" si="3"/>
        <v>Michelle Gonzalez</v>
      </c>
    </row>
    <row r="236" spans="1:9" x14ac:dyDescent="0.3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  <c r="I236" t="str">
        <f t="shared" si="3"/>
        <v>Nathaniel Hill</v>
      </c>
    </row>
    <row r="237" spans="1:9" x14ac:dyDescent="0.3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  <c r="I237" t="str">
        <f t="shared" si="3"/>
        <v>Jon Ortiz</v>
      </c>
    </row>
    <row r="238" spans="1:9" x14ac:dyDescent="0.3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  <c r="I238" t="str">
        <f t="shared" si="3"/>
        <v>Joshua Wilson</v>
      </c>
    </row>
    <row r="239" spans="1:9" x14ac:dyDescent="0.3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  <c r="I239" t="str">
        <f t="shared" si="3"/>
        <v>Wesley Short</v>
      </c>
    </row>
    <row r="240" spans="1:9" x14ac:dyDescent="0.3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  <c r="I240" t="str">
        <f t="shared" si="3"/>
        <v>Steven Smith</v>
      </c>
    </row>
    <row r="241" spans="1:9" x14ac:dyDescent="0.3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  <c r="I241" t="str">
        <f t="shared" si="3"/>
        <v>Maria Hill</v>
      </c>
    </row>
    <row r="242" spans="1:9" x14ac:dyDescent="0.3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  <c r="I242" t="str">
        <f t="shared" si="3"/>
        <v>William Hull</v>
      </c>
    </row>
    <row r="243" spans="1:9" x14ac:dyDescent="0.3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  <c r="I243" t="str">
        <f t="shared" si="3"/>
        <v>Mr. William Horton</v>
      </c>
    </row>
    <row r="244" spans="1:9" x14ac:dyDescent="0.3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  <c r="I244" t="str">
        <f t="shared" si="3"/>
        <v>William Jackson</v>
      </c>
    </row>
    <row r="245" spans="1:9" x14ac:dyDescent="0.3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  <c r="I245" t="str">
        <f t="shared" si="3"/>
        <v>Brian Hammond</v>
      </c>
    </row>
    <row r="246" spans="1:9" x14ac:dyDescent="0.3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  <c r="I246" t="str">
        <f t="shared" si="3"/>
        <v>Nancy Page</v>
      </c>
    </row>
    <row r="247" spans="1:9" x14ac:dyDescent="0.3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  <c r="I247" t="str">
        <f t="shared" si="3"/>
        <v>Laura Soto</v>
      </c>
    </row>
    <row r="248" spans="1:9" x14ac:dyDescent="0.3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  <c r="I248" t="str">
        <f t="shared" si="3"/>
        <v>Mary Russell</v>
      </c>
    </row>
    <row r="249" spans="1:9" x14ac:dyDescent="0.3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  <c r="I249" t="str">
        <f t="shared" si="3"/>
        <v>Douglas Rhodes</v>
      </c>
    </row>
    <row r="250" spans="1:9" x14ac:dyDescent="0.3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  <c r="I250" t="str">
        <f t="shared" si="3"/>
        <v>Nicholas Webb</v>
      </c>
    </row>
    <row r="251" spans="1:9" x14ac:dyDescent="0.3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  <c r="I251" t="str">
        <f t="shared" si="3"/>
        <v>Lauren George</v>
      </c>
    </row>
    <row r="252" spans="1:9" x14ac:dyDescent="0.3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  <c r="I252" t="str">
        <f t="shared" si="3"/>
        <v>Veronica Newman</v>
      </c>
    </row>
    <row r="253" spans="1:9" x14ac:dyDescent="0.3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  <c r="I253" t="str">
        <f t="shared" si="3"/>
        <v>Tyler Garner</v>
      </c>
    </row>
    <row r="254" spans="1:9" x14ac:dyDescent="0.3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  <c r="I254" t="str">
        <f t="shared" si="3"/>
        <v>John Mccoy</v>
      </c>
    </row>
    <row r="255" spans="1:9" x14ac:dyDescent="0.3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  <c r="I255" t="str">
        <f t="shared" si="3"/>
        <v>Dr. Ashley Yates Md</v>
      </c>
    </row>
    <row r="256" spans="1:9" x14ac:dyDescent="0.3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  <c r="I256" t="str">
        <f t="shared" si="3"/>
        <v>Linda Kline</v>
      </c>
    </row>
    <row r="257" spans="1:9" x14ac:dyDescent="0.3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  <c r="I257" t="str">
        <f t="shared" si="3"/>
        <v>Damon Perez</v>
      </c>
    </row>
    <row r="258" spans="1:9" x14ac:dyDescent="0.3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  <c r="I258" t="str">
        <f t="shared" ref="I258:I321" si="4">PROPER(B258)</f>
        <v>Kristen Fischer</v>
      </c>
    </row>
    <row r="259" spans="1:9" x14ac:dyDescent="0.3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  <c r="I259" t="str">
        <f t="shared" si="4"/>
        <v>Christopher David</v>
      </c>
    </row>
    <row r="260" spans="1:9" x14ac:dyDescent="0.3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  <c r="I260" t="str">
        <f t="shared" si="4"/>
        <v>Sarah Stewart</v>
      </c>
    </row>
    <row r="261" spans="1:9" x14ac:dyDescent="0.3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  <c r="I261" t="str">
        <f t="shared" si="4"/>
        <v>Beth Allen</v>
      </c>
    </row>
    <row r="262" spans="1:9" x14ac:dyDescent="0.3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  <c r="I262" t="str">
        <f t="shared" si="4"/>
        <v>Russell Lamb</v>
      </c>
    </row>
    <row r="263" spans="1:9" x14ac:dyDescent="0.3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  <c r="I263" t="str">
        <f t="shared" si="4"/>
        <v>Carol Bishop</v>
      </c>
    </row>
    <row r="264" spans="1:9" x14ac:dyDescent="0.3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  <c r="I264" t="str">
        <f t="shared" si="4"/>
        <v>Katherine Cowan</v>
      </c>
    </row>
    <row r="265" spans="1:9" x14ac:dyDescent="0.3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  <c r="I265" t="str">
        <f t="shared" si="4"/>
        <v>Crystal Davis</v>
      </c>
    </row>
    <row r="266" spans="1:9" x14ac:dyDescent="0.3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  <c r="I266" t="str">
        <f t="shared" si="4"/>
        <v>Matthew Payne</v>
      </c>
    </row>
    <row r="267" spans="1:9" x14ac:dyDescent="0.3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  <c r="I267" t="str">
        <f t="shared" si="4"/>
        <v>Tracy Kelly</v>
      </c>
    </row>
    <row r="268" spans="1:9" x14ac:dyDescent="0.3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  <c r="I268" t="str">
        <f t="shared" si="4"/>
        <v>Cynthia Payne</v>
      </c>
    </row>
    <row r="269" spans="1:9" x14ac:dyDescent="0.3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  <c r="I269" t="str">
        <f t="shared" si="4"/>
        <v>Zachary Shelton</v>
      </c>
    </row>
    <row r="270" spans="1:9" x14ac:dyDescent="0.3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  <c r="I270" t="str">
        <f t="shared" si="4"/>
        <v>Kevin Orr</v>
      </c>
    </row>
    <row r="271" spans="1:9" x14ac:dyDescent="0.3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  <c r="I271" t="str">
        <f t="shared" si="4"/>
        <v>Tyrone Olson</v>
      </c>
    </row>
    <row r="272" spans="1:9" x14ac:dyDescent="0.3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  <c r="I272" t="str">
        <f t="shared" si="4"/>
        <v>Brian Garcia</v>
      </c>
    </row>
    <row r="273" spans="1:9" x14ac:dyDescent="0.3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  <c r="I273" t="str">
        <f t="shared" si="4"/>
        <v>Daisy Johnson Dds</v>
      </c>
    </row>
    <row r="274" spans="1:9" x14ac:dyDescent="0.3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  <c r="I274" t="str">
        <f t="shared" si="4"/>
        <v>Adam Rowland</v>
      </c>
    </row>
    <row r="275" spans="1:9" x14ac:dyDescent="0.3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  <c r="I275" t="str">
        <f t="shared" si="4"/>
        <v>Samantha Robinson</v>
      </c>
    </row>
    <row r="276" spans="1:9" x14ac:dyDescent="0.3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  <c r="I276" t="str">
        <f t="shared" si="4"/>
        <v>Sarah Lane</v>
      </c>
    </row>
    <row r="277" spans="1:9" x14ac:dyDescent="0.3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  <c r="I277" t="str">
        <f t="shared" si="4"/>
        <v>Shannon Miller</v>
      </c>
    </row>
    <row r="278" spans="1:9" x14ac:dyDescent="0.3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  <c r="I278" t="str">
        <f t="shared" si="4"/>
        <v>Arthur Warren</v>
      </c>
    </row>
    <row r="279" spans="1:9" x14ac:dyDescent="0.3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  <c r="I279" t="str">
        <f t="shared" si="4"/>
        <v>Jeffrey Gomez</v>
      </c>
    </row>
    <row r="280" spans="1:9" x14ac:dyDescent="0.3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  <c r="I280" t="str">
        <f t="shared" si="4"/>
        <v>Stephen Fowler</v>
      </c>
    </row>
    <row r="281" spans="1:9" x14ac:dyDescent="0.3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  <c r="I281" t="str">
        <f t="shared" si="4"/>
        <v>Aaron Luna</v>
      </c>
    </row>
    <row r="282" spans="1:9" x14ac:dyDescent="0.3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  <c r="I282" t="str">
        <f t="shared" si="4"/>
        <v>Antonio Leon</v>
      </c>
    </row>
    <row r="283" spans="1:9" x14ac:dyDescent="0.3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  <c r="I283" t="str">
        <f t="shared" si="4"/>
        <v>Brittany Watson</v>
      </c>
    </row>
    <row r="284" spans="1:9" x14ac:dyDescent="0.3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  <c r="I284" t="str">
        <f t="shared" si="4"/>
        <v>Kristi Lopez</v>
      </c>
    </row>
    <row r="285" spans="1:9" x14ac:dyDescent="0.3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  <c r="I285" t="str">
        <f t="shared" si="4"/>
        <v>Bryan Garcia</v>
      </c>
    </row>
    <row r="286" spans="1:9" x14ac:dyDescent="0.3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  <c r="I286" t="str">
        <f t="shared" si="4"/>
        <v>Hunter Sutton</v>
      </c>
    </row>
    <row r="287" spans="1:9" x14ac:dyDescent="0.3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  <c r="I287" t="str">
        <f t="shared" si="4"/>
        <v>Donna Guerra</v>
      </c>
    </row>
    <row r="288" spans="1:9" x14ac:dyDescent="0.3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  <c r="I288" t="str">
        <f t="shared" si="4"/>
        <v>Tommy Roberts</v>
      </c>
    </row>
    <row r="289" spans="1:9" x14ac:dyDescent="0.3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  <c r="I289" t="str">
        <f t="shared" si="4"/>
        <v>Cynthia Roberts</v>
      </c>
    </row>
    <row r="290" spans="1:9" x14ac:dyDescent="0.3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  <c r="I290" t="str">
        <f t="shared" si="4"/>
        <v>Misty Ferguson</v>
      </c>
    </row>
    <row r="291" spans="1:9" x14ac:dyDescent="0.3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  <c r="I291" t="str">
        <f t="shared" si="4"/>
        <v>Jennifer Figueroa</v>
      </c>
    </row>
    <row r="292" spans="1:9" x14ac:dyDescent="0.3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  <c r="I292" t="str">
        <f t="shared" si="4"/>
        <v>Chase Williams Md</v>
      </c>
    </row>
    <row r="293" spans="1:9" x14ac:dyDescent="0.3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  <c r="I293" t="str">
        <f t="shared" si="4"/>
        <v>James Powell</v>
      </c>
    </row>
    <row r="294" spans="1:9" x14ac:dyDescent="0.3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  <c r="I294" t="str">
        <f t="shared" si="4"/>
        <v>Ricardo Jones</v>
      </c>
    </row>
    <row r="295" spans="1:9" x14ac:dyDescent="0.3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  <c r="I295" t="str">
        <f t="shared" si="4"/>
        <v>Gloria Taylor</v>
      </c>
    </row>
    <row r="296" spans="1:9" x14ac:dyDescent="0.3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  <c r="I296" t="str">
        <f t="shared" si="4"/>
        <v>Lisa Chandler</v>
      </c>
    </row>
    <row r="297" spans="1:9" x14ac:dyDescent="0.3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  <c r="I297" t="str">
        <f t="shared" si="4"/>
        <v>Crystal Waters</v>
      </c>
    </row>
    <row r="298" spans="1:9" x14ac:dyDescent="0.3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  <c r="I298" t="str">
        <f t="shared" si="4"/>
        <v>Jared Moran</v>
      </c>
    </row>
    <row r="299" spans="1:9" x14ac:dyDescent="0.3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  <c r="I299" t="str">
        <f t="shared" si="4"/>
        <v>Jennifer Carr</v>
      </c>
    </row>
    <row r="300" spans="1:9" x14ac:dyDescent="0.3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  <c r="I300" t="str">
        <f t="shared" si="4"/>
        <v>Tracy Stephens</v>
      </c>
    </row>
    <row r="301" spans="1:9" x14ac:dyDescent="0.3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  <c r="I301" t="str">
        <f t="shared" si="4"/>
        <v>Stephanie Jacobs</v>
      </c>
    </row>
    <row r="302" spans="1:9" x14ac:dyDescent="0.3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  <c r="I302" t="str">
        <f t="shared" si="4"/>
        <v>Matthew Avery</v>
      </c>
    </row>
    <row r="303" spans="1:9" x14ac:dyDescent="0.3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  <c r="I303" t="str">
        <f t="shared" si="4"/>
        <v>Ryan Kane</v>
      </c>
    </row>
    <row r="304" spans="1:9" x14ac:dyDescent="0.3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  <c r="I304" t="str">
        <f t="shared" si="4"/>
        <v>Edward Cole</v>
      </c>
    </row>
    <row r="305" spans="1:9" x14ac:dyDescent="0.3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  <c r="I305" t="str">
        <f t="shared" si="4"/>
        <v>John Sloan</v>
      </c>
    </row>
    <row r="306" spans="1:9" x14ac:dyDescent="0.3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  <c r="I306" t="str">
        <f t="shared" si="4"/>
        <v>Miss Alexandria Li Dvm</v>
      </c>
    </row>
    <row r="307" spans="1:9" x14ac:dyDescent="0.3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  <c r="I307" t="str">
        <f t="shared" si="4"/>
        <v>Roberta Green</v>
      </c>
    </row>
    <row r="308" spans="1:9" x14ac:dyDescent="0.3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  <c r="I308" t="str">
        <f t="shared" si="4"/>
        <v>Angela Robinson</v>
      </c>
    </row>
    <row r="309" spans="1:9" x14ac:dyDescent="0.3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  <c r="I309" t="str">
        <f t="shared" si="4"/>
        <v>Brandy Thompson</v>
      </c>
    </row>
    <row r="310" spans="1:9" x14ac:dyDescent="0.3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  <c r="I310" t="str">
        <f t="shared" si="4"/>
        <v>Jennifer Zamora</v>
      </c>
    </row>
    <row r="311" spans="1:9" x14ac:dyDescent="0.3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  <c r="I311" t="str">
        <f t="shared" si="4"/>
        <v>Stacy Collins</v>
      </c>
    </row>
    <row r="312" spans="1:9" x14ac:dyDescent="0.3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  <c r="I312" t="str">
        <f t="shared" si="4"/>
        <v>Kara Dodson</v>
      </c>
    </row>
    <row r="313" spans="1:9" x14ac:dyDescent="0.3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  <c r="I313" t="str">
        <f t="shared" si="4"/>
        <v>Kevin Larson</v>
      </c>
    </row>
    <row r="314" spans="1:9" x14ac:dyDescent="0.3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  <c r="I314" t="str">
        <f t="shared" si="4"/>
        <v>Jason Mullins</v>
      </c>
    </row>
    <row r="315" spans="1:9" x14ac:dyDescent="0.3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  <c r="I315" t="str">
        <f t="shared" si="4"/>
        <v>Elizabeth Jones</v>
      </c>
    </row>
    <row r="316" spans="1:9" x14ac:dyDescent="0.3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  <c r="I316" t="str">
        <f t="shared" si="4"/>
        <v>Elizabeth Johnson</v>
      </c>
    </row>
    <row r="317" spans="1:9" x14ac:dyDescent="0.3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  <c r="I317" t="str">
        <f t="shared" si="4"/>
        <v>William Rodriguez</v>
      </c>
    </row>
    <row r="318" spans="1:9" x14ac:dyDescent="0.3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  <c r="I318" t="str">
        <f t="shared" si="4"/>
        <v>Robert House</v>
      </c>
    </row>
    <row r="319" spans="1:9" x14ac:dyDescent="0.3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  <c r="I319" t="str">
        <f t="shared" si="4"/>
        <v>Tiffany Williams</v>
      </c>
    </row>
    <row r="320" spans="1:9" x14ac:dyDescent="0.3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  <c r="I320" t="str">
        <f t="shared" si="4"/>
        <v>Madison Wright</v>
      </c>
    </row>
    <row r="321" spans="1:9" x14ac:dyDescent="0.3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  <c r="I321" t="str">
        <f t="shared" si="4"/>
        <v>Casey Simpson</v>
      </c>
    </row>
    <row r="322" spans="1:9" x14ac:dyDescent="0.3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  <c r="I322" t="str">
        <f t="shared" ref="I322:I385" si="5">PROPER(B322)</f>
        <v>Jessica Gonzalez</v>
      </c>
    </row>
    <row r="323" spans="1:9" x14ac:dyDescent="0.3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  <c r="I323" t="str">
        <f t="shared" si="5"/>
        <v>Darren Burton</v>
      </c>
    </row>
    <row r="324" spans="1:9" x14ac:dyDescent="0.3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  <c r="I324" t="str">
        <f t="shared" si="5"/>
        <v>Samuel Arias</v>
      </c>
    </row>
    <row r="325" spans="1:9" x14ac:dyDescent="0.3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  <c r="I325" t="str">
        <f t="shared" si="5"/>
        <v>Kristy Dunlap</v>
      </c>
    </row>
    <row r="326" spans="1:9" x14ac:dyDescent="0.3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  <c r="I326" t="str">
        <f t="shared" si="5"/>
        <v>Alex Mann Ii</v>
      </c>
    </row>
    <row r="327" spans="1:9" x14ac:dyDescent="0.3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  <c r="I327" t="str">
        <f t="shared" si="5"/>
        <v>Andrew Smith</v>
      </c>
    </row>
    <row r="328" spans="1:9" x14ac:dyDescent="0.3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  <c r="I328" t="str">
        <f t="shared" si="5"/>
        <v>Robert King</v>
      </c>
    </row>
    <row r="329" spans="1:9" x14ac:dyDescent="0.3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  <c r="I329" t="str">
        <f t="shared" si="5"/>
        <v>Reginald Willis</v>
      </c>
    </row>
    <row r="330" spans="1:9" x14ac:dyDescent="0.3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  <c r="I330" t="str">
        <f t="shared" si="5"/>
        <v>Mario Harvey Jr.</v>
      </c>
    </row>
    <row r="331" spans="1:9" x14ac:dyDescent="0.3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  <c r="I331" t="str">
        <f t="shared" si="5"/>
        <v>Victor Mcintosh</v>
      </c>
    </row>
    <row r="332" spans="1:9" x14ac:dyDescent="0.3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  <c r="I332" t="str">
        <f t="shared" si="5"/>
        <v>Pamela Mcguire</v>
      </c>
    </row>
    <row r="333" spans="1:9" x14ac:dyDescent="0.3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  <c r="I333" t="str">
        <f t="shared" si="5"/>
        <v>Maria Phillips</v>
      </c>
    </row>
    <row r="334" spans="1:9" x14ac:dyDescent="0.3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  <c r="I334" t="str">
        <f t="shared" si="5"/>
        <v>Dr. Lindsay Hanna</v>
      </c>
    </row>
    <row r="335" spans="1:9" x14ac:dyDescent="0.3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  <c r="I335" t="str">
        <f t="shared" si="5"/>
        <v>Teresa Johnson</v>
      </c>
    </row>
    <row r="336" spans="1:9" x14ac:dyDescent="0.3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  <c r="I336" t="str">
        <f t="shared" si="5"/>
        <v>Mr. Christopher Sims</v>
      </c>
    </row>
    <row r="337" spans="1:9" x14ac:dyDescent="0.3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  <c r="I337" t="str">
        <f t="shared" si="5"/>
        <v>Jennifer Woods</v>
      </c>
    </row>
    <row r="338" spans="1:9" x14ac:dyDescent="0.3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  <c r="I338" t="str">
        <f t="shared" si="5"/>
        <v>John Jones</v>
      </c>
    </row>
    <row r="339" spans="1:9" x14ac:dyDescent="0.3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  <c r="I339" t="str">
        <f t="shared" si="5"/>
        <v>Carol Lewis</v>
      </c>
    </row>
    <row r="340" spans="1:9" x14ac:dyDescent="0.3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  <c r="I340" t="str">
        <f t="shared" si="5"/>
        <v>Jasmine Snyder</v>
      </c>
    </row>
    <row r="341" spans="1:9" x14ac:dyDescent="0.3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  <c r="I341" t="str">
        <f t="shared" si="5"/>
        <v>Mrs. Susan Buckley</v>
      </c>
    </row>
    <row r="342" spans="1:9" x14ac:dyDescent="0.3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  <c r="I342" t="str">
        <f t="shared" si="5"/>
        <v>Eric Davis</v>
      </c>
    </row>
    <row r="343" spans="1:9" x14ac:dyDescent="0.3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  <c r="I343" t="str">
        <f t="shared" si="5"/>
        <v>Angela Williams</v>
      </c>
    </row>
    <row r="344" spans="1:9" x14ac:dyDescent="0.3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  <c r="I344" t="str">
        <f t="shared" si="5"/>
        <v>Michelle Cunningham</v>
      </c>
    </row>
    <row r="345" spans="1:9" x14ac:dyDescent="0.3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  <c r="I345" t="str">
        <f t="shared" si="5"/>
        <v>Ryan Moore</v>
      </c>
    </row>
    <row r="346" spans="1:9" x14ac:dyDescent="0.3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  <c r="I346" t="str">
        <f t="shared" si="5"/>
        <v>Evelyn Brown</v>
      </c>
    </row>
    <row r="347" spans="1:9" x14ac:dyDescent="0.3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  <c r="I347" t="str">
        <f t="shared" si="5"/>
        <v>Daniel Nelson</v>
      </c>
    </row>
    <row r="348" spans="1:9" x14ac:dyDescent="0.3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  <c r="I348" t="str">
        <f t="shared" si="5"/>
        <v>John Jordan</v>
      </c>
    </row>
    <row r="349" spans="1:9" x14ac:dyDescent="0.3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  <c r="I349" t="str">
        <f t="shared" si="5"/>
        <v>Justin Mason Dds</v>
      </c>
    </row>
    <row r="350" spans="1:9" x14ac:dyDescent="0.3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  <c r="I350" t="str">
        <f t="shared" si="5"/>
        <v>Sherry Cabrera</v>
      </c>
    </row>
    <row r="351" spans="1:9" x14ac:dyDescent="0.3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  <c r="I351" t="str">
        <f t="shared" si="5"/>
        <v>Heather Valenzuela</v>
      </c>
    </row>
    <row r="352" spans="1:9" x14ac:dyDescent="0.3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  <c r="I352" t="str">
        <f t="shared" si="5"/>
        <v>Charles Miller</v>
      </c>
    </row>
    <row r="353" spans="1:9" x14ac:dyDescent="0.3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  <c r="I353" t="str">
        <f t="shared" si="5"/>
        <v>Jeffrey Mccarthy</v>
      </c>
    </row>
    <row r="354" spans="1:9" x14ac:dyDescent="0.3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  <c r="I354" t="str">
        <f t="shared" si="5"/>
        <v>Michael Greene</v>
      </c>
    </row>
    <row r="355" spans="1:9" x14ac:dyDescent="0.3">
      <c r="A355" t="s">
        <v>1107</v>
      </c>
      <c r="B355" t="s">
        <v>3616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  <c r="I355" t="str">
        <f t="shared" si="5"/>
        <v xml:space="preserve">   Laura Green</v>
      </c>
    </row>
    <row r="356" spans="1:9" x14ac:dyDescent="0.3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  <c r="I356" t="str">
        <f t="shared" si="5"/>
        <v>Ryan Torres</v>
      </c>
    </row>
    <row r="357" spans="1:9" x14ac:dyDescent="0.3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  <c r="I357" t="str">
        <f t="shared" si="5"/>
        <v>Carlos Flores</v>
      </c>
    </row>
    <row r="358" spans="1:9" x14ac:dyDescent="0.3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  <c r="I358" t="str">
        <f t="shared" si="5"/>
        <v>Steve Hunt</v>
      </c>
    </row>
    <row r="359" spans="1:9" x14ac:dyDescent="0.3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  <c r="I359" t="str">
        <f t="shared" si="5"/>
        <v>Manuel Castillo</v>
      </c>
    </row>
    <row r="360" spans="1:9" x14ac:dyDescent="0.3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  <c r="I360" t="str">
        <f t="shared" si="5"/>
        <v>Ashley Anderson</v>
      </c>
    </row>
    <row r="361" spans="1:9" x14ac:dyDescent="0.3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  <c r="I361" t="str">
        <f t="shared" si="5"/>
        <v>Melanie Lam</v>
      </c>
    </row>
    <row r="362" spans="1:9" x14ac:dyDescent="0.3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  <c r="I362" t="str">
        <f t="shared" si="5"/>
        <v>Denise Tate</v>
      </c>
    </row>
    <row r="363" spans="1:9" x14ac:dyDescent="0.3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  <c r="I363" t="str">
        <f t="shared" si="5"/>
        <v>Natalie Johnson</v>
      </c>
    </row>
    <row r="364" spans="1:9" x14ac:dyDescent="0.3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  <c r="I364" t="str">
        <f t="shared" si="5"/>
        <v>Joshua Smith Dvm</v>
      </c>
    </row>
    <row r="365" spans="1:9" x14ac:dyDescent="0.3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  <c r="I365" t="str">
        <f t="shared" si="5"/>
        <v>Elizabeth Smith</v>
      </c>
    </row>
    <row r="366" spans="1:9" x14ac:dyDescent="0.3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  <c r="I366" t="str">
        <f t="shared" si="5"/>
        <v>Chloe Aguilar</v>
      </c>
    </row>
    <row r="367" spans="1:9" x14ac:dyDescent="0.3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  <c r="I367" t="str">
        <f t="shared" si="5"/>
        <v>Brandon Mcbride</v>
      </c>
    </row>
    <row r="368" spans="1:9" x14ac:dyDescent="0.3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  <c r="I368" t="str">
        <f t="shared" si="5"/>
        <v>Mallory Allen</v>
      </c>
    </row>
    <row r="369" spans="1:9" x14ac:dyDescent="0.3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  <c r="I369" t="str">
        <f t="shared" si="5"/>
        <v>Melinda Johnson</v>
      </c>
    </row>
    <row r="370" spans="1:9" x14ac:dyDescent="0.3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  <c r="I370" t="str">
        <f t="shared" si="5"/>
        <v>Miranda King</v>
      </c>
    </row>
    <row r="371" spans="1:9" x14ac:dyDescent="0.3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  <c r="I371" t="str">
        <f t="shared" si="5"/>
        <v>Gregory Allen</v>
      </c>
    </row>
    <row r="372" spans="1:9" x14ac:dyDescent="0.3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  <c r="I372" t="str">
        <f t="shared" si="5"/>
        <v>James Holloway Jr.</v>
      </c>
    </row>
    <row r="373" spans="1:9" x14ac:dyDescent="0.3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  <c r="I373" t="str">
        <f t="shared" si="5"/>
        <v>Michael Garner</v>
      </c>
    </row>
    <row r="374" spans="1:9" x14ac:dyDescent="0.3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  <c r="I374" t="str">
        <f t="shared" si="5"/>
        <v>Jacqueline Anthony</v>
      </c>
    </row>
    <row r="375" spans="1:9" x14ac:dyDescent="0.3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  <c r="I375" t="str">
        <f t="shared" si="5"/>
        <v>James Orozco</v>
      </c>
    </row>
    <row r="376" spans="1:9" x14ac:dyDescent="0.3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  <c r="I376" t="str">
        <f t="shared" si="5"/>
        <v>Emma Wilson</v>
      </c>
    </row>
    <row r="377" spans="1:9" x14ac:dyDescent="0.3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  <c r="I377" t="str">
        <f t="shared" si="5"/>
        <v>Joshua Bell</v>
      </c>
    </row>
    <row r="378" spans="1:9" x14ac:dyDescent="0.3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  <c r="I378" t="str">
        <f t="shared" si="5"/>
        <v>Michele Burke</v>
      </c>
    </row>
    <row r="379" spans="1:9" x14ac:dyDescent="0.3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  <c r="I379" t="str">
        <f t="shared" si="5"/>
        <v>Charles Conley</v>
      </c>
    </row>
    <row r="380" spans="1:9" x14ac:dyDescent="0.3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  <c r="I380" t="str">
        <f t="shared" si="5"/>
        <v>Frank Stewart</v>
      </c>
    </row>
    <row r="381" spans="1:9" x14ac:dyDescent="0.3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  <c r="I381" t="str">
        <f t="shared" si="5"/>
        <v>Tanya Lopez</v>
      </c>
    </row>
    <row r="382" spans="1:9" x14ac:dyDescent="0.3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  <c r="I382" t="str">
        <f t="shared" si="5"/>
        <v>Shelley Ponce</v>
      </c>
    </row>
    <row r="383" spans="1:9" x14ac:dyDescent="0.3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  <c r="I383" t="str">
        <f t="shared" si="5"/>
        <v>Erika Padilla</v>
      </c>
    </row>
    <row r="384" spans="1:9" x14ac:dyDescent="0.3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  <c r="I384" t="str">
        <f t="shared" si="5"/>
        <v>Martha Brown</v>
      </c>
    </row>
    <row r="385" spans="1:10" x14ac:dyDescent="0.3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  <c r="I385" t="str">
        <f t="shared" si="5"/>
        <v>Kristine Higgins</v>
      </c>
    </row>
    <row r="386" spans="1:10" x14ac:dyDescent="0.3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  <c r="I386" t="str">
        <f t="shared" ref="I386:I449" si="6">PROPER(B386)</f>
        <v>Andrew Mason</v>
      </c>
    </row>
    <row r="387" spans="1:10" x14ac:dyDescent="0.3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  <c r="I387" t="str">
        <f t="shared" si="6"/>
        <v>Tammy Brennan</v>
      </c>
    </row>
    <row r="388" spans="1:10" x14ac:dyDescent="0.3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  <c r="I388" t="str">
        <f t="shared" si="6"/>
        <v>Melanie Mitchell</v>
      </c>
    </row>
    <row r="389" spans="1:10" x14ac:dyDescent="0.3">
      <c r="A389" s="2" t="s">
        <v>0</v>
      </c>
      <c r="B389" s="18" t="s">
        <v>1</v>
      </c>
      <c r="C389" s="2" t="s">
        <v>2</v>
      </c>
      <c r="D389" s="2" t="s">
        <v>3</v>
      </c>
      <c r="E389" s="2" t="s">
        <v>4</v>
      </c>
      <c r="F389" s="2" t="s">
        <v>5</v>
      </c>
      <c r="G389" s="2" t="s">
        <v>6</v>
      </c>
      <c r="H389" s="2" t="s">
        <v>7</v>
      </c>
      <c r="I389" s="2" t="s">
        <v>3815</v>
      </c>
    </row>
    <row r="390" spans="1:10" x14ac:dyDescent="0.3">
      <c r="A390" t="s">
        <v>1208</v>
      </c>
      <c r="B390" t="s">
        <v>3743</v>
      </c>
      <c r="C390">
        <v>42.1042963677016</v>
      </c>
      <c r="D390" t="s">
        <v>9</v>
      </c>
      <c r="E390" t="s">
        <v>10</v>
      </c>
      <c r="F390" t="s">
        <v>11</v>
      </c>
      <c r="G390" t="s">
        <v>12</v>
      </c>
      <c r="H390" t="s">
        <v>19</v>
      </c>
      <c r="I390" t="str">
        <f>PROPER(B390)</f>
        <v xml:space="preserve">Sheena Bonilla  </v>
      </c>
    </row>
    <row r="391" spans="1:10" x14ac:dyDescent="0.3">
      <c r="A391" t="s">
        <v>1209</v>
      </c>
      <c r="B391" t="s">
        <v>15</v>
      </c>
      <c r="C391">
        <v>42.106805261043199</v>
      </c>
      <c r="D391" t="s">
        <v>16</v>
      </c>
      <c r="E391" t="s">
        <v>17</v>
      </c>
      <c r="F391" t="s">
        <v>18</v>
      </c>
      <c r="G391" t="s">
        <v>12</v>
      </c>
      <c r="H391" t="s">
        <v>19</v>
      </c>
      <c r="I391" t="str">
        <f t="shared" ref="I391:I454" si="7">PROPER(B391)</f>
        <v>Eugene Nelson</v>
      </c>
    </row>
    <row r="392" spans="1:10" x14ac:dyDescent="0.3">
      <c r="A392" t="s">
        <v>1210</v>
      </c>
      <c r="B392" t="s">
        <v>3617</v>
      </c>
      <c r="C392">
        <v>42.109314154384798</v>
      </c>
      <c r="D392" t="s">
        <v>16</v>
      </c>
      <c r="E392" t="s">
        <v>21</v>
      </c>
      <c r="F392" t="s">
        <v>22</v>
      </c>
      <c r="G392" t="s">
        <v>12</v>
      </c>
      <c r="H392" t="s">
        <v>19</v>
      </c>
      <c r="I392" t="str">
        <f t="shared" si="7"/>
        <v>Dr. Benjamin Price</v>
      </c>
    </row>
    <row r="393" spans="1:10" x14ac:dyDescent="0.3">
      <c r="A393" t="s">
        <v>1211</v>
      </c>
      <c r="B393" t="s">
        <v>3618</v>
      </c>
      <c r="C393">
        <v>42.111823047726404</v>
      </c>
      <c r="D393" t="s">
        <v>16</v>
      </c>
      <c r="E393" t="s">
        <v>24</v>
      </c>
      <c r="F393" t="s">
        <v>25</v>
      </c>
      <c r="G393" t="s">
        <v>12</v>
      </c>
      <c r="H393" t="s">
        <v>26</v>
      </c>
      <c r="I393" t="str">
        <f t="shared" si="7"/>
        <v>Jeremy Harris</v>
      </c>
    </row>
    <row r="394" spans="1:10" x14ac:dyDescent="0.3">
      <c r="A394" t="s">
        <v>1212</v>
      </c>
      <c r="B394" t="s">
        <v>28</v>
      </c>
      <c r="C394">
        <v>42.114331941068002</v>
      </c>
      <c r="D394" t="s">
        <v>16</v>
      </c>
      <c r="E394" t="s">
        <v>29</v>
      </c>
      <c r="F394" t="s">
        <v>30</v>
      </c>
      <c r="G394" t="s">
        <v>12</v>
      </c>
      <c r="H394" t="s">
        <v>31</v>
      </c>
      <c r="I394" t="str">
        <f t="shared" si="7"/>
        <v>Caroline Collins</v>
      </c>
      <c r="J394" t="s">
        <v>3777</v>
      </c>
    </row>
    <row r="395" spans="1:10" x14ac:dyDescent="0.3">
      <c r="A395" t="s">
        <v>1213</v>
      </c>
      <c r="B395" t="s">
        <v>33</v>
      </c>
      <c r="C395">
        <v>42.116840834409601</v>
      </c>
      <c r="D395" t="s">
        <v>9</v>
      </c>
      <c r="E395" t="s">
        <v>34</v>
      </c>
      <c r="F395" t="s">
        <v>35</v>
      </c>
      <c r="G395" t="s">
        <v>12</v>
      </c>
      <c r="H395" t="s">
        <v>26</v>
      </c>
      <c r="I395" t="str">
        <f t="shared" si="7"/>
        <v>Christine Vaughn</v>
      </c>
    </row>
    <row r="396" spans="1:10" x14ac:dyDescent="0.3">
      <c r="A396" t="s">
        <v>1214</v>
      </c>
      <c r="B396" t="s">
        <v>37</v>
      </c>
      <c r="C396">
        <v>42.119349727751199</v>
      </c>
      <c r="D396" t="s">
        <v>16</v>
      </c>
      <c r="E396" t="s">
        <v>38</v>
      </c>
      <c r="F396" t="s">
        <v>39</v>
      </c>
      <c r="G396" t="s">
        <v>12</v>
      </c>
      <c r="H396" t="s">
        <v>19</v>
      </c>
      <c r="I396" t="str">
        <f t="shared" si="7"/>
        <v>Amber Jackson</v>
      </c>
      <c r="J396" t="s">
        <v>3778</v>
      </c>
    </row>
    <row r="397" spans="1:10" x14ac:dyDescent="0.3">
      <c r="A397" t="s">
        <v>1215</v>
      </c>
      <c r="B397" t="s">
        <v>41</v>
      </c>
      <c r="C397">
        <v>42.121858621092798</v>
      </c>
      <c r="D397" t="s">
        <v>16</v>
      </c>
      <c r="E397" t="s">
        <v>42</v>
      </c>
      <c r="F397" t="s">
        <v>43</v>
      </c>
      <c r="G397" t="s">
        <v>12</v>
      </c>
      <c r="H397" t="s">
        <v>26</v>
      </c>
      <c r="I397" t="str">
        <f t="shared" si="7"/>
        <v>Daniel Boyd</v>
      </c>
    </row>
    <row r="398" spans="1:10" x14ac:dyDescent="0.3">
      <c r="A398" t="s">
        <v>1216</v>
      </c>
      <c r="B398" t="s">
        <v>45</v>
      </c>
      <c r="C398">
        <v>42.124367514434397</v>
      </c>
      <c r="D398" t="s">
        <v>16</v>
      </c>
      <c r="E398" t="s">
        <v>46</v>
      </c>
      <c r="F398" t="s">
        <v>47</v>
      </c>
      <c r="G398" t="s">
        <v>12</v>
      </c>
      <c r="H398" t="s">
        <v>13</v>
      </c>
      <c r="I398" t="str">
        <f t="shared" si="7"/>
        <v>Melissa Howard</v>
      </c>
    </row>
    <row r="399" spans="1:10" x14ac:dyDescent="0.3">
      <c r="A399" t="s">
        <v>1217</v>
      </c>
      <c r="B399" t="s">
        <v>49</v>
      </c>
      <c r="C399">
        <v>42.126876407776003</v>
      </c>
      <c r="D399" t="s">
        <v>9</v>
      </c>
      <c r="E399" t="s">
        <v>50</v>
      </c>
      <c r="F399" t="s">
        <v>51</v>
      </c>
      <c r="G399" t="s">
        <v>12</v>
      </c>
      <c r="H399" t="s">
        <v>19</v>
      </c>
      <c r="I399" t="str">
        <f t="shared" si="7"/>
        <v>Ms. Maria Leach</v>
      </c>
    </row>
    <row r="400" spans="1:10" x14ac:dyDescent="0.3">
      <c r="A400" t="s">
        <v>1218</v>
      </c>
      <c r="B400" t="s">
        <v>53</v>
      </c>
      <c r="C400">
        <v>42.129385301117601</v>
      </c>
      <c r="D400" t="s">
        <v>9</v>
      </c>
      <c r="E400" t="s">
        <v>54</v>
      </c>
      <c r="F400" t="s">
        <v>51</v>
      </c>
      <c r="G400" t="s">
        <v>12</v>
      </c>
      <c r="H400" t="s">
        <v>26</v>
      </c>
      <c r="I400" t="str">
        <f t="shared" si="7"/>
        <v>Dominic Page</v>
      </c>
    </row>
    <row r="401" spans="1:9" x14ac:dyDescent="0.3">
      <c r="A401" t="s">
        <v>1219</v>
      </c>
      <c r="B401" t="s">
        <v>56</v>
      </c>
      <c r="C401">
        <v>42.1318941944592</v>
      </c>
      <c r="D401" t="s">
        <v>16</v>
      </c>
      <c r="E401" t="s">
        <v>57</v>
      </c>
      <c r="F401" t="s">
        <v>58</v>
      </c>
      <c r="G401" t="s">
        <v>12</v>
      </c>
      <c r="H401" t="s">
        <v>13</v>
      </c>
      <c r="I401" t="str">
        <f t="shared" si="7"/>
        <v>Brian Lopez</v>
      </c>
    </row>
    <row r="402" spans="1:9" x14ac:dyDescent="0.3">
      <c r="A402" t="s">
        <v>1220</v>
      </c>
      <c r="B402" t="s">
        <v>60</v>
      </c>
      <c r="C402">
        <v>42.134403087800798</v>
      </c>
      <c r="D402" t="s">
        <v>16</v>
      </c>
      <c r="E402" t="s">
        <v>61</v>
      </c>
      <c r="F402" t="s">
        <v>62</v>
      </c>
      <c r="G402" t="s">
        <v>12</v>
      </c>
      <c r="H402" t="s">
        <v>19</v>
      </c>
      <c r="I402" t="str">
        <f t="shared" si="7"/>
        <v>Kenneth Lambert</v>
      </c>
    </row>
    <row r="403" spans="1:9" x14ac:dyDescent="0.3">
      <c r="A403" t="s">
        <v>1221</v>
      </c>
      <c r="B403" t="s">
        <v>64</v>
      </c>
      <c r="C403">
        <v>42.136911981142397</v>
      </c>
      <c r="D403" t="s">
        <v>16</v>
      </c>
      <c r="E403" t="s">
        <v>65</v>
      </c>
      <c r="F403" t="s">
        <v>66</v>
      </c>
      <c r="G403" t="s">
        <v>12</v>
      </c>
      <c r="H403" t="s">
        <v>31</v>
      </c>
      <c r="I403" t="str">
        <f t="shared" si="7"/>
        <v>Nathan Hernandez</v>
      </c>
    </row>
    <row r="404" spans="1:9" x14ac:dyDescent="0.3">
      <c r="A404" t="s">
        <v>1222</v>
      </c>
      <c r="B404" t="s">
        <v>68</v>
      </c>
      <c r="C404">
        <v>42.139420874484003</v>
      </c>
      <c r="D404" t="s">
        <v>16</v>
      </c>
      <c r="E404" t="s">
        <v>69</v>
      </c>
      <c r="F404" t="s">
        <v>70</v>
      </c>
      <c r="G404" t="s">
        <v>12</v>
      </c>
      <c r="H404" t="s">
        <v>31</v>
      </c>
      <c r="I404" t="str">
        <f t="shared" si="7"/>
        <v>Ashley Cohen</v>
      </c>
    </row>
    <row r="405" spans="1:9" x14ac:dyDescent="0.3">
      <c r="A405" t="s">
        <v>1223</v>
      </c>
      <c r="B405" t="s">
        <v>72</v>
      </c>
      <c r="C405">
        <v>42.141929767825602</v>
      </c>
      <c r="D405" t="s">
        <v>16</v>
      </c>
      <c r="E405" t="s">
        <v>73</v>
      </c>
      <c r="F405" t="s">
        <v>74</v>
      </c>
      <c r="G405" t="s">
        <v>12</v>
      </c>
      <c r="H405" t="s">
        <v>19</v>
      </c>
      <c r="I405" t="str">
        <f t="shared" si="7"/>
        <v>Laura Alvarez</v>
      </c>
    </row>
    <row r="406" spans="1:9" x14ac:dyDescent="0.3">
      <c r="A406" t="s">
        <v>1224</v>
      </c>
      <c r="B406" t="s">
        <v>76</v>
      </c>
      <c r="C406">
        <v>42.1444386611672</v>
      </c>
      <c r="D406" t="s">
        <v>16</v>
      </c>
      <c r="E406" t="s">
        <v>77</v>
      </c>
      <c r="F406" t="s">
        <v>51</v>
      </c>
      <c r="G406" t="s">
        <v>12</v>
      </c>
      <c r="H406" t="s">
        <v>26</v>
      </c>
      <c r="I406" t="str">
        <f t="shared" si="7"/>
        <v>John Scott</v>
      </c>
    </row>
    <row r="407" spans="1:9" x14ac:dyDescent="0.3">
      <c r="A407" t="s">
        <v>1225</v>
      </c>
      <c r="B407" t="s">
        <v>79</v>
      </c>
      <c r="C407">
        <v>42.146947554508799</v>
      </c>
      <c r="D407" t="s">
        <v>16</v>
      </c>
      <c r="E407" t="s">
        <v>80</v>
      </c>
      <c r="F407" t="s">
        <v>81</v>
      </c>
      <c r="G407" t="s">
        <v>12</v>
      </c>
      <c r="H407" t="s">
        <v>19</v>
      </c>
      <c r="I407" t="str">
        <f t="shared" si="7"/>
        <v>Adam Cruz</v>
      </c>
    </row>
    <row r="408" spans="1:9" x14ac:dyDescent="0.3">
      <c r="A408" t="s">
        <v>1226</v>
      </c>
      <c r="B408" t="s">
        <v>83</v>
      </c>
      <c r="C408">
        <v>42.149456447850397</v>
      </c>
      <c r="D408" t="s">
        <v>9</v>
      </c>
      <c r="E408" t="s">
        <v>84</v>
      </c>
      <c r="F408" t="s">
        <v>62</v>
      </c>
      <c r="G408" t="s">
        <v>12</v>
      </c>
      <c r="H408" t="s">
        <v>31</v>
      </c>
      <c r="I408" t="str">
        <f t="shared" si="7"/>
        <v>Rhonda Moss</v>
      </c>
    </row>
    <row r="409" spans="1:9" x14ac:dyDescent="0.3">
      <c r="A409" t="s">
        <v>1227</v>
      </c>
      <c r="B409" t="s">
        <v>86</v>
      </c>
      <c r="C409">
        <v>42.151965341192003</v>
      </c>
      <c r="D409" t="s">
        <v>16</v>
      </c>
      <c r="E409" t="s">
        <v>87</v>
      </c>
      <c r="F409" t="s">
        <v>88</v>
      </c>
      <c r="G409" t="s">
        <v>12</v>
      </c>
      <c r="H409" t="s">
        <v>19</v>
      </c>
      <c r="I409" t="str">
        <f t="shared" si="7"/>
        <v>Michael Torres</v>
      </c>
    </row>
    <row r="410" spans="1:9" x14ac:dyDescent="0.3">
      <c r="A410" t="s">
        <v>1228</v>
      </c>
      <c r="B410" t="s">
        <v>90</v>
      </c>
      <c r="C410">
        <v>42.154474234533602</v>
      </c>
      <c r="D410" t="s">
        <v>9</v>
      </c>
      <c r="E410" t="s">
        <v>91</v>
      </c>
      <c r="F410" t="s">
        <v>92</v>
      </c>
      <c r="G410" t="s">
        <v>12</v>
      </c>
      <c r="H410" t="s">
        <v>31</v>
      </c>
      <c r="I410" t="str">
        <f t="shared" si="7"/>
        <v>Bridget Allen</v>
      </c>
    </row>
    <row r="411" spans="1:9" x14ac:dyDescent="0.3">
      <c r="A411" t="s">
        <v>1229</v>
      </c>
      <c r="B411" t="s">
        <v>94</v>
      </c>
      <c r="C411">
        <v>42.156983127875201</v>
      </c>
      <c r="D411" t="s">
        <v>16</v>
      </c>
      <c r="E411" t="s">
        <v>95</v>
      </c>
      <c r="F411" t="s">
        <v>96</v>
      </c>
      <c r="G411" t="s">
        <v>12</v>
      </c>
      <c r="H411" t="s">
        <v>13</v>
      </c>
      <c r="I411" t="str">
        <f t="shared" si="7"/>
        <v>Jeff Martinez</v>
      </c>
    </row>
    <row r="412" spans="1:9" x14ac:dyDescent="0.3">
      <c r="A412" t="s">
        <v>1230</v>
      </c>
      <c r="B412" t="s">
        <v>3744</v>
      </c>
      <c r="C412">
        <v>42.159492021216799</v>
      </c>
      <c r="D412" t="s">
        <v>16</v>
      </c>
      <c r="E412" t="s">
        <v>98</v>
      </c>
      <c r="F412" t="s">
        <v>99</v>
      </c>
      <c r="G412" t="s">
        <v>12</v>
      </c>
      <c r="H412" t="s">
        <v>31</v>
      </c>
      <c r="I412" t="str">
        <f t="shared" si="7"/>
        <v>Paul Fox</v>
      </c>
    </row>
    <row r="413" spans="1:9" x14ac:dyDescent="0.3">
      <c r="A413" t="s">
        <v>1231</v>
      </c>
      <c r="B413" t="s">
        <v>101</v>
      </c>
      <c r="C413">
        <v>42.162000914558398</v>
      </c>
      <c r="D413" t="s">
        <v>16</v>
      </c>
      <c r="E413" t="s">
        <v>102</v>
      </c>
      <c r="F413" t="s">
        <v>35</v>
      </c>
      <c r="G413" t="s">
        <v>12</v>
      </c>
      <c r="H413" t="s">
        <v>31</v>
      </c>
      <c r="I413" t="str">
        <f t="shared" si="7"/>
        <v>Jonathan Steele</v>
      </c>
    </row>
    <row r="414" spans="1:9" x14ac:dyDescent="0.3">
      <c r="A414" t="s">
        <v>1232</v>
      </c>
      <c r="B414" t="s">
        <v>104</v>
      </c>
      <c r="C414">
        <v>42.164509807899996</v>
      </c>
      <c r="D414" t="s">
        <v>9</v>
      </c>
      <c r="E414" t="s">
        <v>105</v>
      </c>
      <c r="F414" t="s">
        <v>106</v>
      </c>
      <c r="G414" t="s">
        <v>12</v>
      </c>
      <c r="H414" t="s">
        <v>19</v>
      </c>
      <c r="I414" t="str">
        <f t="shared" si="7"/>
        <v>Heather Collins</v>
      </c>
    </row>
    <row r="415" spans="1:9" x14ac:dyDescent="0.3">
      <c r="A415" t="s">
        <v>1233</v>
      </c>
      <c r="B415" t="s">
        <v>108</v>
      </c>
      <c r="C415">
        <v>42.167018701241602</v>
      </c>
      <c r="D415" t="s">
        <v>16</v>
      </c>
      <c r="E415" t="s">
        <v>109</v>
      </c>
      <c r="F415" t="s">
        <v>30</v>
      </c>
      <c r="G415" t="s">
        <v>12</v>
      </c>
      <c r="H415" t="s">
        <v>26</v>
      </c>
      <c r="I415" t="str">
        <f t="shared" si="7"/>
        <v>Diana Taylor</v>
      </c>
    </row>
    <row r="416" spans="1:9" x14ac:dyDescent="0.3">
      <c r="A416" t="s">
        <v>1234</v>
      </c>
      <c r="B416" t="s">
        <v>111</v>
      </c>
      <c r="C416">
        <v>42.169527594583201</v>
      </c>
      <c r="D416" t="s">
        <v>16</v>
      </c>
      <c r="E416" t="s">
        <v>112</v>
      </c>
      <c r="F416" t="s">
        <v>113</v>
      </c>
      <c r="G416" t="s">
        <v>12</v>
      </c>
      <c r="H416" t="s">
        <v>13</v>
      </c>
      <c r="I416" t="str">
        <f t="shared" si="7"/>
        <v>Amber Carlson</v>
      </c>
    </row>
    <row r="417" spans="1:9" x14ac:dyDescent="0.3">
      <c r="A417" t="s">
        <v>1235</v>
      </c>
      <c r="B417" t="s">
        <v>115</v>
      </c>
      <c r="C417">
        <v>42.1720364879247</v>
      </c>
      <c r="D417" t="s">
        <v>9</v>
      </c>
      <c r="E417" t="s">
        <v>116</v>
      </c>
      <c r="F417" t="s">
        <v>117</v>
      </c>
      <c r="G417" t="s">
        <v>12</v>
      </c>
      <c r="H417" t="s">
        <v>19</v>
      </c>
      <c r="I417" t="str">
        <f t="shared" si="7"/>
        <v>Leslie Johnson</v>
      </c>
    </row>
    <row r="418" spans="1:9" x14ac:dyDescent="0.3">
      <c r="A418" t="s">
        <v>1236</v>
      </c>
      <c r="B418" t="s">
        <v>119</v>
      </c>
      <c r="C418">
        <v>42.174545381266299</v>
      </c>
      <c r="D418" t="s">
        <v>16</v>
      </c>
      <c r="E418" t="s">
        <v>120</v>
      </c>
      <c r="F418" t="s">
        <v>88</v>
      </c>
      <c r="G418" t="s">
        <v>12</v>
      </c>
      <c r="H418" t="s">
        <v>19</v>
      </c>
      <c r="I418" t="str">
        <f t="shared" si="7"/>
        <v>Joshua Ryan</v>
      </c>
    </row>
    <row r="419" spans="1:9" x14ac:dyDescent="0.3">
      <c r="A419" t="s">
        <v>1237</v>
      </c>
      <c r="B419" t="s">
        <v>122</v>
      </c>
      <c r="C419">
        <v>42.177054274607897</v>
      </c>
      <c r="D419" t="s">
        <v>16</v>
      </c>
      <c r="E419" t="s">
        <v>123</v>
      </c>
      <c r="F419" t="s">
        <v>30</v>
      </c>
      <c r="G419" t="s">
        <v>12</v>
      </c>
      <c r="H419" t="s">
        <v>31</v>
      </c>
      <c r="I419" t="str">
        <f t="shared" si="7"/>
        <v>David Arnold</v>
      </c>
    </row>
    <row r="420" spans="1:9" x14ac:dyDescent="0.3">
      <c r="A420" t="s">
        <v>1238</v>
      </c>
      <c r="B420" t="s">
        <v>125</v>
      </c>
      <c r="C420">
        <v>42.179563167949503</v>
      </c>
      <c r="D420" t="s">
        <v>16</v>
      </c>
      <c r="E420" t="s">
        <v>126</v>
      </c>
      <c r="F420" t="s">
        <v>51</v>
      </c>
      <c r="G420" t="s">
        <v>12</v>
      </c>
      <c r="H420" t="s">
        <v>26</v>
      </c>
      <c r="I420" t="str">
        <f t="shared" si="7"/>
        <v>Jessica Acevedo</v>
      </c>
    </row>
    <row r="421" spans="1:9" x14ac:dyDescent="0.3">
      <c r="A421" t="s">
        <v>1239</v>
      </c>
      <c r="B421" t="s">
        <v>128</v>
      </c>
      <c r="C421">
        <v>42.182072061291102</v>
      </c>
      <c r="D421" t="s">
        <v>9</v>
      </c>
      <c r="E421" t="s">
        <v>129</v>
      </c>
      <c r="F421" t="s">
        <v>35</v>
      </c>
      <c r="G421" t="s">
        <v>12</v>
      </c>
      <c r="H421" t="s">
        <v>31</v>
      </c>
      <c r="I421" t="str">
        <f t="shared" si="7"/>
        <v>Sarah Vance</v>
      </c>
    </row>
    <row r="422" spans="1:9" x14ac:dyDescent="0.3">
      <c r="A422" t="s">
        <v>1240</v>
      </c>
      <c r="B422" t="s">
        <v>131</v>
      </c>
      <c r="C422">
        <v>42.1845809546328</v>
      </c>
      <c r="D422" t="s">
        <v>16</v>
      </c>
      <c r="E422" t="s">
        <v>132</v>
      </c>
      <c r="F422" t="s">
        <v>133</v>
      </c>
      <c r="G422" t="s">
        <v>12</v>
      </c>
      <c r="H422" t="s">
        <v>13</v>
      </c>
      <c r="I422" t="str">
        <f t="shared" si="7"/>
        <v>Mike Jennings</v>
      </c>
    </row>
    <row r="423" spans="1:9" x14ac:dyDescent="0.3">
      <c r="A423" t="s">
        <v>1241</v>
      </c>
      <c r="B423" t="s">
        <v>135</v>
      </c>
      <c r="C423">
        <v>42.187089847974299</v>
      </c>
      <c r="D423" t="s">
        <v>9</v>
      </c>
      <c r="E423" t="s">
        <v>136</v>
      </c>
      <c r="F423" t="s">
        <v>96</v>
      </c>
      <c r="G423" t="s">
        <v>12</v>
      </c>
      <c r="H423" t="s">
        <v>19</v>
      </c>
      <c r="I423" t="str">
        <f t="shared" si="7"/>
        <v>Robert Jones Dds</v>
      </c>
    </row>
    <row r="424" spans="1:9" x14ac:dyDescent="0.3">
      <c r="A424" t="s">
        <v>1242</v>
      </c>
      <c r="B424" t="s">
        <v>138</v>
      </c>
      <c r="C424">
        <v>42.189598741315898</v>
      </c>
      <c r="D424" t="s">
        <v>16</v>
      </c>
      <c r="E424" t="s">
        <v>139</v>
      </c>
      <c r="F424" t="s">
        <v>140</v>
      </c>
      <c r="G424" t="s">
        <v>12</v>
      </c>
      <c r="H424" t="s">
        <v>19</v>
      </c>
      <c r="I424" t="str">
        <f t="shared" si="7"/>
        <v>Christopher Olson</v>
      </c>
    </row>
    <row r="425" spans="1:9" x14ac:dyDescent="0.3">
      <c r="A425" t="s">
        <v>1243</v>
      </c>
      <c r="B425" t="s">
        <v>142</v>
      </c>
      <c r="C425">
        <v>42.192107634657503</v>
      </c>
      <c r="D425" t="s">
        <v>9</v>
      </c>
      <c r="E425" t="s">
        <v>143</v>
      </c>
      <c r="F425" t="s">
        <v>18</v>
      </c>
      <c r="G425" t="s">
        <v>12</v>
      </c>
      <c r="H425" t="s">
        <v>31</v>
      </c>
      <c r="I425" t="str">
        <f t="shared" si="7"/>
        <v>Rachel Myers</v>
      </c>
    </row>
    <row r="426" spans="1:9" x14ac:dyDescent="0.3">
      <c r="A426" t="s">
        <v>1244</v>
      </c>
      <c r="B426" t="s">
        <v>145</v>
      </c>
      <c r="C426">
        <v>42.194616527999102</v>
      </c>
      <c r="D426" t="s">
        <v>16</v>
      </c>
      <c r="E426" t="s">
        <v>146</v>
      </c>
      <c r="F426" t="s">
        <v>81</v>
      </c>
      <c r="G426" t="s">
        <v>12</v>
      </c>
      <c r="H426" t="s">
        <v>13</v>
      </c>
      <c r="I426" t="str">
        <f t="shared" si="7"/>
        <v>Thomas Phillips</v>
      </c>
    </row>
    <row r="427" spans="1:9" x14ac:dyDescent="0.3">
      <c r="A427" t="s">
        <v>1245</v>
      </c>
      <c r="B427" t="s">
        <v>148</v>
      </c>
      <c r="C427">
        <v>42.197125421340701</v>
      </c>
      <c r="D427" t="s">
        <v>16</v>
      </c>
      <c r="E427" t="s">
        <v>149</v>
      </c>
      <c r="F427" t="s">
        <v>39</v>
      </c>
      <c r="G427" t="s">
        <v>12</v>
      </c>
      <c r="H427" t="s">
        <v>19</v>
      </c>
      <c r="I427" t="str">
        <f t="shared" si="7"/>
        <v>Christopher Carter</v>
      </c>
    </row>
    <row r="428" spans="1:9" x14ac:dyDescent="0.3">
      <c r="A428" t="s">
        <v>1246</v>
      </c>
      <c r="B428" t="s">
        <v>151</v>
      </c>
      <c r="C428">
        <v>42.199634314682299</v>
      </c>
      <c r="D428" t="s">
        <v>16</v>
      </c>
      <c r="E428" t="s">
        <v>152</v>
      </c>
      <c r="F428" t="s">
        <v>18</v>
      </c>
      <c r="G428" t="s">
        <v>12</v>
      </c>
      <c r="H428" t="s">
        <v>26</v>
      </c>
      <c r="I428" t="str">
        <f t="shared" si="7"/>
        <v>Deanna Simpson</v>
      </c>
    </row>
    <row r="429" spans="1:9" x14ac:dyDescent="0.3">
      <c r="A429" t="s">
        <v>1247</v>
      </c>
      <c r="B429" t="s">
        <v>154</v>
      </c>
      <c r="C429">
        <v>42.202143208023898</v>
      </c>
      <c r="D429" t="s">
        <v>16</v>
      </c>
      <c r="E429" t="s">
        <v>155</v>
      </c>
      <c r="F429" t="s">
        <v>156</v>
      </c>
      <c r="G429" t="s">
        <v>12</v>
      </c>
      <c r="H429" t="s">
        <v>13</v>
      </c>
      <c r="I429" t="str">
        <f t="shared" si="7"/>
        <v>Tonya Reynolds</v>
      </c>
    </row>
    <row r="430" spans="1:9" x14ac:dyDescent="0.3">
      <c r="A430" t="s">
        <v>1248</v>
      </c>
      <c r="B430" t="s">
        <v>158</v>
      </c>
      <c r="C430">
        <v>42.204652101365497</v>
      </c>
      <c r="D430" t="s">
        <v>9</v>
      </c>
      <c r="E430" t="s">
        <v>159</v>
      </c>
      <c r="F430" t="s">
        <v>62</v>
      </c>
      <c r="G430" t="s">
        <v>12</v>
      </c>
      <c r="H430" t="s">
        <v>13</v>
      </c>
      <c r="I430" t="str">
        <f t="shared" si="7"/>
        <v>Eric Vega</v>
      </c>
    </row>
    <row r="431" spans="1:9" x14ac:dyDescent="0.3">
      <c r="A431" t="s">
        <v>1249</v>
      </c>
      <c r="B431" t="s">
        <v>161</v>
      </c>
      <c r="C431">
        <v>42.207160994707102</v>
      </c>
      <c r="D431" t="s">
        <v>9</v>
      </c>
      <c r="E431" t="s">
        <v>162</v>
      </c>
      <c r="F431" t="s">
        <v>163</v>
      </c>
      <c r="G431" t="s">
        <v>12</v>
      </c>
      <c r="H431" t="s">
        <v>19</v>
      </c>
      <c r="I431" t="str">
        <f t="shared" si="7"/>
        <v>James Gibbs</v>
      </c>
    </row>
    <row r="432" spans="1:9" x14ac:dyDescent="0.3">
      <c r="A432" t="s">
        <v>1250</v>
      </c>
      <c r="B432" t="s">
        <v>165</v>
      </c>
      <c r="C432">
        <v>42.209669888048701</v>
      </c>
      <c r="D432" t="s">
        <v>9</v>
      </c>
      <c r="E432" t="s">
        <v>166</v>
      </c>
      <c r="F432" t="s">
        <v>167</v>
      </c>
      <c r="G432" t="s">
        <v>12</v>
      </c>
      <c r="H432" t="s">
        <v>19</v>
      </c>
      <c r="I432" t="str">
        <f t="shared" si="7"/>
        <v>William Martin</v>
      </c>
    </row>
    <row r="433" spans="1:9" x14ac:dyDescent="0.3">
      <c r="A433" t="s">
        <v>1251</v>
      </c>
      <c r="B433" t="s">
        <v>169</v>
      </c>
      <c r="C433">
        <v>42.2121787813903</v>
      </c>
      <c r="D433" t="s">
        <v>9</v>
      </c>
      <c r="E433" t="s">
        <v>170</v>
      </c>
      <c r="F433" t="s">
        <v>171</v>
      </c>
      <c r="G433" t="s">
        <v>12</v>
      </c>
      <c r="H433" t="s">
        <v>13</v>
      </c>
      <c r="I433" t="str">
        <f t="shared" si="7"/>
        <v>Joseph Snow</v>
      </c>
    </row>
    <row r="434" spans="1:9" x14ac:dyDescent="0.3">
      <c r="A434" t="s">
        <v>1252</v>
      </c>
      <c r="B434" t="s">
        <v>173</v>
      </c>
      <c r="C434">
        <v>42.214687674731898</v>
      </c>
      <c r="D434" t="s">
        <v>9</v>
      </c>
      <c r="E434" t="s">
        <v>174</v>
      </c>
      <c r="F434" t="s">
        <v>99</v>
      </c>
      <c r="G434" t="s">
        <v>12</v>
      </c>
      <c r="H434" t="s">
        <v>26</v>
      </c>
      <c r="I434" t="str">
        <f t="shared" si="7"/>
        <v>Denise Williams</v>
      </c>
    </row>
    <row r="435" spans="1:9" x14ac:dyDescent="0.3">
      <c r="A435" t="s">
        <v>1253</v>
      </c>
      <c r="B435" t="s">
        <v>176</v>
      </c>
      <c r="C435">
        <v>42.217196568073497</v>
      </c>
      <c r="D435" t="s">
        <v>9</v>
      </c>
      <c r="E435" t="s">
        <v>177</v>
      </c>
      <c r="F435" t="s">
        <v>133</v>
      </c>
      <c r="G435" t="s">
        <v>12</v>
      </c>
      <c r="H435" t="s">
        <v>13</v>
      </c>
      <c r="I435" t="str">
        <f t="shared" si="7"/>
        <v>Jordan Jackson Dds</v>
      </c>
    </row>
    <row r="436" spans="1:9" x14ac:dyDescent="0.3">
      <c r="A436" t="s">
        <v>1254</v>
      </c>
      <c r="B436" t="s">
        <v>179</v>
      </c>
      <c r="C436">
        <v>42.219705461415103</v>
      </c>
      <c r="D436" t="s">
        <v>16</v>
      </c>
      <c r="E436" t="s">
        <v>180</v>
      </c>
      <c r="F436" t="s">
        <v>25</v>
      </c>
      <c r="G436" t="s">
        <v>12</v>
      </c>
      <c r="H436" t="s">
        <v>19</v>
      </c>
      <c r="I436" t="str">
        <f t="shared" si="7"/>
        <v>Michelle Garcia Dds</v>
      </c>
    </row>
    <row r="437" spans="1:9" x14ac:dyDescent="0.3">
      <c r="A437" t="s">
        <v>1255</v>
      </c>
      <c r="B437" t="s">
        <v>182</v>
      </c>
      <c r="C437">
        <v>42.222214354756701</v>
      </c>
      <c r="D437" t="s">
        <v>16</v>
      </c>
      <c r="E437" t="s">
        <v>183</v>
      </c>
      <c r="F437" t="s">
        <v>184</v>
      </c>
      <c r="G437" t="s">
        <v>12</v>
      </c>
      <c r="H437" t="s">
        <v>31</v>
      </c>
      <c r="I437" t="str">
        <f t="shared" si="7"/>
        <v>Gina Knight</v>
      </c>
    </row>
    <row r="438" spans="1:9" x14ac:dyDescent="0.3">
      <c r="A438" t="s">
        <v>1256</v>
      </c>
      <c r="B438" t="s">
        <v>186</v>
      </c>
      <c r="C438">
        <v>42.2247232480983</v>
      </c>
      <c r="D438" t="s">
        <v>9</v>
      </c>
      <c r="E438" t="s">
        <v>187</v>
      </c>
      <c r="F438" t="s">
        <v>11</v>
      </c>
      <c r="G438" t="s">
        <v>12</v>
      </c>
      <c r="H438" t="s">
        <v>19</v>
      </c>
      <c r="I438" t="str">
        <f t="shared" si="7"/>
        <v>April Mullins</v>
      </c>
    </row>
    <row r="439" spans="1:9" x14ac:dyDescent="0.3">
      <c r="A439" t="s">
        <v>1257</v>
      </c>
      <c r="B439" t="s">
        <v>189</v>
      </c>
      <c r="C439">
        <v>42.227232141439899</v>
      </c>
      <c r="D439" t="s">
        <v>16</v>
      </c>
      <c r="E439" t="s">
        <v>190</v>
      </c>
      <c r="F439" t="s">
        <v>25</v>
      </c>
      <c r="G439" t="s">
        <v>12</v>
      </c>
      <c r="H439" t="s">
        <v>13</v>
      </c>
      <c r="I439" t="str">
        <f t="shared" si="7"/>
        <v>Timothy Weaver</v>
      </c>
    </row>
    <row r="440" spans="1:9" x14ac:dyDescent="0.3">
      <c r="A440" t="s">
        <v>1258</v>
      </c>
      <c r="B440" t="s">
        <v>192</v>
      </c>
      <c r="C440">
        <v>42.229741034781497</v>
      </c>
      <c r="D440" t="s">
        <v>16</v>
      </c>
      <c r="E440" t="s">
        <v>193</v>
      </c>
      <c r="F440" t="s">
        <v>194</v>
      </c>
      <c r="G440" t="s">
        <v>12</v>
      </c>
      <c r="H440" t="s">
        <v>13</v>
      </c>
      <c r="I440" t="str">
        <f t="shared" si="7"/>
        <v>Matthew Hunter Jr.</v>
      </c>
    </row>
    <row r="441" spans="1:9" x14ac:dyDescent="0.3">
      <c r="A441" t="s">
        <v>1259</v>
      </c>
      <c r="B441" t="s">
        <v>196</v>
      </c>
      <c r="C441">
        <v>42.232249928123103</v>
      </c>
      <c r="D441" t="s">
        <v>16</v>
      </c>
      <c r="E441" t="s">
        <v>197</v>
      </c>
      <c r="F441" t="s">
        <v>43</v>
      </c>
      <c r="G441" t="s">
        <v>12</v>
      </c>
      <c r="H441" t="s">
        <v>13</v>
      </c>
      <c r="I441" t="str">
        <f t="shared" si="7"/>
        <v>Sarah Rodgers</v>
      </c>
    </row>
    <row r="442" spans="1:9" x14ac:dyDescent="0.3">
      <c r="A442" t="s">
        <v>1260</v>
      </c>
      <c r="B442" t="s">
        <v>199</v>
      </c>
      <c r="C442">
        <v>42.234758821464702</v>
      </c>
      <c r="D442" t="s">
        <v>9</v>
      </c>
      <c r="E442" t="s">
        <v>200</v>
      </c>
      <c r="F442" t="s">
        <v>201</v>
      </c>
      <c r="G442" t="s">
        <v>12</v>
      </c>
      <c r="H442" t="s">
        <v>26</v>
      </c>
      <c r="I442" t="str">
        <f t="shared" si="7"/>
        <v>Debra Liu</v>
      </c>
    </row>
    <row r="443" spans="1:9" x14ac:dyDescent="0.3">
      <c r="A443" t="s">
        <v>1261</v>
      </c>
      <c r="B443" t="s">
        <v>203</v>
      </c>
      <c r="C443">
        <v>42.2372677148063</v>
      </c>
      <c r="D443" t="s">
        <v>16</v>
      </c>
      <c r="E443" t="s">
        <v>204</v>
      </c>
      <c r="F443" t="s">
        <v>156</v>
      </c>
      <c r="G443" t="s">
        <v>12</v>
      </c>
      <c r="H443" t="s">
        <v>13</v>
      </c>
      <c r="I443" t="str">
        <f t="shared" si="7"/>
        <v>Sharon Brown</v>
      </c>
    </row>
    <row r="444" spans="1:9" x14ac:dyDescent="0.3">
      <c r="A444" t="s">
        <v>1262</v>
      </c>
      <c r="B444" t="s">
        <v>206</v>
      </c>
      <c r="C444">
        <v>42.239776608147899</v>
      </c>
      <c r="D444" t="s">
        <v>9</v>
      </c>
      <c r="E444" t="s">
        <v>207</v>
      </c>
      <c r="F444" t="s">
        <v>96</v>
      </c>
      <c r="G444" t="s">
        <v>12</v>
      </c>
      <c r="H444" t="s">
        <v>19</v>
      </c>
      <c r="I444" t="str">
        <f t="shared" si="7"/>
        <v>Katherine Dorsey</v>
      </c>
    </row>
    <row r="445" spans="1:9" x14ac:dyDescent="0.3">
      <c r="A445" t="s">
        <v>1263</v>
      </c>
      <c r="B445" t="s">
        <v>209</v>
      </c>
      <c r="C445">
        <v>42.242285501489498</v>
      </c>
      <c r="D445" t="s">
        <v>16</v>
      </c>
      <c r="E445" t="s">
        <v>210</v>
      </c>
      <c r="F445" t="s">
        <v>201</v>
      </c>
      <c r="G445" t="s">
        <v>12</v>
      </c>
      <c r="H445" t="s">
        <v>26</v>
      </c>
      <c r="I445" t="str">
        <f t="shared" si="7"/>
        <v>Wayne Mcpherson</v>
      </c>
    </row>
    <row r="446" spans="1:9" x14ac:dyDescent="0.3">
      <c r="A446" t="s">
        <v>1264</v>
      </c>
      <c r="B446" t="s">
        <v>212</v>
      </c>
      <c r="C446">
        <v>42.244794394831104</v>
      </c>
      <c r="D446" t="s">
        <v>16</v>
      </c>
      <c r="E446" t="s">
        <v>213</v>
      </c>
      <c r="F446" t="s">
        <v>51</v>
      </c>
      <c r="G446" t="s">
        <v>12</v>
      </c>
      <c r="H446" t="s">
        <v>13</v>
      </c>
      <c r="I446" t="str">
        <f t="shared" si="7"/>
        <v>Christopher Sutton</v>
      </c>
    </row>
    <row r="447" spans="1:9" x14ac:dyDescent="0.3">
      <c r="A447" t="s">
        <v>1265</v>
      </c>
      <c r="B447" t="s">
        <v>215</v>
      </c>
      <c r="C447">
        <v>42.247303288172702</v>
      </c>
      <c r="D447" t="s">
        <v>16</v>
      </c>
      <c r="E447" t="s">
        <v>216</v>
      </c>
      <c r="F447" t="s">
        <v>217</v>
      </c>
      <c r="G447" t="s">
        <v>12</v>
      </c>
      <c r="H447" t="s">
        <v>19</v>
      </c>
      <c r="I447" t="str">
        <f t="shared" si="7"/>
        <v>Jay Patel</v>
      </c>
    </row>
    <row r="448" spans="1:9" x14ac:dyDescent="0.3">
      <c r="A448" t="s">
        <v>1266</v>
      </c>
      <c r="B448" t="s">
        <v>219</v>
      </c>
      <c r="C448">
        <v>42.249812181514301</v>
      </c>
      <c r="D448" t="s">
        <v>9</v>
      </c>
      <c r="E448" t="s">
        <v>220</v>
      </c>
      <c r="F448" t="s">
        <v>140</v>
      </c>
      <c r="G448" t="s">
        <v>12</v>
      </c>
      <c r="H448" t="s">
        <v>19</v>
      </c>
      <c r="I448" t="str">
        <f t="shared" si="7"/>
        <v>Cheryl Copeland</v>
      </c>
    </row>
    <row r="449" spans="1:9" x14ac:dyDescent="0.3">
      <c r="A449" t="s">
        <v>1267</v>
      </c>
      <c r="B449" t="s">
        <v>222</v>
      </c>
      <c r="C449">
        <v>42.252321074855899</v>
      </c>
      <c r="D449" t="s">
        <v>9</v>
      </c>
      <c r="E449" t="s">
        <v>223</v>
      </c>
      <c r="F449" t="s">
        <v>66</v>
      </c>
      <c r="G449" t="s">
        <v>12</v>
      </c>
      <c r="H449" t="s">
        <v>19</v>
      </c>
      <c r="I449" t="str">
        <f t="shared" si="7"/>
        <v>Alyssa Vargas</v>
      </c>
    </row>
    <row r="450" spans="1:9" x14ac:dyDescent="0.3">
      <c r="A450" t="s">
        <v>1268</v>
      </c>
      <c r="B450" t="s">
        <v>225</v>
      </c>
      <c r="C450">
        <v>42.254829968197498</v>
      </c>
      <c r="D450" t="s">
        <v>16</v>
      </c>
      <c r="E450" t="s">
        <v>226</v>
      </c>
      <c r="F450" t="s">
        <v>163</v>
      </c>
      <c r="G450" t="s">
        <v>12</v>
      </c>
      <c r="H450" t="s">
        <v>31</v>
      </c>
      <c r="I450" t="str">
        <f t="shared" si="7"/>
        <v>Dr. David Smith</v>
      </c>
    </row>
    <row r="451" spans="1:9" x14ac:dyDescent="0.3">
      <c r="A451" t="s">
        <v>1269</v>
      </c>
      <c r="B451" t="s">
        <v>228</v>
      </c>
      <c r="C451">
        <v>42.257338861539097</v>
      </c>
      <c r="D451" t="s">
        <v>9</v>
      </c>
      <c r="E451" t="s">
        <v>229</v>
      </c>
      <c r="F451" t="s">
        <v>113</v>
      </c>
      <c r="G451" t="s">
        <v>12</v>
      </c>
      <c r="H451" t="s">
        <v>31</v>
      </c>
      <c r="I451" t="str">
        <f t="shared" si="7"/>
        <v>Kristin Stein</v>
      </c>
    </row>
    <row r="452" spans="1:9" x14ac:dyDescent="0.3">
      <c r="A452" t="s">
        <v>1270</v>
      </c>
      <c r="B452" t="s">
        <v>231</v>
      </c>
      <c r="C452">
        <v>42.259847754880703</v>
      </c>
      <c r="D452" t="s">
        <v>9</v>
      </c>
      <c r="E452" t="s">
        <v>232</v>
      </c>
      <c r="F452" t="s">
        <v>233</v>
      </c>
      <c r="G452" t="s">
        <v>12</v>
      </c>
      <c r="H452" t="s">
        <v>26</v>
      </c>
      <c r="I452" t="str">
        <f t="shared" si="7"/>
        <v>James Bean</v>
      </c>
    </row>
    <row r="453" spans="1:9" x14ac:dyDescent="0.3">
      <c r="A453" t="s">
        <v>1271</v>
      </c>
      <c r="B453" t="s">
        <v>235</v>
      </c>
      <c r="C453">
        <v>42.262356648222301</v>
      </c>
      <c r="D453" t="s">
        <v>9</v>
      </c>
      <c r="E453" t="s">
        <v>236</v>
      </c>
      <c r="F453" t="s">
        <v>237</v>
      </c>
      <c r="G453" t="s">
        <v>12</v>
      </c>
      <c r="H453" t="s">
        <v>19</v>
      </c>
      <c r="I453" t="str">
        <f t="shared" si="7"/>
        <v>Michael Daniel</v>
      </c>
    </row>
    <row r="454" spans="1:9" x14ac:dyDescent="0.3">
      <c r="A454" t="s">
        <v>1272</v>
      </c>
      <c r="B454" t="s">
        <v>239</v>
      </c>
      <c r="C454">
        <v>42.2648655415639</v>
      </c>
      <c r="D454" t="s">
        <v>9</v>
      </c>
      <c r="E454" t="s">
        <v>240</v>
      </c>
      <c r="F454" t="s">
        <v>133</v>
      </c>
      <c r="G454" t="s">
        <v>12</v>
      </c>
      <c r="H454" t="s">
        <v>13</v>
      </c>
      <c r="I454" t="str">
        <f t="shared" si="7"/>
        <v>Mr. Mason Butler</v>
      </c>
    </row>
    <row r="455" spans="1:9" x14ac:dyDescent="0.3">
      <c r="A455" t="s">
        <v>1273</v>
      </c>
      <c r="B455" t="s">
        <v>242</v>
      </c>
      <c r="C455">
        <v>42.267374434905499</v>
      </c>
      <c r="D455" t="s">
        <v>16</v>
      </c>
      <c r="E455" t="s">
        <v>243</v>
      </c>
      <c r="F455" t="s">
        <v>184</v>
      </c>
      <c r="G455" t="s">
        <v>12</v>
      </c>
      <c r="H455" t="s">
        <v>31</v>
      </c>
      <c r="I455" t="str">
        <f t="shared" ref="I455:I501" si="8">PROPER(B455)</f>
        <v>Michael Thomas</v>
      </c>
    </row>
    <row r="456" spans="1:9" x14ac:dyDescent="0.3">
      <c r="A456" t="s">
        <v>1274</v>
      </c>
      <c r="B456" t="s">
        <v>245</v>
      </c>
      <c r="C456">
        <v>42.269883328247097</v>
      </c>
      <c r="D456" t="s">
        <v>16</v>
      </c>
      <c r="E456" t="s">
        <v>246</v>
      </c>
      <c r="F456" t="s">
        <v>47</v>
      </c>
      <c r="G456" t="s">
        <v>12</v>
      </c>
      <c r="H456" t="s">
        <v>31</v>
      </c>
      <c r="I456" t="str">
        <f t="shared" si="8"/>
        <v>Cody Diaz</v>
      </c>
    </row>
    <row r="457" spans="1:9" x14ac:dyDescent="0.3">
      <c r="A457" t="s">
        <v>1275</v>
      </c>
      <c r="B457" t="s">
        <v>248</v>
      </c>
      <c r="C457">
        <v>42.272392221588703</v>
      </c>
      <c r="D457" t="s">
        <v>9</v>
      </c>
      <c r="E457" t="s">
        <v>249</v>
      </c>
      <c r="F457" t="s">
        <v>250</v>
      </c>
      <c r="G457" t="s">
        <v>12</v>
      </c>
      <c r="H457" t="s">
        <v>31</v>
      </c>
      <c r="I457" t="str">
        <f t="shared" si="8"/>
        <v>Amber Mcclain</v>
      </c>
    </row>
    <row r="458" spans="1:9" x14ac:dyDescent="0.3">
      <c r="A458" t="s">
        <v>1276</v>
      </c>
      <c r="B458" t="s">
        <v>252</v>
      </c>
      <c r="C458">
        <v>42.274901114930302</v>
      </c>
      <c r="D458" t="s">
        <v>16</v>
      </c>
      <c r="E458" t="s">
        <v>253</v>
      </c>
      <c r="F458" t="s">
        <v>254</v>
      </c>
      <c r="G458" t="s">
        <v>12</v>
      </c>
      <c r="H458" t="s">
        <v>31</v>
      </c>
      <c r="I458" t="str">
        <f t="shared" si="8"/>
        <v>Mr. Mark Beasley</v>
      </c>
    </row>
    <row r="459" spans="1:9" x14ac:dyDescent="0.3">
      <c r="A459" t="s">
        <v>1277</v>
      </c>
      <c r="B459" t="s">
        <v>256</v>
      </c>
      <c r="C459">
        <v>42.2774100082719</v>
      </c>
      <c r="D459" t="s">
        <v>16</v>
      </c>
      <c r="E459" t="s">
        <v>257</v>
      </c>
      <c r="F459" t="s">
        <v>88</v>
      </c>
      <c r="G459" t="s">
        <v>12</v>
      </c>
      <c r="H459" t="s">
        <v>19</v>
      </c>
      <c r="I459" t="str">
        <f t="shared" si="8"/>
        <v>Roy Cole</v>
      </c>
    </row>
    <row r="460" spans="1:9" x14ac:dyDescent="0.3">
      <c r="A460" t="s">
        <v>1278</v>
      </c>
      <c r="B460" t="s">
        <v>259</v>
      </c>
      <c r="C460">
        <v>42.279918901613499</v>
      </c>
      <c r="D460" t="s">
        <v>16</v>
      </c>
      <c r="E460" t="s">
        <v>260</v>
      </c>
      <c r="F460" t="s">
        <v>233</v>
      </c>
      <c r="G460" t="s">
        <v>12</v>
      </c>
      <c r="H460" t="s">
        <v>13</v>
      </c>
      <c r="I460" t="str">
        <f t="shared" si="8"/>
        <v>Eric Singh</v>
      </c>
    </row>
    <row r="461" spans="1:9" x14ac:dyDescent="0.3">
      <c r="A461" t="s">
        <v>1279</v>
      </c>
      <c r="B461" t="s">
        <v>262</v>
      </c>
      <c r="C461">
        <v>42.282427794955098</v>
      </c>
      <c r="D461" t="s">
        <v>16</v>
      </c>
      <c r="E461" t="s">
        <v>263</v>
      </c>
      <c r="F461" t="s">
        <v>233</v>
      </c>
      <c r="G461" t="s">
        <v>12</v>
      </c>
      <c r="H461" t="s">
        <v>13</v>
      </c>
      <c r="I461" t="str">
        <f t="shared" si="8"/>
        <v>Andrea Perez</v>
      </c>
    </row>
    <row r="462" spans="1:9" x14ac:dyDescent="0.3">
      <c r="A462" t="s">
        <v>1280</v>
      </c>
      <c r="B462" t="s">
        <v>265</v>
      </c>
      <c r="C462">
        <v>42.284936688296703</v>
      </c>
      <c r="D462" t="s">
        <v>16</v>
      </c>
      <c r="E462" t="s">
        <v>266</v>
      </c>
      <c r="F462" t="s">
        <v>267</v>
      </c>
      <c r="G462" t="s">
        <v>12</v>
      </c>
      <c r="H462" t="s">
        <v>13</v>
      </c>
      <c r="I462" t="str">
        <f t="shared" si="8"/>
        <v>Tonya Burch</v>
      </c>
    </row>
    <row r="463" spans="1:9" x14ac:dyDescent="0.3">
      <c r="A463" t="s">
        <v>1281</v>
      </c>
      <c r="B463" t="s">
        <v>269</v>
      </c>
      <c r="C463">
        <v>42.287445581638302</v>
      </c>
      <c r="D463" t="s">
        <v>16</v>
      </c>
      <c r="E463" t="s">
        <v>270</v>
      </c>
      <c r="F463" t="s">
        <v>43</v>
      </c>
      <c r="G463" t="s">
        <v>12</v>
      </c>
      <c r="H463" t="s">
        <v>31</v>
      </c>
      <c r="I463" t="str">
        <f t="shared" si="8"/>
        <v>Christopher Brown</v>
      </c>
    </row>
    <row r="464" spans="1:9" x14ac:dyDescent="0.3">
      <c r="A464" t="s">
        <v>1282</v>
      </c>
      <c r="B464" t="s">
        <v>272</v>
      </c>
      <c r="C464">
        <v>42.289954474979901</v>
      </c>
      <c r="D464" t="s">
        <v>9</v>
      </c>
      <c r="E464" t="s">
        <v>273</v>
      </c>
      <c r="F464" t="s">
        <v>274</v>
      </c>
      <c r="G464" t="s">
        <v>12</v>
      </c>
      <c r="H464" t="s">
        <v>26</v>
      </c>
      <c r="I464" t="str">
        <f t="shared" si="8"/>
        <v>John Mayer</v>
      </c>
    </row>
    <row r="465" spans="1:9" x14ac:dyDescent="0.3">
      <c r="A465" t="s">
        <v>1283</v>
      </c>
      <c r="B465" t="s">
        <v>276</v>
      </c>
      <c r="C465">
        <v>42.292463368321499</v>
      </c>
      <c r="D465" t="s">
        <v>16</v>
      </c>
      <c r="E465" t="s">
        <v>277</v>
      </c>
      <c r="F465" t="s">
        <v>30</v>
      </c>
      <c r="G465" t="s">
        <v>12</v>
      </c>
      <c r="H465" t="s">
        <v>13</v>
      </c>
      <c r="I465" t="str">
        <f t="shared" si="8"/>
        <v>Rhonda Morales</v>
      </c>
    </row>
    <row r="466" spans="1:9" x14ac:dyDescent="0.3">
      <c r="A466" t="s">
        <v>1284</v>
      </c>
      <c r="B466" t="s">
        <v>279</v>
      </c>
      <c r="C466">
        <v>42.294972261663098</v>
      </c>
      <c r="D466" t="s">
        <v>9</v>
      </c>
      <c r="E466" t="s">
        <v>280</v>
      </c>
      <c r="F466" t="s">
        <v>96</v>
      </c>
      <c r="G466" t="s">
        <v>12</v>
      </c>
      <c r="H466" t="s">
        <v>13</v>
      </c>
      <c r="I466" t="str">
        <f t="shared" si="8"/>
        <v>Nathan Campbell</v>
      </c>
    </row>
    <row r="467" spans="1:9" x14ac:dyDescent="0.3">
      <c r="A467" t="s">
        <v>1285</v>
      </c>
      <c r="B467" t="s">
        <v>282</v>
      </c>
      <c r="C467">
        <v>42.297481155004697</v>
      </c>
      <c r="D467" t="s">
        <v>9</v>
      </c>
      <c r="E467" t="s">
        <v>283</v>
      </c>
      <c r="F467" t="s">
        <v>171</v>
      </c>
      <c r="G467" t="s">
        <v>12</v>
      </c>
      <c r="H467" t="s">
        <v>13</v>
      </c>
      <c r="I467" t="str">
        <f t="shared" si="8"/>
        <v>Katherine Young</v>
      </c>
    </row>
    <row r="468" spans="1:9" x14ac:dyDescent="0.3">
      <c r="A468" t="s">
        <v>1286</v>
      </c>
      <c r="B468" t="s">
        <v>285</v>
      </c>
      <c r="C468">
        <v>42.299990048346302</v>
      </c>
      <c r="D468" t="s">
        <v>9</v>
      </c>
      <c r="E468" t="s">
        <v>286</v>
      </c>
      <c r="F468" t="s">
        <v>287</v>
      </c>
      <c r="G468" t="s">
        <v>12</v>
      </c>
      <c r="H468" t="s">
        <v>13</v>
      </c>
      <c r="I468" t="str">
        <f t="shared" si="8"/>
        <v>Cody Blake</v>
      </c>
    </row>
    <row r="469" spans="1:9" x14ac:dyDescent="0.3">
      <c r="A469" t="s">
        <v>1287</v>
      </c>
      <c r="B469" t="s">
        <v>289</v>
      </c>
      <c r="C469">
        <v>42.302498941687901</v>
      </c>
      <c r="D469" t="s">
        <v>16</v>
      </c>
      <c r="E469" t="s">
        <v>290</v>
      </c>
      <c r="F469" t="s">
        <v>291</v>
      </c>
      <c r="G469" t="s">
        <v>12</v>
      </c>
      <c r="H469" t="s">
        <v>19</v>
      </c>
      <c r="I469" t="str">
        <f t="shared" si="8"/>
        <v>Molly Gardner</v>
      </c>
    </row>
    <row r="470" spans="1:9" x14ac:dyDescent="0.3">
      <c r="A470" t="s">
        <v>1288</v>
      </c>
      <c r="B470" t="s">
        <v>293</v>
      </c>
      <c r="C470">
        <v>42.3050078350295</v>
      </c>
      <c r="D470" t="s">
        <v>16</v>
      </c>
      <c r="E470" t="s">
        <v>294</v>
      </c>
      <c r="F470" t="s">
        <v>233</v>
      </c>
      <c r="G470" t="s">
        <v>12</v>
      </c>
      <c r="H470" t="s">
        <v>26</v>
      </c>
      <c r="I470" t="str">
        <f t="shared" si="8"/>
        <v>Jennifer Garcia</v>
      </c>
    </row>
    <row r="471" spans="1:9" x14ac:dyDescent="0.3">
      <c r="A471" t="s">
        <v>1289</v>
      </c>
      <c r="B471" t="s">
        <v>296</v>
      </c>
      <c r="C471">
        <v>42.307516728371098</v>
      </c>
      <c r="D471" t="s">
        <v>16</v>
      </c>
      <c r="E471" t="s">
        <v>297</v>
      </c>
      <c r="F471" t="s">
        <v>133</v>
      </c>
      <c r="G471" t="s">
        <v>12</v>
      </c>
      <c r="H471" t="s">
        <v>19</v>
      </c>
      <c r="I471" t="str">
        <f t="shared" si="8"/>
        <v>Krystal Ford</v>
      </c>
    </row>
    <row r="472" spans="1:9" x14ac:dyDescent="0.3">
      <c r="A472" t="s">
        <v>1290</v>
      </c>
      <c r="B472" t="s">
        <v>299</v>
      </c>
      <c r="C472">
        <v>42.310025621712697</v>
      </c>
      <c r="D472" t="s">
        <v>9</v>
      </c>
      <c r="E472" t="s">
        <v>300</v>
      </c>
      <c r="F472" t="s">
        <v>250</v>
      </c>
      <c r="G472" t="s">
        <v>12</v>
      </c>
      <c r="H472" t="s">
        <v>26</v>
      </c>
      <c r="I472" t="str">
        <f t="shared" si="8"/>
        <v>George Rosario</v>
      </c>
    </row>
    <row r="473" spans="1:9" x14ac:dyDescent="0.3">
      <c r="A473" t="s">
        <v>1291</v>
      </c>
      <c r="B473" t="s">
        <v>302</v>
      </c>
      <c r="C473">
        <v>42.312534515054303</v>
      </c>
      <c r="D473" t="s">
        <v>16</v>
      </c>
      <c r="E473" t="s">
        <v>303</v>
      </c>
      <c r="F473" t="s">
        <v>81</v>
      </c>
      <c r="G473" t="s">
        <v>12</v>
      </c>
      <c r="H473" t="s">
        <v>26</v>
      </c>
      <c r="I473" t="str">
        <f t="shared" si="8"/>
        <v>Thomas Robinson</v>
      </c>
    </row>
    <row r="474" spans="1:9" x14ac:dyDescent="0.3">
      <c r="A474" t="s">
        <v>1292</v>
      </c>
      <c r="B474" t="s">
        <v>305</v>
      </c>
      <c r="C474">
        <v>42.315043408395901</v>
      </c>
      <c r="D474" t="s">
        <v>16</v>
      </c>
      <c r="E474" t="s">
        <v>306</v>
      </c>
      <c r="F474" t="s">
        <v>254</v>
      </c>
      <c r="G474" t="s">
        <v>12</v>
      </c>
      <c r="H474" t="s">
        <v>19</v>
      </c>
      <c r="I474" t="str">
        <f t="shared" si="8"/>
        <v>Christy Hoffman</v>
      </c>
    </row>
    <row r="475" spans="1:9" x14ac:dyDescent="0.3">
      <c r="A475" t="s">
        <v>1293</v>
      </c>
      <c r="B475" t="s">
        <v>308</v>
      </c>
      <c r="C475">
        <v>42.3175523017375</v>
      </c>
      <c r="D475" t="s">
        <v>9</v>
      </c>
      <c r="E475" t="s">
        <v>309</v>
      </c>
      <c r="F475" t="s">
        <v>51</v>
      </c>
      <c r="G475" t="s">
        <v>12</v>
      </c>
      <c r="H475" t="s">
        <v>31</v>
      </c>
      <c r="I475" t="str">
        <f t="shared" si="8"/>
        <v>Richard Delgado</v>
      </c>
    </row>
    <row r="476" spans="1:9" x14ac:dyDescent="0.3">
      <c r="A476" t="s">
        <v>1294</v>
      </c>
      <c r="B476" t="s">
        <v>311</v>
      </c>
      <c r="C476">
        <v>42.320061195078999</v>
      </c>
      <c r="D476" t="s">
        <v>16</v>
      </c>
      <c r="E476" t="s">
        <v>312</v>
      </c>
      <c r="F476" t="s">
        <v>313</v>
      </c>
      <c r="G476" t="s">
        <v>12</v>
      </c>
      <c r="H476" t="s">
        <v>13</v>
      </c>
      <c r="I476" t="str">
        <f t="shared" si="8"/>
        <v>Tammy Miller Md</v>
      </c>
    </row>
    <row r="477" spans="1:9" x14ac:dyDescent="0.3">
      <c r="A477" t="s">
        <v>1295</v>
      </c>
      <c r="B477" t="s">
        <v>315</v>
      </c>
      <c r="C477">
        <v>42.322570088420598</v>
      </c>
      <c r="D477" t="s">
        <v>16</v>
      </c>
      <c r="E477" t="s">
        <v>316</v>
      </c>
      <c r="F477" t="s">
        <v>317</v>
      </c>
      <c r="G477" t="s">
        <v>12</v>
      </c>
      <c r="H477" t="s">
        <v>26</v>
      </c>
      <c r="I477" t="str">
        <f t="shared" si="8"/>
        <v>Melissa Duffy Md</v>
      </c>
    </row>
    <row r="478" spans="1:9" x14ac:dyDescent="0.3">
      <c r="A478" t="s">
        <v>1296</v>
      </c>
      <c r="B478" t="s">
        <v>319</v>
      </c>
      <c r="C478">
        <v>42.325078981762204</v>
      </c>
      <c r="D478" t="s">
        <v>9</v>
      </c>
      <c r="E478" t="s">
        <v>320</v>
      </c>
      <c r="F478" t="s">
        <v>291</v>
      </c>
      <c r="G478" t="s">
        <v>12</v>
      </c>
      <c r="H478" t="s">
        <v>31</v>
      </c>
      <c r="I478" t="str">
        <f t="shared" si="8"/>
        <v>Timothy Wright</v>
      </c>
    </row>
    <row r="479" spans="1:9" x14ac:dyDescent="0.3">
      <c r="A479" t="s">
        <v>1297</v>
      </c>
      <c r="B479" t="s">
        <v>322</v>
      </c>
      <c r="C479">
        <v>42.327587875103802</v>
      </c>
      <c r="D479" t="s">
        <v>9</v>
      </c>
      <c r="E479" t="s">
        <v>323</v>
      </c>
      <c r="F479" t="s">
        <v>324</v>
      </c>
      <c r="G479" t="s">
        <v>12</v>
      </c>
      <c r="H479" t="s">
        <v>19</v>
      </c>
      <c r="I479" t="str">
        <f t="shared" si="8"/>
        <v>Jamie Yoder</v>
      </c>
    </row>
    <row r="480" spans="1:9" x14ac:dyDescent="0.3">
      <c r="A480" t="s">
        <v>1298</v>
      </c>
      <c r="B480" t="s">
        <v>326</v>
      </c>
      <c r="C480">
        <v>42.3300967684455</v>
      </c>
      <c r="D480" t="s">
        <v>16</v>
      </c>
      <c r="E480" t="s">
        <v>327</v>
      </c>
      <c r="F480" t="s">
        <v>328</v>
      </c>
      <c r="G480" t="s">
        <v>12</v>
      </c>
      <c r="H480" t="s">
        <v>19</v>
      </c>
      <c r="I480" t="str">
        <f t="shared" si="8"/>
        <v>Oscar Moon</v>
      </c>
    </row>
    <row r="481" spans="1:9" x14ac:dyDescent="0.3">
      <c r="A481" t="s">
        <v>1299</v>
      </c>
      <c r="B481" t="s">
        <v>330</v>
      </c>
      <c r="C481">
        <v>42.332605661786999</v>
      </c>
      <c r="D481" t="s">
        <v>16</v>
      </c>
      <c r="E481" t="s">
        <v>331</v>
      </c>
      <c r="F481" t="s">
        <v>133</v>
      </c>
      <c r="G481" t="s">
        <v>12</v>
      </c>
      <c r="H481" t="s">
        <v>31</v>
      </c>
      <c r="I481" t="str">
        <f t="shared" si="8"/>
        <v>Donna Gregory</v>
      </c>
    </row>
    <row r="482" spans="1:9" x14ac:dyDescent="0.3">
      <c r="A482" t="s">
        <v>1300</v>
      </c>
      <c r="B482" t="s">
        <v>333</v>
      </c>
      <c r="C482">
        <v>42.335114555128598</v>
      </c>
      <c r="D482" t="s">
        <v>16</v>
      </c>
      <c r="E482" t="s">
        <v>334</v>
      </c>
      <c r="F482" t="s">
        <v>237</v>
      </c>
      <c r="G482" t="s">
        <v>12</v>
      </c>
      <c r="H482" t="s">
        <v>19</v>
      </c>
      <c r="I482" t="str">
        <f t="shared" si="8"/>
        <v>Robert Jackson</v>
      </c>
    </row>
    <row r="483" spans="1:9" x14ac:dyDescent="0.3">
      <c r="A483" t="s">
        <v>1301</v>
      </c>
      <c r="B483" t="s">
        <v>336</v>
      </c>
      <c r="C483">
        <v>42.337623448470197</v>
      </c>
      <c r="D483" t="s">
        <v>16</v>
      </c>
      <c r="E483" t="s">
        <v>337</v>
      </c>
      <c r="F483" t="s">
        <v>317</v>
      </c>
      <c r="G483" t="s">
        <v>12</v>
      </c>
      <c r="H483" t="s">
        <v>13</v>
      </c>
      <c r="I483" t="str">
        <f t="shared" si="8"/>
        <v>Christy Vasquez</v>
      </c>
    </row>
    <row r="484" spans="1:9" x14ac:dyDescent="0.3">
      <c r="A484" t="s">
        <v>1302</v>
      </c>
      <c r="B484" t="s">
        <v>339</v>
      </c>
      <c r="C484">
        <v>42.340132341811803</v>
      </c>
      <c r="D484" t="s">
        <v>16</v>
      </c>
      <c r="E484" t="s">
        <v>340</v>
      </c>
      <c r="F484" t="s">
        <v>184</v>
      </c>
      <c r="G484" t="s">
        <v>12</v>
      </c>
      <c r="H484" t="s">
        <v>13</v>
      </c>
      <c r="I484" t="str">
        <f t="shared" si="8"/>
        <v>David Patterson</v>
      </c>
    </row>
    <row r="485" spans="1:9" x14ac:dyDescent="0.3">
      <c r="A485" t="s">
        <v>1303</v>
      </c>
      <c r="B485" t="s">
        <v>342</v>
      </c>
      <c r="C485">
        <v>42.342641235153401</v>
      </c>
      <c r="D485" t="s">
        <v>16</v>
      </c>
      <c r="E485" t="s">
        <v>343</v>
      </c>
      <c r="F485" t="s">
        <v>58</v>
      </c>
      <c r="G485" t="s">
        <v>12</v>
      </c>
      <c r="H485" t="s">
        <v>19</v>
      </c>
      <c r="I485" t="str">
        <f t="shared" si="8"/>
        <v>Amy Fowler</v>
      </c>
    </row>
    <row r="486" spans="1:9" x14ac:dyDescent="0.3">
      <c r="A486" t="s">
        <v>1304</v>
      </c>
      <c r="B486" t="s">
        <v>345</v>
      </c>
      <c r="C486">
        <v>42.345150128495</v>
      </c>
      <c r="D486" t="s">
        <v>16</v>
      </c>
      <c r="E486" t="s">
        <v>346</v>
      </c>
      <c r="F486" t="s">
        <v>328</v>
      </c>
      <c r="G486" t="s">
        <v>12</v>
      </c>
      <c r="H486" t="s">
        <v>19</v>
      </c>
      <c r="I486" t="str">
        <f t="shared" si="8"/>
        <v>Samantha Walker</v>
      </c>
    </row>
    <row r="487" spans="1:9" x14ac:dyDescent="0.3">
      <c r="A487" t="s">
        <v>1305</v>
      </c>
      <c r="B487" t="s">
        <v>348</v>
      </c>
      <c r="C487">
        <v>42.347659021836598</v>
      </c>
      <c r="D487" t="s">
        <v>9</v>
      </c>
      <c r="E487" t="s">
        <v>349</v>
      </c>
      <c r="F487" t="s">
        <v>39</v>
      </c>
      <c r="G487" t="s">
        <v>12</v>
      </c>
      <c r="H487" t="s">
        <v>31</v>
      </c>
      <c r="I487" t="str">
        <f t="shared" si="8"/>
        <v>David Cobb</v>
      </c>
    </row>
    <row r="488" spans="1:9" x14ac:dyDescent="0.3">
      <c r="A488" t="s">
        <v>1306</v>
      </c>
      <c r="B488" t="s">
        <v>351</v>
      </c>
      <c r="C488">
        <v>42.350167915178197</v>
      </c>
      <c r="D488" t="s">
        <v>9</v>
      </c>
      <c r="E488" t="s">
        <v>352</v>
      </c>
      <c r="F488" t="s">
        <v>163</v>
      </c>
      <c r="G488" t="s">
        <v>12</v>
      </c>
      <c r="H488" t="s">
        <v>13</v>
      </c>
      <c r="I488" t="str">
        <f t="shared" si="8"/>
        <v>Brittney Morgan</v>
      </c>
    </row>
    <row r="489" spans="1:9" x14ac:dyDescent="0.3">
      <c r="A489" t="s">
        <v>1307</v>
      </c>
      <c r="B489" t="s">
        <v>354</v>
      </c>
      <c r="C489">
        <v>42.352676808519803</v>
      </c>
      <c r="D489" t="s">
        <v>9</v>
      </c>
      <c r="E489" t="s">
        <v>355</v>
      </c>
      <c r="F489" t="s">
        <v>237</v>
      </c>
      <c r="G489" t="s">
        <v>12</v>
      </c>
      <c r="H489" t="s">
        <v>31</v>
      </c>
      <c r="I489" t="str">
        <f t="shared" si="8"/>
        <v>Sheila Wilson</v>
      </c>
    </row>
    <row r="490" spans="1:9" x14ac:dyDescent="0.3">
      <c r="A490" t="s">
        <v>1308</v>
      </c>
      <c r="B490" t="s">
        <v>357</v>
      </c>
      <c r="C490">
        <v>42.355185701861402</v>
      </c>
      <c r="D490" t="s">
        <v>16</v>
      </c>
      <c r="E490" t="s">
        <v>358</v>
      </c>
      <c r="F490" t="s">
        <v>359</v>
      </c>
      <c r="G490" t="s">
        <v>12</v>
      </c>
      <c r="H490" t="s">
        <v>19</v>
      </c>
      <c r="I490" t="str">
        <f t="shared" si="8"/>
        <v>Diane Watson</v>
      </c>
    </row>
    <row r="491" spans="1:9" x14ac:dyDescent="0.3">
      <c r="A491" t="s">
        <v>1309</v>
      </c>
      <c r="B491" t="s">
        <v>361</v>
      </c>
      <c r="C491">
        <v>42.357694595203</v>
      </c>
      <c r="D491" t="s">
        <v>9</v>
      </c>
      <c r="E491" t="s">
        <v>362</v>
      </c>
      <c r="F491" t="s">
        <v>117</v>
      </c>
      <c r="G491" t="s">
        <v>12</v>
      </c>
      <c r="H491" t="s">
        <v>13</v>
      </c>
      <c r="I491" t="str">
        <f t="shared" si="8"/>
        <v>Colleen Maynard</v>
      </c>
    </row>
    <row r="492" spans="1:9" x14ac:dyDescent="0.3">
      <c r="A492" t="s">
        <v>1310</v>
      </c>
      <c r="B492" t="s">
        <v>364</v>
      </c>
      <c r="C492">
        <v>42.360203488544599</v>
      </c>
      <c r="D492" t="s">
        <v>16</v>
      </c>
      <c r="E492" t="s">
        <v>365</v>
      </c>
      <c r="F492" t="s">
        <v>51</v>
      </c>
      <c r="G492" t="s">
        <v>12</v>
      </c>
      <c r="H492" t="s">
        <v>26</v>
      </c>
      <c r="I492" t="str">
        <f t="shared" si="8"/>
        <v>Sarah Schneider</v>
      </c>
    </row>
    <row r="493" spans="1:9" x14ac:dyDescent="0.3">
      <c r="A493" t="s">
        <v>1311</v>
      </c>
      <c r="B493" t="s">
        <v>367</v>
      </c>
      <c r="C493">
        <v>42.362712381886197</v>
      </c>
      <c r="D493" t="s">
        <v>9</v>
      </c>
      <c r="E493" t="s">
        <v>368</v>
      </c>
      <c r="F493" t="s">
        <v>167</v>
      </c>
      <c r="G493" t="s">
        <v>12</v>
      </c>
      <c r="H493" t="s">
        <v>26</v>
      </c>
      <c r="I493" t="str">
        <f t="shared" si="8"/>
        <v>Steven Stein</v>
      </c>
    </row>
    <row r="494" spans="1:9" x14ac:dyDescent="0.3">
      <c r="A494" t="s">
        <v>1312</v>
      </c>
      <c r="B494" t="s">
        <v>370</v>
      </c>
      <c r="C494">
        <v>42.365221275227803</v>
      </c>
      <c r="D494" t="s">
        <v>9</v>
      </c>
      <c r="E494" t="s">
        <v>371</v>
      </c>
      <c r="F494" t="s">
        <v>81</v>
      </c>
      <c r="G494" t="s">
        <v>12</v>
      </c>
      <c r="H494" t="s">
        <v>31</v>
      </c>
      <c r="I494" t="str">
        <f t="shared" si="8"/>
        <v>Christopher Lester</v>
      </c>
    </row>
    <row r="495" spans="1:9" x14ac:dyDescent="0.3">
      <c r="A495" t="s">
        <v>1313</v>
      </c>
      <c r="B495" t="s">
        <v>373</v>
      </c>
      <c r="C495">
        <v>42.367730168569402</v>
      </c>
      <c r="D495" t="s">
        <v>16</v>
      </c>
      <c r="E495" t="s">
        <v>374</v>
      </c>
      <c r="F495" t="s">
        <v>250</v>
      </c>
      <c r="G495" t="s">
        <v>12</v>
      </c>
      <c r="H495" t="s">
        <v>13</v>
      </c>
      <c r="I495" t="str">
        <f t="shared" si="8"/>
        <v>Lance Baker</v>
      </c>
    </row>
    <row r="496" spans="1:9" x14ac:dyDescent="0.3">
      <c r="A496" t="s">
        <v>1314</v>
      </c>
      <c r="B496" t="s">
        <v>376</v>
      </c>
      <c r="C496">
        <v>42.370239061911001</v>
      </c>
      <c r="D496" t="s">
        <v>16</v>
      </c>
      <c r="E496" t="s">
        <v>377</v>
      </c>
      <c r="F496" t="s">
        <v>217</v>
      </c>
      <c r="G496" t="s">
        <v>12</v>
      </c>
      <c r="H496" t="s">
        <v>26</v>
      </c>
      <c r="I496" t="str">
        <f t="shared" si="8"/>
        <v>Howard Summers</v>
      </c>
    </row>
    <row r="497" spans="1:9" x14ac:dyDescent="0.3">
      <c r="A497" t="s">
        <v>1315</v>
      </c>
      <c r="B497" t="s">
        <v>379</v>
      </c>
      <c r="C497">
        <v>42.372747955252599</v>
      </c>
      <c r="D497" t="s">
        <v>16</v>
      </c>
      <c r="E497" t="s">
        <v>380</v>
      </c>
      <c r="F497" t="s">
        <v>18</v>
      </c>
      <c r="G497" t="s">
        <v>12</v>
      </c>
      <c r="H497" t="s">
        <v>19</v>
      </c>
      <c r="I497" t="str">
        <f t="shared" si="8"/>
        <v>Erica Carney</v>
      </c>
    </row>
    <row r="498" spans="1:9" x14ac:dyDescent="0.3">
      <c r="A498" t="s">
        <v>1316</v>
      </c>
      <c r="B498" t="s">
        <v>382</v>
      </c>
      <c r="C498">
        <v>42.375256848594198</v>
      </c>
      <c r="D498" t="s">
        <v>9</v>
      </c>
      <c r="E498" t="s">
        <v>383</v>
      </c>
      <c r="F498" t="s">
        <v>47</v>
      </c>
      <c r="G498" t="s">
        <v>12</v>
      </c>
      <c r="H498" t="s">
        <v>26</v>
      </c>
      <c r="I498" t="str">
        <f t="shared" si="8"/>
        <v>Travis Holland</v>
      </c>
    </row>
    <row r="499" spans="1:9" x14ac:dyDescent="0.3">
      <c r="A499" t="s">
        <v>1317</v>
      </c>
      <c r="B499" t="s">
        <v>385</v>
      </c>
      <c r="C499">
        <v>42.377765741935796</v>
      </c>
      <c r="D499" t="s">
        <v>9</v>
      </c>
      <c r="E499" t="s">
        <v>386</v>
      </c>
      <c r="F499" t="s">
        <v>43</v>
      </c>
      <c r="G499" t="s">
        <v>12</v>
      </c>
      <c r="H499" t="s">
        <v>31</v>
      </c>
      <c r="I499" t="str">
        <f t="shared" si="8"/>
        <v>Amy Walker</v>
      </c>
    </row>
    <row r="500" spans="1:9" x14ac:dyDescent="0.3">
      <c r="A500" t="s">
        <v>1318</v>
      </c>
      <c r="B500" t="s">
        <v>388</v>
      </c>
      <c r="C500">
        <v>42.380274635277402</v>
      </c>
      <c r="D500" t="s">
        <v>16</v>
      </c>
      <c r="E500" t="s">
        <v>389</v>
      </c>
      <c r="F500" t="s">
        <v>140</v>
      </c>
      <c r="G500" t="s">
        <v>12</v>
      </c>
      <c r="H500" t="s">
        <v>13</v>
      </c>
      <c r="I500" t="str">
        <f t="shared" si="8"/>
        <v>Ashley Griffin</v>
      </c>
    </row>
    <row r="501" spans="1:9" x14ac:dyDescent="0.3">
      <c r="A501" t="s">
        <v>1319</v>
      </c>
      <c r="B501" t="s">
        <v>391</v>
      </c>
      <c r="C501">
        <v>42.382783528619001</v>
      </c>
      <c r="D501" t="s">
        <v>16</v>
      </c>
      <c r="E501" t="s">
        <v>392</v>
      </c>
      <c r="F501" t="s">
        <v>133</v>
      </c>
      <c r="G501" t="s">
        <v>12</v>
      </c>
      <c r="H501" t="s">
        <v>19</v>
      </c>
      <c r="I501" t="str">
        <f t="shared" si="8"/>
        <v>Julie Farmer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J15" sqref="J15"/>
    </sheetView>
  </sheetViews>
  <sheetFormatPr defaultRowHeight="14.4" x14ac:dyDescent="0.3"/>
  <cols>
    <col min="1" max="1" width="10.109375" customWidth="1"/>
    <col min="2" max="2" width="16.109375" customWidth="1"/>
    <col min="3" max="3" width="10.44140625" customWidth="1"/>
    <col min="4" max="4" width="13.6640625" customWidth="1"/>
    <col min="5" max="5" width="16.77734375" customWidth="1"/>
  </cols>
  <sheetData>
    <row r="1" spans="1:5" x14ac:dyDescent="0.3">
      <c r="A1" s="3" t="s">
        <v>1533</v>
      </c>
      <c r="B1" s="2" t="s">
        <v>1534</v>
      </c>
      <c r="C1" s="2" t="s">
        <v>1535</v>
      </c>
      <c r="D1" s="2" t="s">
        <v>4</v>
      </c>
      <c r="E1" s="4" t="s">
        <v>1536</v>
      </c>
    </row>
    <row r="2" spans="1:5" x14ac:dyDescent="0.3">
      <c r="A2" s="5" t="s">
        <v>1537</v>
      </c>
      <c r="B2" s="6" t="s">
        <v>1538</v>
      </c>
      <c r="C2" s="6" t="s">
        <v>1539</v>
      </c>
      <c r="D2" s="6" t="s">
        <v>1540</v>
      </c>
      <c r="E2" s="7" t="s">
        <v>1541</v>
      </c>
    </row>
    <row r="3" spans="1:5" x14ac:dyDescent="0.3">
      <c r="A3" s="5" t="s">
        <v>1542</v>
      </c>
      <c r="B3" s="6" t="s">
        <v>1543</v>
      </c>
      <c r="C3" s="6" t="s">
        <v>1544</v>
      </c>
      <c r="D3" s="6" t="s">
        <v>1545</v>
      </c>
      <c r="E3" s="7" t="s">
        <v>1541</v>
      </c>
    </row>
    <row r="4" spans="1:5" x14ac:dyDescent="0.3">
      <c r="A4" s="5" t="s">
        <v>1546</v>
      </c>
      <c r="B4" s="6" t="s">
        <v>1547</v>
      </c>
      <c r="C4" s="6" t="s">
        <v>1548</v>
      </c>
      <c r="D4" s="6" t="s">
        <v>1549</v>
      </c>
      <c r="E4" s="7" t="s">
        <v>1550</v>
      </c>
    </row>
    <row r="5" spans="1:5" x14ac:dyDescent="0.3">
      <c r="A5" s="5" t="s">
        <v>1551</v>
      </c>
      <c r="B5" s="6" t="s">
        <v>1552</v>
      </c>
      <c r="C5" s="6" t="s">
        <v>1544</v>
      </c>
      <c r="D5" s="6" t="s">
        <v>1553</v>
      </c>
      <c r="E5" s="7" t="s">
        <v>1550</v>
      </c>
    </row>
    <row r="6" spans="1:5" x14ac:dyDescent="0.3">
      <c r="A6" s="5" t="s">
        <v>1554</v>
      </c>
      <c r="B6" s="6" t="s">
        <v>1555</v>
      </c>
      <c r="C6" s="6" t="s">
        <v>1548</v>
      </c>
      <c r="D6" s="6" t="s">
        <v>1556</v>
      </c>
      <c r="E6" s="7" t="s">
        <v>1557</v>
      </c>
    </row>
    <row r="7" spans="1:5" x14ac:dyDescent="0.3">
      <c r="A7" s="5" t="s">
        <v>1558</v>
      </c>
      <c r="B7" s="6" t="s">
        <v>1559</v>
      </c>
      <c r="C7" s="6" t="s">
        <v>1544</v>
      </c>
      <c r="D7" s="6" t="s">
        <v>1560</v>
      </c>
      <c r="E7" s="7" t="s">
        <v>1550</v>
      </c>
    </row>
    <row r="8" spans="1:5" x14ac:dyDescent="0.3">
      <c r="A8" s="5" t="s">
        <v>1561</v>
      </c>
      <c r="B8" s="6" t="s">
        <v>1562</v>
      </c>
      <c r="C8" s="6" t="s">
        <v>1539</v>
      </c>
      <c r="D8" s="6" t="s">
        <v>1563</v>
      </c>
      <c r="E8" s="7" t="s">
        <v>1557</v>
      </c>
    </row>
    <row r="9" spans="1:5" x14ac:dyDescent="0.3">
      <c r="A9" s="5" t="s">
        <v>1564</v>
      </c>
      <c r="B9" s="6" t="s">
        <v>1565</v>
      </c>
      <c r="C9" s="6" t="s">
        <v>1548</v>
      </c>
      <c r="D9" s="6" t="s">
        <v>1566</v>
      </c>
      <c r="E9" s="7" t="s">
        <v>1557</v>
      </c>
    </row>
    <row r="10" spans="1:5" x14ac:dyDescent="0.3">
      <c r="A10" s="5" t="s">
        <v>1567</v>
      </c>
      <c r="B10" s="6" t="s">
        <v>1568</v>
      </c>
      <c r="C10" s="6" t="s">
        <v>1569</v>
      </c>
      <c r="D10" s="6" t="s">
        <v>1570</v>
      </c>
      <c r="E10" s="7" t="s">
        <v>1557</v>
      </c>
    </row>
    <row r="11" spans="1:5" x14ac:dyDescent="0.3">
      <c r="A11" s="5" t="s">
        <v>1571</v>
      </c>
      <c r="B11" s="6" t="s">
        <v>1572</v>
      </c>
      <c r="C11" s="6" t="s">
        <v>1548</v>
      </c>
      <c r="D11" s="6" t="s">
        <v>1573</v>
      </c>
      <c r="E11" s="7" t="s">
        <v>1541</v>
      </c>
    </row>
    <row r="12" spans="1:5" x14ac:dyDescent="0.3">
      <c r="A12" s="5" t="s">
        <v>1574</v>
      </c>
      <c r="B12" s="6" t="s">
        <v>1575</v>
      </c>
      <c r="C12" s="6" t="s">
        <v>1539</v>
      </c>
      <c r="D12" s="6" t="s">
        <v>1576</v>
      </c>
      <c r="E12" s="7" t="s">
        <v>1557</v>
      </c>
    </row>
    <row r="13" spans="1:5" x14ac:dyDescent="0.3">
      <c r="A13" s="5" t="s">
        <v>1577</v>
      </c>
      <c r="B13" s="6" t="s">
        <v>1578</v>
      </c>
      <c r="C13" s="6" t="s">
        <v>1548</v>
      </c>
      <c r="D13" s="6" t="s">
        <v>395</v>
      </c>
      <c r="E13" s="7" t="s">
        <v>1557</v>
      </c>
    </row>
    <row r="14" spans="1:5" x14ac:dyDescent="0.3">
      <c r="A14" s="5" t="s">
        <v>1579</v>
      </c>
      <c r="B14" s="6" t="s">
        <v>1580</v>
      </c>
      <c r="C14" s="6" t="s">
        <v>1544</v>
      </c>
      <c r="D14" s="6" t="s">
        <v>1581</v>
      </c>
      <c r="E14" s="7" t="s">
        <v>1557</v>
      </c>
    </row>
    <row r="15" spans="1:5" x14ac:dyDescent="0.3">
      <c r="A15" s="5" t="s">
        <v>1582</v>
      </c>
      <c r="B15" s="6" t="s">
        <v>1583</v>
      </c>
      <c r="C15" s="6" t="s">
        <v>1539</v>
      </c>
      <c r="D15" s="6" t="s">
        <v>129</v>
      </c>
      <c r="E15" s="7" t="s">
        <v>1541</v>
      </c>
    </row>
    <row r="16" spans="1:5" x14ac:dyDescent="0.3">
      <c r="A16" s="5" t="s">
        <v>1584</v>
      </c>
      <c r="B16" s="6" t="s">
        <v>1585</v>
      </c>
      <c r="C16" s="6" t="s">
        <v>1548</v>
      </c>
      <c r="D16" s="6" t="s">
        <v>207</v>
      </c>
      <c r="E16" s="7" t="s">
        <v>1550</v>
      </c>
    </row>
    <row r="17" spans="1:5" x14ac:dyDescent="0.3">
      <c r="A17" s="5" t="s">
        <v>1586</v>
      </c>
      <c r="B17" s="6" t="s">
        <v>1587</v>
      </c>
      <c r="C17" s="6" t="s">
        <v>1544</v>
      </c>
      <c r="D17" s="6" t="s">
        <v>1588</v>
      </c>
      <c r="E17" s="7" t="s">
        <v>1541</v>
      </c>
    </row>
    <row r="18" spans="1:5" x14ac:dyDescent="0.3">
      <c r="A18" s="5" t="s">
        <v>1589</v>
      </c>
      <c r="B18" s="6" t="s">
        <v>1590</v>
      </c>
      <c r="C18" s="6" t="s">
        <v>1569</v>
      </c>
      <c r="D18" s="6" t="s">
        <v>1591</v>
      </c>
      <c r="E18" s="7" t="s">
        <v>1541</v>
      </c>
    </row>
    <row r="19" spans="1:5" x14ac:dyDescent="0.3">
      <c r="A19" s="5" t="s">
        <v>1592</v>
      </c>
      <c r="B19" s="6" t="s">
        <v>1593</v>
      </c>
      <c r="C19" s="6" t="s">
        <v>1544</v>
      </c>
      <c r="D19" s="6" t="s">
        <v>1594</v>
      </c>
      <c r="E19" s="7" t="s">
        <v>1541</v>
      </c>
    </row>
    <row r="20" spans="1:5" x14ac:dyDescent="0.3">
      <c r="A20" s="5" t="s">
        <v>1595</v>
      </c>
      <c r="B20" s="6" t="s">
        <v>1596</v>
      </c>
      <c r="C20" s="6" t="s">
        <v>1539</v>
      </c>
      <c r="D20" s="6" t="s">
        <v>1597</v>
      </c>
      <c r="E20" s="7" t="s">
        <v>1541</v>
      </c>
    </row>
    <row r="21" spans="1:5" x14ac:dyDescent="0.3">
      <c r="A21" s="8" t="s">
        <v>1598</v>
      </c>
      <c r="B21" s="9" t="s">
        <v>1599</v>
      </c>
      <c r="C21" s="9" t="s">
        <v>1539</v>
      </c>
      <c r="D21" s="9" t="s">
        <v>1600</v>
      </c>
      <c r="E21" s="10" t="s">
        <v>1557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6"/>
  <sheetViews>
    <sheetView workbookViewId="0">
      <selection activeCell="E24" sqref="E24"/>
    </sheetView>
  </sheetViews>
  <sheetFormatPr defaultRowHeight="14.4" x14ac:dyDescent="0.3"/>
  <cols>
    <col min="1" max="1" width="12.5546875" bestFit="1" customWidth="1"/>
    <col min="2" max="2" width="21.109375" bestFit="1" customWidth="1"/>
    <col min="3" max="3" width="22.77734375" customWidth="1"/>
    <col min="4" max="4" width="16.21875" customWidth="1"/>
    <col min="5" max="5" width="18.109375" bestFit="1" customWidth="1"/>
  </cols>
  <sheetData>
    <row r="3" spans="1:5" x14ac:dyDescent="0.3">
      <c r="A3" s="21" t="s">
        <v>3755</v>
      </c>
      <c r="B3" t="s">
        <v>3808</v>
      </c>
      <c r="C3" t="s">
        <v>3809</v>
      </c>
      <c r="D3" t="s">
        <v>3811</v>
      </c>
      <c r="E3" t="s">
        <v>3810</v>
      </c>
    </row>
    <row r="4" spans="1:5" x14ac:dyDescent="0.3">
      <c r="A4" s="24" t="s">
        <v>3794</v>
      </c>
      <c r="B4" s="17">
        <v>157</v>
      </c>
      <c r="C4" s="17">
        <v>73173.920998499205</v>
      </c>
      <c r="D4" s="17">
        <v>80314.257824898887</v>
      </c>
      <c r="E4" s="17">
        <v>2.4321023030233477</v>
      </c>
    </row>
    <row r="5" spans="1:5" x14ac:dyDescent="0.3">
      <c r="A5" s="24" t="s">
        <v>3795</v>
      </c>
      <c r="B5" s="17">
        <v>174</v>
      </c>
      <c r="C5" s="17">
        <v>80748.477621558544</v>
      </c>
      <c r="D5" s="17">
        <v>81995.380348617211</v>
      </c>
      <c r="E5" s="17">
        <v>2.4685922547906185</v>
      </c>
    </row>
    <row r="6" spans="1:5" x14ac:dyDescent="0.3">
      <c r="A6" s="24" t="s">
        <v>3796</v>
      </c>
      <c r="B6" s="17">
        <v>160</v>
      </c>
      <c r="C6" s="17">
        <v>74468.527736571908</v>
      </c>
      <c r="D6" s="17">
        <v>81214.875585267335</v>
      </c>
      <c r="E6" s="17">
        <v>2.4618163519541274</v>
      </c>
    </row>
    <row r="7" spans="1:5" x14ac:dyDescent="0.3">
      <c r="A7" s="24" t="s">
        <v>3797</v>
      </c>
      <c r="B7" s="17">
        <v>171</v>
      </c>
      <c r="C7" s="17">
        <v>79485.962821034074</v>
      </c>
      <c r="D7" s="17">
        <v>82145.605871095657</v>
      </c>
      <c r="E7" s="17">
        <v>2.5407169021125968</v>
      </c>
    </row>
    <row r="8" spans="1:5" x14ac:dyDescent="0.3">
      <c r="A8" s="24" t="s">
        <v>3798</v>
      </c>
      <c r="B8" s="17">
        <v>147</v>
      </c>
      <c r="C8" s="17">
        <v>68335.337075130024</v>
      </c>
      <c r="D8" s="17">
        <v>68323.867277627185</v>
      </c>
      <c r="E8" s="17">
        <v>2.6047802898842036</v>
      </c>
    </row>
    <row r="9" spans="1:5" x14ac:dyDescent="0.3">
      <c r="A9" s="24" t="s">
        <v>3799</v>
      </c>
      <c r="B9" s="17">
        <v>150</v>
      </c>
      <c r="C9" s="17">
        <v>69886.159349908368</v>
      </c>
      <c r="D9" s="17">
        <v>74663.879613993064</v>
      </c>
      <c r="E9" s="17">
        <v>2.4556463014201619</v>
      </c>
    </row>
    <row r="10" spans="1:5" x14ac:dyDescent="0.3">
      <c r="A10" s="24" t="s">
        <v>3800</v>
      </c>
      <c r="B10" s="17">
        <v>180</v>
      </c>
      <c r="C10" s="17">
        <v>84411.855025511191</v>
      </c>
      <c r="D10" s="17">
        <v>84920.065648056247</v>
      </c>
      <c r="E10" s="17">
        <v>2.5352185069336222</v>
      </c>
    </row>
    <row r="11" spans="1:5" x14ac:dyDescent="0.3">
      <c r="A11" s="24" t="s">
        <v>3801</v>
      </c>
      <c r="B11" s="17">
        <v>158</v>
      </c>
      <c r="C11" s="17">
        <v>74110.285694278835</v>
      </c>
      <c r="D11" s="17">
        <v>79605.331675621113</v>
      </c>
      <c r="E11" s="17">
        <v>2.5179515914635533</v>
      </c>
    </row>
    <row r="12" spans="1:5" x14ac:dyDescent="0.3">
      <c r="A12" s="24" t="s">
        <v>3802</v>
      </c>
      <c r="B12" s="17">
        <v>150</v>
      </c>
      <c r="C12" s="17">
        <v>70507.026806709866</v>
      </c>
      <c r="D12" s="17">
        <v>75939.902476572883</v>
      </c>
      <c r="E12" s="17">
        <v>2.5084299380404791</v>
      </c>
    </row>
    <row r="13" spans="1:5" x14ac:dyDescent="0.3">
      <c r="A13" s="24" t="s">
        <v>3803</v>
      </c>
      <c r="B13" s="17">
        <v>170</v>
      </c>
      <c r="C13" s="17">
        <v>79190.765616879318</v>
      </c>
      <c r="D13" s="17">
        <v>83839.025553316969</v>
      </c>
      <c r="E13" s="17">
        <v>2.4699675822053067</v>
      </c>
    </row>
    <row r="14" spans="1:5" x14ac:dyDescent="0.3">
      <c r="A14" s="24" t="s">
        <v>3804</v>
      </c>
      <c r="B14" s="17">
        <v>189</v>
      </c>
      <c r="C14" s="17">
        <v>87837.680597961589</v>
      </c>
      <c r="D14" s="17">
        <v>93411.458622612729</v>
      </c>
      <c r="E14" s="17">
        <v>2.4578888070982527</v>
      </c>
    </row>
    <row r="15" spans="1:5" x14ac:dyDescent="0.3">
      <c r="A15" s="24" t="s">
        <v>3805</v>
      </c>
      <c r="B15" s="17">
        <v>188</v>
      </c>
      <c r="C15" s="17">
        <v>87930.014820260985</v>
      </c>
      <c r="D15" s="17">
        <v>95422.440903197814</v>
      </c>
      <c r="E15" s="17">
        <v>2.4708978908923505</v>
      </c>
    </row>
    <row r="16" spans="1:5" x14ac:dyDescent="0.3">
      <c r="A16" s="24" t="s">
        <v>3754</v>
      </c>
      <c r="B16" s="17">
        <v>1994</v>
      </c>
      <c r="C16" s="17">
        <v>930086.01416430576</v>
      </c>
      <c r="D16" s="17">
        <v>981796.09140087466</v>
      </c>
      <c r="E16" s="17">
        <v>2.4927001584810227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L18" sqref="L18"/>
    </sheetView>
  </sheetViews>
  <sheetFormatPr defaultRowHeight="14.4" x14ac:dyDescent="0.3"/>
  <cols>
    <col min="1" max="1" width="12.5546875" customWidth="1"/>
    <col min="2" max="2" width="11.109375" bestFit="1" customWidth="1"/>
    <col min="3" max="3" width="13.5546875" bestFit="1" customWidth="1"/>
    <col min="4" max="4" width="19.44140625" bestFit="1" customWidth="1"/>
    <col min="5" max="5" width="18.21875" bestFit="1" customWidth="1"/>
  </cols>
  <sheetData>
    <row r="3" spans="1:5" x14ac:dyDescent="0.3">
      <c r="A3" s="21" t="s">
        <v>3755</v>
      </c>
      <c r="B3" t="s">
        <v>3756</v>
      </c>
      <c r="C3" t="s">
        <v>3812</v>
      </c>
      <c r="D3" t="s">
        <v>3813</v>
      </c>
      <c r="E3" t="s">
        <v>3814</v>
      </c>
    </row>
    <row r="4" spans="1:5" x14ac:dyDescent="0.3">
      <c r="A4" s="24" t="s">
        <v>1343</v>
      </c>
      <c r="B4" s="17">
        <v>3799.8199999999997</v>
      </c>
      <c r="C4" s="17">
        <v>15</v>
      </c>
      <c r="D4" s="17">
        <v>3875.4651046702261</v>
      </c>
      <c r="E4" s="17">
        <v>4070.0974955124811</v>
      </c>
    </row>
    <row r="5" spans="1:5" x14ac:dyDescent="0.3">
      <c r="A5" s="24" t="s">
        <v>1332</v>
      </c>
      <c r="B5" s="17">
        <v>4735.21</v>
      </c>
      <c r="C5" s="17">
        <v>18</v>
      </c>
      <c r="D5" s="17">
        <v>4708.7541474565342</v>
      </c>
      <c r="E5" s="17">
        <v>4795.4991401782008</v>
      </c>
    </row>
    <row r="6" spans="1:5" x14ac:dyDescent="0.3">
      <c r="A6" s="24" t="s">
        <v>1348</v>
      </c>
      <c r="B6" s="17">
        <v>6647.66</v>
      </c>
      <c r="C6" s="17">
        <v>21</v>
      </c>
      <c r="D6" s="17">
        <v>5335.2053493199237</v>
      </c>
      <c r="E6" s="17">
        <v>5649.454325478031</v>
      </c>
    </row>
    <row r="7" spans="1:5" x14ac:dyDescent="0.3">
      <c r="A7" s="24" t="s">
        <v>1329</v>
      </c>
      <c r="B7" s="17">
        <v>4946.1400000000003</v>
      </c>
      <c r="C7" s="17">
        <v>20</v>
      </c>
      <c r="D7" s="17">
        <v>5360.8084265001899</v>
      </c>
      <c r="E7" s="17">
        <v>5578.2892476835932</v>
      </c>
    </row>
    <row r="8" spans="1:5" x14ac:dyDescent="0.3">
      <c r="A8" s="24" t="s">
        <v>1351</v>
      </c>
      <c r="B8" s="17">
        <v>5294.9199999999992</v>
      </c>
      <c r="C8" s="17">
        <v>25</v>
      </c>
      <c r="D8" s="17">
        <v>6464.1465052720896</v>
      </c>
      <c r="E8" s="17">
        <v>6612.3873310509844</v>
      </c>
    </row>
    <row r="9" spans="1:5" x14ac:dyDescent="0.3">
      <c r="A9" s="24" t="s">
        <v>3754</v>
      </c>
      <c r="B9" s="17">
        <v>25423.749999999996</v>
      </c>
      <c r="C9" s="17">
        <v>99</v>
      </c>
      <c r="D9" s="17">
        <v>25744.379533218947</v>
      </c>
      <c r="E9" s="17">
        <v>26705.727539903295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4"/>
  <sheetViews>
    <sheetView workbookViewId="0">
      <selection activeCell="J28" sqref="J28"/>
    </sheetView>
  </sheetViews>
  <sheetFormatPr defaultRowHeight="14.4" x14ac:dyDescent="0.3"/>
  <cols>
    <col min="1" max="1" width="12.5546875" customWidth="1"/>
    <col min="2" max="2" width="12" bestFit="1" customWidth="1"/>
    <col min="3" max="3" width="10.6640625" bestFit="1" customWidth="1"/>
  </cols>
  <sheetData>
    <row r="3" spans="1:3" x14ac:dyDescent="0.3">
      <c r="A3" s="21" t="s">
        <v>3755</v>
      </c>
      <c r="B3" t="s">
        <v>3807</v>
      </c>
      <c r="C3" t="s">
        <v>3792</v>
      </c>
    </row>
    <row r="4" spans="1:3" x14ac:dyDescent="0.3">
      <c r="A4" s="24" t="s">
        <v>16</v>
      </c>
      <c r="B4" s="17">
        <v>261</v>
      </c>
      <c r="C4" s="17">
        <v>10914</v>
      </c>
    </row>
    <row r="5" spans="1:3" x14ac:dyDescent="0.3">
      <c r="A5" s="27" t="s">
        <v>26</v>
      </c>
      <c r="B5" s="17">
        <v>60</v>
      </c>
      <c r="C5" s="17">
        <v>2490</v>
      </c>
    </row>
    <row r="6" spans="1:3" x14ac:dyDescent="0.3">
      <c r="A6" s="27" t="s">
        <v>13</v>
      </c>
      <c r="B6" s="17">
        <v>68</v>
      </c>
      <c r="C6" s="17">
        <v>2849</v>
      </c>
    </row>
    <row r="7" spans="1:3" x14ac:dyDescent="0.3">
      <c r="A7" s="27" t="s">
        <v>19</v>
      </c>
      <c r="B7" s="17">
        <v>82</v>
      </c>
      <c r="C7" s="17">
        <v>3515</v>
      </c>
    </row>
    <row r="8" spans="1:3" x14ac:dyDescent="0.3">
      <c r="A8" s="27" t="s">
        <v>31</v>
      </c>
      <c r="B8" s="17">
        <v>51</v>
      </c>
      <c r="C8" s="17">
        <v>2060</v>
      </c>
    </row>
    <row r="9" spans="1:3" x14ac:dyDescent="0.3">
      <c r="A9" s="24" t="s">
        <v>9</v>
      </c>
      <c r="B9" s="17">
        <v>238</v>
      </c>
      <c r="C9" s="17">
        <v>9840</v>
      </c>
    </row>
    <row r="10" spans="1:3" x14ac:dyDescent="0.3">
      <c r="A10" s="27" t="s">
        <v>26</v>
      </c>
      <c r="B10" s="17">
        <v>65</v>
      </c>
      <c r="C10" s="17">
        <v>2647</v>
      </c>
    </row>
    <row r="11" spans="1:3" x14ac:dyDescent="0.3">
      <c r="A11" s="27" t="s">
        <v>13</v>
      </c>
      <c r="B11" s="17">
        <v>54</v>
      </c>
      <c r="C11" s="17">
        <v>2107</v>
      </c>
    </row>
    <row r="12" spans="1:3" x14ac:dyDescent="0.3">
      <c r="A12" s="27" t="s">
        <v>19</v>
      </c>
      <c r="B12" s="17">
        <v>65</v>
      </c>
      <c r="C12" s="17">
        <v>2836</v>
      </c>
    </row>
    <row r="13" spans="1:3" x14ac:dyDescent="0.3">
      <c r="A13" s="27" t="s">
        <v>31</v>
      </c>
      <c r="B13" s="17">
        <v>54</v>
      </c>
      <c r="C13" s="17">
        <v>2250</v>
      </c>
    </row>
    <row r="14" spans="1:3" x14ac:dyDescent="0.3">
      <c r="A14" s="24" t="s">
        <v>3754</v>
      </c>
      <c r="B14" s="17">
        <v>499</v>
      </c>
      <c r="C14" s="17">
        <v>20754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"/>
  <sheetViews>
    <sheetView showGridLines="0" tabSelected="1" workbookViewId="0">
      <selection activeCell="K24" sqref="K24"/>
    </sheetView>
  </sheetViews>
  <sheetFormatPr defaultRowHeight="14.4" x14ac:dyDescent="0.3"/>
  <sheetData>
    <row r="1" spans="1:29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  <c r="Z1" s="26"/>
      <c r="AA1" s="26"/>
      <c r="AB1" s="26"/>
      <c r="AC1" s="26"/>
    </row>
    <row r="2" spans="1:29" ht="50.4" x14ac:dyDescent="0.95">
      <c r="A2" s="28"/>
      <c r="B2" s="28"/>
      <c r="C2" s="28"/>
      <c r="D2" s="28"/>
      <c r="E2" s="28"/>
      <c r="F2" s="28"/>
      <c r="G2" s="28"/>
      <c r="H2" s="29" t="s">
        <v>3806</v>
      </c>
      <c r="I2" s="30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5"/>
      <c r="X2" s="25"/>
      <c r="Y2" s="26"/>
      <c r="Z2" s="26"/>
      <c r="AA2" s="26"/>
      <c r="AB2" s="26"/>
      <c r="AC2" s="26"/>
    </row>
    <row r="3" spans="1:29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6"/>
      <c r="Z3" s="26"/>
      <c r="AA3" s="26"/>
      <c r="AB3" s="26"/>
      <c r="AC3" s="26"/>
    </row>
    <row r="4" spans="1:29" x14ac:dyDescent="0.3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6"/>
      <c r="Z4" s="26"/>
      <c r="AA4" s="26"/>
      <c r="AB4" s="26"/>
      <c r="AC4" s="2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Product_dim answer</vt:lpstr>
      <vt:lpstr>Sales_Fact</vt:lpstr>
      <vt:lpstr>customer_dim tranformed data</vt:lpstr>
      <vt:lpstr>Store_Dim</vt:lpstr>
      <vt:lpstr>Sheet9</vt:lpstr>
      <vt:lpstr>Sheet10</vt:lpstr>
      <vt:lpstr>Sheet8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2025-10-14T06:00:18Z</dcterms:created>
  <dcterms:modified xsi:type="dcterms:W3CDTF">2026-08-12T13:40:58Z</dcterms:modified>
</cp:coreProperties>
</file>