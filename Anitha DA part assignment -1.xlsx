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SRM Institute of Science &amp; Technology\Documents\"/>
    </mc:Choice>
  </mc:AlternateContent>
  <bookViews>
    <workbookView xWindow="0" yWindow="0" windowWidth="19368" windowHeight="9384" activeTab="2"/>
  </bookViews>
  <sheets>
    <sheet name="Dataset" sheetId="1" r:id="rId1"/>
    <sheet name="Observation sheet" sheetId="3" r:id="rId2"/>
    <sheet name="Answer sheet" sheetId="4" r:id="rId3"/>
  </sheets>
  <calcPr calcId="152511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G2" i="4" l="1"/>
  <c r="H2" i="4"/>
  <c r="I2" i="4"/>
  <c r="J2" i="4"/>
  <c r="K2" i="4"/>
  <c r="G3" i="4"/>
  <c r="H3" i="4"/>
  <c r="I3" i="4"/>
  <c r="J3" i="4"/>
  <c r="K3" i="4"/>
  <c r="N13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</calcChain>
</file>

<file path=xl/sharedStrings.xml><?xml version="1.0" encoding="utf-8"?>
<sst xmlns="http://schemas.openxmlformats.org/spreadsheetml/2006/main" count="319" uniqueCount="129">
  <si>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</si>
  <si>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</si>
  <si>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</si>
  <si>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</si>
  <si>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</si>
  <si>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</si>
  <si>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</si>
  <si>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</si>
  <si>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</si>
  <si>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</si>
  <si>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</si>
  <si>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</si>
  <si>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</si>
  <si>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</si>
  <si>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</si>
  <si>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</si>
  <si>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</si>
  <si>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</si>
  <si>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</si>
  <si>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</si>
  <si>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</si>
  <si>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</si>
  <si>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</si>
  <si>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</si>
  <si>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</si>
  <si>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</si>
  <si>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</si>
  <si>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</si>
  <si>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</si>
  <si>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</si>
  <si>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</si>
  <si>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</si>
  <si>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</si>
  <si>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</si>
  <si>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</si>
  <si>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</si>
  <si>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</si>
  <si>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</si>
  <si>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</si>
  <si>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</si>
  <si>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</si>
  <si>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</si>
  <si>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</si>
  <si>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</si>
  <si>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</si>
  <si>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</si>
  <si>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</si>
  <si>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</si>
  <si>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</si>
  <si>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</si>
  <si>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</si>
  <si>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</si>
  <si>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</si>
  <si>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</si>
  <si>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</si>
  <si>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</si>
  <si>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</si>
  <si>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</si>
  <si>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</si>
  <si>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</si>
  <si>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</si>
  <si>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</si>
  <si>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</si>
  <si>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</si>
  <si>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</si>
  <si>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</si>
  <si>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</si>
  <si>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</si>
  <si>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</si>
  <si>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</si>
  <si>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</si>
  <si>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</si>
  <si>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</si>
  <si>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</si>
  <si>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</si>
  <si>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</si>
  <si>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</si>
  <si>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</si>
  <si>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</si>
  <si>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</si>
  <si>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</si>
  <si>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</si>
  <si>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</si>
  <si>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</si>
  <si>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</si>
  <si>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</si>
  <si>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</si>
  <si>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</si>
  <si>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</si>
  <si>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</si>
  <si>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</si>
  <si>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</si>
  <si>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</si>
  <si>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</si>
  <si>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</si>
  <si>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</si>
  <si>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</si>
  <si>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1. Total price of all products =</t>
  </si>
  <si>
    <t>SUM</t>
  </si>
  <si>
    <t>COUNT</t>
  </si>
  <si>
    <t>AVERAGE</t>
  </si>
  <si>
    <t xml:space="preserve"> 2. How many products exist=34</t>
  </si>
  <si>
    <t>3.Average price of the products=297.06</t>
  </si>
  <si>
    <t>MIN</t>
  </si>
  <si>
    <t>MAX</t>
  </si>
  <si>
    <t>5.maximum price=1000</t>
  </si>
  <si>
    <t>4. minimum price=</t>
  </si>
  <si>
    <t>COUNTIF</t>
  </si>
  <si>
    <t>number of products with a price</t>
  </si>
  <si>
    <t>less than $100=11</t>
  </si>
  <si>
    <t>OBSERVATION:</t>
  </si>
  <si>
    <t xml:space="preserve">  </t>
  </si>
  <si>
    <t>Excel function such as sum,count,average,if condition,sumif,countif,left,right,mid were used to analyze,categorize and tranform the product data</t>
  </si>
  <si>
    <t>IF Function – Detailed Description</t>
  </si>
  <si>
    <t>:</t>
  </si>
  <si>
    <r>
      <t xml:space="preserve">I created a new column named </t>
    </r>
    <r>
      <rPr>
        <b/>
        <sz val="10"/>
        <color rgb="FF000000"/>
        <rFont val="Arial"/>
        <family val="2"/>
        <scheme val="minor"/>
      </rPr>
      <t>Price Range</t>
    </r>
    <r>
      <rPr>
        <sz val="10"/>
        <color rgb="FF000000"/>
        <rFont val="Arial"/>
        <family val="2"/>
        <scheme val="minor"/>
      </rPr>
      <t>.</t>
    </r>
  </si>
  <si>
    <r>
      <t xml:space="preserve">I used the </t>
    </r>
    <r>
      <rPr>
        <b/>
        <sz val="10"/>
        <color rgb="FF000000"/>
        <rFont val="Arial"/>
        <family val="2"/>
        <scheme val="minor"/>
      </rPr>
      <t>IF</t>
    </r>
    <r>
      <rPr>
        <sz val="10"/>
        <color rgb="FF000000"/>
        <rFont val="Arial"/>
        <family val="2"/>
        <scheme val="minor"/>
      </rPr>
      <t xml:space="preserve"> function to evaluate the price of every product.</t>
    </r>
  </si>
  <si>
    <r>
      <t xml:space="preserve">If the product price was </t>
    </r>
    <r>
      <rPr>
        <b/>
        <sz val="10"/>
        <color rgb="FF000000"/>
        <rFont val="Arial"/>
        <family val="2"/>
        <scheme val="minor"/>
      </rPr>
      <t>greater than or equal to $500</t>
    </r>
    <r>
      <rPr>
        <sz val="10"/>
        <color rgb="FF000000"/>
        <rFont val="Arial"/>
        <family val="2"/>
        <scheme val="minor"/>
      </rPr>
      <t xml:space="preserve">, it was classified as </t>
    </r>
    <r>
      <rPr>
        <b/>
        <sz val="10"/>
        <color rgb="FF000000"/>
        <rFont val="Arial"/>
        <family val="2"/>
        <scheme val="minor"/>
      </rPr>
      <t>"High Price"</t>
    </r>
    <r>
      <rPr>
        <sz val="10"/>
        <color rgb="FF000000"/>
        <rFont val="Arial"/>
        <family val="2"/>
        <scheme val="minor"/>
      </rPr>
      <t>.</t>
    </r>
  </si>
  <si>
    <r>
      <t xml:space="preserve">If the product price was </t>
    </r>
    <r>
      <rPr>
        <b/>
        <sz val="10"/>
        <color rgb="FF000000"/>
        <rFont val="Arial"/>
        <family val="2"/>
        <scheme val="minor"/>
      </rPr>
      <t>less than $500</t>
    </r>
    <r>
      <rPr>
        <sz val="10"/>
        <color rgb="FF000000"/>
        <rFont val="Arial"/>
        <family val="2"/>
        <scheme val="minor"/>
      </rPr>
      <t xml:space="preserve">, it was classified as </t>
    </r>
    <r>
      <rPr>
        <b/>
        <sz val="10"/>
        <color rgb="FF000000"/>
        <rFont val="Arial"/>
        <family val="2"/>
        <scheme val="minor"/>
      </rPr>
      <t>"Standard Price"</t>
    </r>
    <r>
      <rPr>
        <sz val="10"/>
        <color rgb="FF000000"/>
        <rFont val="Arial"/>
        <family val="2"/>
        <scheme val="minor"/>
      </rPr>
      <t>.</t>
    </r>
  </si>
  <si>
    <r>
      <t xml:space="preserve">I used the </t>
    </r>
    <r>
      <rPr>
        <b/>
        <sz val="10"/>
        <color rgb="FF000000"/>
        <rFont val="Arial"/>
        <family val="2"/>
        <scheme val="minor"/>
      </rPr>
      <t>SUMIF</t>
    </r>
    <r>
      <rPr>
        <sz val="10"/>
        <color rgb="FF000000"/>
        <rFont val="Arial"/>
        <family val="2"/>
        <scheme val="minor"/>
      </rPr>
      <t xml:space="preserve"> function to perform a conditional calculation.</t>
    </r>
  </si>
  <si>
    <r>
      <t xml:space="preserve">The function checked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and selected only the rows where the category was </t>
    </r>
    <r>
      <rPr>
        <b/>
        <sz val="10"/>
        <color rgb="FF000000"/>
        <rFont val="Arial"/>
        <family val="2"/>
        <scheme val="minor"/>
      </rPr>
      <t>Electronics</t>
    </r>
    <r>
      <rPr>
        <sz val="10"/>
        <color rgb="FF000000"/>
        <rFont val="Arial"/>
        <family val="2"/>
        <scheme val="minor"/>
      </rPr>
      <t>.</t>
    </r>
  </si>
  <si>
    <r>
      <t xml:space="preserve">It then added the corresponding values from 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column.</t>
    </r>
  </si>
  <si>
    <t>This allowed me to calculate the total price of electronic products without manually filtering the dataset</t>
  </si>
  <si>
    <t>SUMIF:</t>
  </si>
  <si>
    <t>I created a new column named Day,Month,</t>
  </si>
  <si>
    <t>and country code</t>
  </si>
  <si>
    <t>LEFT,RIGHT,MID</t>
  </si>
  <si>
    <t>Total price of products in the electronic category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</si>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</sst>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₹&quot;\ #,##0.00"/>
    <numFmt numFmtId="170" formatCode="&quot;₹&quot;\ #,##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22"/>
      <color rgb="FF000000"/>
      <name val="Arial"/>
      <family val="2"/>
      <scheme val="minor"/>
    </font>
    <font>
      <b/>
      <sz val="2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1" xfId="0" applyFont="1" applyFill="1" applyBorder="1" applyAlignment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/>
    <xf numFmtId="0" fontId="2" fillId="3" borderId="3" xfId="0" applyNumberFormat="1" applyFont="1" applyFill="1" applyBorder="1" applyAlignment="1"/>
    <xf numFmtId="0" fontId="2" fillId="3" borderId="8" xfId="0" applyNumberFormat="1" applyFont="1" applyFill="1" applyBorder="1" applyAlignment="1"/>
    <xf numFmtId="164" fontId="2" fillId="3" borderId="1" xfId="0" applyNumberFormat="1" applyFont="1" applyFill="1" applyBorder="1" applyAlignment="1"/>
    <xf numFmtId="0" fontId="3" fillId="0" borderId="0" xfId="0" applyFont="1" applyAlignment="1"/>
    <xf numFmtId="0" fontId="4" fillId="0" borderId="0" xfId="0" applyFont="1" applyAlignment="1"/>
    <xf numFmtId="164" fontId="4" fillId="0" borderId="0" xfId="0" applyNumberFormat="1" applyFont="1" applyAlignment="1"/>
    <xf numFmtId="164" fontId="2" fillId="5" borderId="1" xfId="0" applyNumberFormat="1" applyFont="1" applyFill="1" applyBorder="1"/>
    <xf numFmtId="0" fontId="6" fillId="0" borderId="0" xfId="0" applyFont="1" applyAlignment="1"/>
    <xf numFmtId="0" fontId="7" fillId="0" borderId="0" xfId="0" applyFont="1" applyAlignment="1"/>
    <xf numFmtId="0" fontId="5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70" fontId="2" fillId="0" borderId="1" xfId="0" applyNumberFormat="1" applyFont="1" applyBorder="1" applyAlignment="1">
      <alignment horizontal="right"/>
    </xf>
    <xf numFmtId="170" fontId="2" fillId="3" borderId="1" xfId="0" applyNumberFormat="1" applyFont="1" applyFill="1" applyBorder="1" applyAlignment="1">
      <alignment horizontal="right"/>
    </xf>
    <xf numFmtId="170" fontId="2" fillId="3" borderId="8" xfId="0" applyNumberFormat="1" applyFont="1" applyFill="1" applyBorder="1" applyAlignment="1">
      <alignment horizontal="right"/>
    </xf>
    <xf numFmtId="170" fontId="0" fillId="0" borderId="0" xfId="0" applyNumberFormat="1" applyFont="1" applyAlignment="1">
      <alignment horizontal="right"/>
    </xf>
    <xf numFmtId="170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0" formatCode="&quot;₹&quot;\ #,##0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K35" totalsRowShown="0" headerRowDxfId="15" dataDxfId="13" headerRowBorderDxfId="14" tableBorderDxfId="12" totalsRowBorderDxfId="11">
  <autoFilter ref="A1:K35"/>
  <tableColumns count="11">
    <tableColumn id="1" name="Product ID" dataDxfId="10"/>
    <tableColumn id="2" name="Product Name" dataDxfId="9"/>
    <tableColumn id="3" name="Brand Name" dataDxfId="2"/>
    <tableColumn id="4" name="Column1" dataDxfId="1"/>
    <tableColumn id="5" name="Quantity" dataDxfId="0"/>
    <tableColumn id="6" name="Category" dataDxfId="8"/>
    <tableColumn id="7" name="Price Range" dataDxfId="7">
      <calculatedColumnFormula>IF(Table2[[#This Row],[Column1]]&gt;=500,"High Price","Standard Price")</calculatedColumnFormula>
    </tableColumn>
    <tableColumn id="8" name="Total price of products in the electronic category" dataDxfId="6">
      <calculatedColumnFormula>SUMIF(F2:F35,"Electronics",D2:D35)</calculatedColumnFormula>
    </tableColumn>
    <tableColumn id="10" name="Day" dataDxfId="5">
      <calculatedColumnFormula>LEFT(A2:A35,2)</calculatedColumnFormula>
    </tableColumn>
    <tableColumn id="11" name="Country code" dataDxfId="4">
      <calculatedColumnFormula>RIGHT(A2:A35,2)</calculatedColumnFormula>
    </tableColumn>
    <tableColumn id="12" name="Month" dataDxfId="3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>
      <selection activeCell="H8" sqref="H8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workbookViewId="0">
      <selection activeCell="C23" sqref="C23"/>
    </sheetView>
  </sheetViews>
  <sheetFormatPr defaultRowHeight="13.2" x14ac:dyDescent="0.25"/>
  <cols>
    <col min="8" max="8" width="10.33203125" customWidth="1"/>
    <col min="10" max="10" width="15.88671875" customWidth="1"/>
  </cols>
  <sheetData>
    <row r="2" spans="1:9" x14ac:dyDescent="0.25">
      <c r="A2" s="25"/>
    </row>
    <row r="4" spans="1:9" ht="28.2" x14ac:dyDescent="0.5">
      <c r="B4" s="30" t="s">
        <v>110</v>
      </c>
      <c r="C4" s="29"/>
    </row>
    <row r="5" spans="1:9" x14ac:dyDescent="0.25">
      <c r="E5" s="26" t="s">
        <v>111</v>
      </c>
      <c r="F5" t="s">
        <v>112</v>
      </c>
    </row>
    <row r="8" spans="1:9" x14ac:dyDescent="0.25">
      <c r="F8" s="26" t="s">
        <v>113</v>
      </c>
      <c r="I8" s="26" t="s">
        <v>114</v>
      </c>
    </row>
    <row r="9" spans="1:9" x14ac:dyDescent="0.25">
      <c r="H9" s="26" t="s">
        <v>115</v>
      </c>
    </row>
    <row r="10" spans="1:9" x14ac:dyDescent="0.25">
      <c r="H10" s="26" t="s">
        <v>116</v>
      </c>
    </row>
    <row r="11" spans="1:9" x14ac:dyDescent="0.25">
      <c r="H11" s="26" t="s">
        <v>117</v>
      </c>
    </row>
    <row r="12" spans="1:9" x14ac:dyDescent="0.25">
      <c r="H12" s="26" t="s">
        <v>118</v>
      </c>
    </row>
    <row r="13" spans="1:9" x14ac:dyDescent="0.25">
      <c r="F13" s="26" t="s">
        <v>123</v>
      </c>
    </row>
    <row r="15" spans="1:9" x14ac:dyDescent="0.25">
      <c r="H15" s="26" t="s">
        <v>119</v>
      </c>
    </row>
    <row r="16" spans="1:9" x14ac:dyDescent="0.25">
      <c r="H16" s="26" t="s">
        <v>120</v>
      </c>
    </row>
    <row r="17" spans="6:11" x14ac:dyDescent="0.25">
      <c r="H17" s="26" t="s">
        <v>121</v>
      </c>
    </row>
    <row r="18" spans="6:11" x14ac:dyDescent="0.25">
      <c r="H18" s="26" t="s">
        <v>122</v>
      </c>
    </row>
    <row r="20" spans="6:11" x14ac:dyDescent="0.25">
      <c r="F20" s="26" t="s">
        <v>126</v>
      </c>
    </row>
    <row r="21" spans="6:11" x14ac:dyDescent="0.25">
      <c r="H21" s="26" t="s">
        <v>124</v>
      </c>
      <c r="K21" s="26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abSelected="1" workbookViewId="0">
      <selection activeCell="M4" sqref="M4"/>
    </sheetView>
  </sheetViews>
  <sheetFormatPr defaultColWidth="12.6640625" defaultRowHeight="13.2" x14ac:dyDescent="0.25"/>
  <cols>
    <col min="1" max="1" width="15.88671875" customWidth="1"/>
    <col min="2" max="2" width="16.33203125" customWidth="1"/>
    <col min="3" max="3" width="12.21875" style="36" customWidth="1"/>
    <col min="4" max="4" width="10.21875" style="40" customWidth="1"/>
    <col min="5" max="5" width="11.44140625" style="36" customWidth="1"/>
    <col min="7" max="7" width="16.33203125" customWidth="1"/>
    <col min="8" max="8" width="11.88671875" customWidth="1"/>
    <col min="9" max="9" width="10.21875" customWidth="1"/>
    <col min="10" max="10" width="12.21875" customWidth="1"/>
    <col min="11" max="11" width="9.5546875" customWidth="1"/>
    <col min="12" max="12" width="20.109375" customWidth="1"/>
  </cols>
  <sheetData>
    <row r="1" spans="1:14" ht="15.75" customHeight="1" x14ac:dyDescent="0.25">
      <c r="A1" s="6" t="s">
        <v>0</v>
      </c>
      <c r="B1" s="7" t="s">
        <v>1</v>
      </c>
      <c r="C1" s="32" t="s">
        <v>2</v>
      </c>
      <c r="D1" s="41" t="s">
        <v>128</v>
      </c>
      <c r="E1" s="32" t="s">
        <v>4</v>
      </c>
      <c r="F1" s="8" t="s">
        <v>5</v>
      </c>
      <c r="G1" s="7" t="s">
        <v>93</v>
      </c>
      <c r="H1" s="31" t="s">
        <v>127</v>
      </c>
      <c r="I1" s="20" t="s">
        <v>94</v>
      </c>
      <c r="J1" s="20" t="s">
        <v>95</v>
      </c>
      <c r="K1" s="7" t="s">
        <v>96</v>
      </c>
    </row>
    <row r="2" spans="1:14" ht="15.75" customHeight="1" x14ac:dyDescent="0.25">
      <c r="A2" s="9" t="s">
        <v>6</v>
      </c>
      <c r="B2" s="10" t="s">
        <v>7</v>
      </c>
      <c r="C2" s="33" t="s">
        <v>8</v>
      </c>
      <c r="D2" s="37">
        <v>1000</v>
      </c>
      <c r="E2" s="33">
        <v>30</v>
      </c>
      <c r="F2" s="11" t="s">
        <v>9</v>
      </c>
      <c r="G2" s="19" t="str">
        <f>IF(Table2[[#This Row],[Column1]]&gt;=500,"High Price","Standard Price")</f>
        <v>High Price</v>
      </c>
      <c r="H2" s="18">
        <f t="shared" ref="H2" si="0">SUMIF(F2:F35,"Electronics",D2:D35)</f>
        <v>8050</v>
      </c>
      <c r="I2" s="18" t="str">
        <f t="shared" ref="I2:I35" si="1">LEFT(A2:A35,2)</f>
        <v>28</v>
      </c>
      <c r="J2" s="18" t="str">
        <f t="shared" ref="J2:J35" si="2">RIGHT(A2:A35,2)</f>
        <v>US</v>
      </c>
      <c r="K2" s="22" t="str">
        <f t="shared" ref="K2:K35" si="3">MID(A2,4,3)</f>
        <v>JAN</v>
      </c>
    </row>
    <row r="3" spans="1:14" ht="15.75" customHeight="1" x14ac:dyDescent="0.25">
      <c r="A3" s="12" t="s">
        <v>10</v>
      </c>
      <c r="B3" s="13" t="s">
        <v>11</v>
      </c>
      <c r="C3" s="34" t="s">
        <v>12</v>
      </c>
      <c r="D3" s="38">
        <v>80</v>
      </c>
      <c r="E3" s="34">
        <v>15</v>
      </c>
      <c r="F3" s="14" t="s">
        <v>13</v>
      </c>
      <c r="G3" s="13" t="str">
        <f>IF(Table2[[#This Row],[Column1]]&gt;=500,"High Price","Standard Price")</f>
        <v>Standard Price</v>
      </c>
      <c r="H3" s="18">
        <f>SUMIF(F3:F36,"Electronics",D3:D36)</f>
        <v>7050</v>
      </c>
      <c r="I3" s="18" t="str">
        <f t="shared" si="1"/>
        <v>15</v>
      </c>
      <c r="J3" s="18" t="str">
        <f t="shared" si="2"/>
        <v>US</v>
      </c>
      <c r="K3" s="21" t="str">
        <f t="shared" si="3"/>
        <v>FEB</v>
      </c>
    </row>
    <row r="4" spans="1:14" ht="15.75" customHeight="1" x14ac:dyDescent="0.25">
      <c r="A4" s="9" t="s">
        <v>14</v>
      </c>
      <c r="B4" s="10" t="s">
        <v>15</v>
      </c>
      <c r="C4" s="33" t="s">
        <v>16</v>
      </c>
      <c r="D4" s="37">
        <v>130</v>
      </c>
      <c r="E4" s="33">
        <v>40</v>
      </c>
      <c r="F4" s="11" t="s">
        <v>17</v>
      </c>
      <c r="G4" s="13" t="str">
        <f>IF(Table2[[#This Row],[Column1]]&gt;=500,"High Price","Standard Price")</f>
        <v>Standard Price</v>
      </c>
      <c r="H4" s="18">
        <f>SUMIF(F4:F37,"Electronics",D4:D37)</f>
        <v>7050</v>
      </c>
      <c r="I4" s="18" t="str">
        <f t="shared" si="1"/>
        <v>03</v>
      </c>
      <c r="J4" s="18" t="str">
        <f t="shared" si="2"/>
        <v>US</v>
      </c>
      <c r="K4" s="21" t="str">
        <f t="shared" si="3"/>
        <v>MAR</v>
      </c>
    </row>
    <row r="5" spans="1:14" ht="15.75" customHeight="1" x14ac:dyDescent="0.25">
      <c r="A5" s="12" t="s">
        <v>18</v>
      </c>
      <c r="B5" s="13" t="s">
        <v>19</v>
      </c>
      <c r="C5" s="34" t="s">
        <v>20</v>
      </c>
      <c r="D5" s="38">
        <v>900</v>
      </c>
      <c r="E5" s="34">
        <v>25</v>
      </c>
      <c r="F5" s="14" t="s">
        <v>9</v>
      </c>
      <c r="G5" s="13" t="str">
        <f>IF(Table2[[#This Row],[Column1]]&gt;=500,"High Price","Standard Price")</f>
        <v>High Price</v>
      </c>
      <c r="H5" s="18">
        <f>SUMIF(F5:F38,"Electronics",D5:D38)</f>
        <v>7050</v>
      </c>
      <c r="I5" s="18" t="str">
        <f t="shared" si="1"/>
        <v>11</v>
      </c>
      <c r="J5" s="18" t="str">
        <f t="shared" si="2"/>
        <v>US</v>
      </c>
      <c r="K5" s="21" t="str">
        <f t="shared" si="3"/>
        <v>APR</v>
      </c>
    </row>
    <row r="6" spans="1:14" ht="15.75" customHeight="1" x14ac:dyDescent="0.25">
      <c r="A6" s="9" t="s">
        <v>21</v>
      </c>
      <c r="B6" s="10" t="s">
        <v>22</v>
      </c>
      <c r="C6" s="33" t="s">
        <v>23</v>
      </c>
      <c r="D6" s="37">
        <v>70</v>
      </c>
      <c r="E6" s="33">
        <v>20</v>
      </c>
      <c r="F6" s="11" t="s">
        <v>24</v>
      </c>
      <c r="G6" s="13" t="str">
        <f>IF(Table2[[#This Row],[Column1]]&gt;=500,"High Price","Standard Price")</f>
        <v>Standard Price</v>
      </c>
      <c r="H6" s="18">
        <f>SUMIF(F6:F39,"Electronics",D6:D39)</f>
        <v>6150</v>
      </c>
      <c r="I6" s="18" t="str">
        <f t="shared" si="1"/>
        <v>22</v>
      </c>
      <c r="J6" s="18" t="str">
        <f t="shared" si="2"/>
        <v>US</v>
      </c>
      <c r="K6" s="21" t="str">
        <f t="shared" si="3"/>
        <v>MAY</v>
      </c>
    </row>
    <row r="7" spans="1:14" ht="15.75" customHeight="1" x14ac:dyDescent="0.25">
      <c r="A7" s="12" t="s">
        <v>25</v>
      </c>
      <c r="B7" s="13" t="s">
        <v>26</v>
      </c>
      <c r="C7" s="34" t="s">
        <v>27</v>
      </c>
      <c r="D7" s="38">
        <v>200</v>
      </c>
      <c r="E7" s="34">
        <v>45</v>
      </c>
      <c r="F7" s="14" t="s">
        <v>9</v>
      </c>
      <c r="G7" s="13" t="str">
        <f>IF(Table2[[#This Row],[Column1]]&gt;=500,"High Price","Standard Price")</f>
        <v>Standard Price</v>
      </c>
      <c r="H7" s="18">
        <f>SUMIF(F7:F40,"Electronics",D7:D40)</f>
        <v>6150</v>
      </c>
      <c r="I7" s="18" t="str">
        <f t="shared" si="1"/>
        <v>07</v>
      </c>
      <c r="J7" s="18" t="str">
        <f t="shared" si="2"/>
        <v>UK</v>
      </c>
      <c r="K7" s="21" t="str">
        <f t="shared" si="3"/>
        <v>JUN</v>
      </c>
    </row>
    <row r="8" spans="1:14" ht="15.75" customHeight="1" x14ac:dyDescent="0.25">
      <c r="A8" s="9" t="s">
        <v>28</v>
      </c>
      <c r="B8" s="10" t="s">
        <v>29</v>
      </c>
      <c r="C8" s="33" t="s">
        <v>30</v>
      </c>
      <c r="D8" s="37">
        <v>30</v>
      </c>
      <c r="E8" s="33">
        <v>5</v>
      </c>
      <c r="F8" s="11" t="s">
        <v>13</v>
      </c>
      <c r="G8" s="13" t="str">
        <f>IF(Table2[[#This Row],[Column1]]&gt;=500,"High Price","Standard Price")</f>
        <v>Standard Price</v>
      </c>
      <c r="H8" s="18">
        <f>SUMIF(F8:F41,"Electronics",D8:D41)</f>
        <v>5950</v>
      </c>
      <c r="I8" s="18" t="str">
        <f t="shared" si="1"/>
        <v>19</v>
      </c>
      <c r="J8" s="18" t="str">
        <f t="shared" si="2"/>
        <v>UK</v>
      </c>
      <c r="K8" s="21" t="str">
        <f t="shared" si="3"/>
        <v>JUL</v>
      </c>
    </row>
    <row r="9" spans="1:14" ht="15.75" customHeight="1" x14ac:dyDescent="0.25">
      <c r="A9" s="12" t="s">
        <v>31</v>
      </c>
      <c r="B9" s="13" t="s">
        <v>32</v>
      </c>
      <c r="C9" s="34" t="s">
        <v>33</v>
      </c>
      <c r="D9" s="38">
        <v>90</v>
      </c>
      <c r="E9" s="34">
        <v>35</v>
      </c>
      <c r="F9" s="14" t="s">
        <v>17</v>
      </c>
      <c r="G9" s="13" t="str">
        <f>IF(Table2[[#This Row],[Column1]]&gt;=500,"High Price","Standard Price")</f>
        <v>Standard Price</v>
      </c>
      <c r="H9" s="18">
        <f>SUMIF(F9:F42,"Electronics",D9:D42)</f>
        <v>5950</v>
      </c>
      <c r="I9" s="18" t="str">
        <f t="shared" si="1"/>
        <v>23</v>
      </c>
      <c r="J9" s="18" t="str">
        <f t="shared" si="2"/>
        <v>UK</v>
      </c>
      <c r="K9" s="21" t="str">
        <f t="shared" si="3"/>
        <v>AUG</v>
      </c>
    </row>
    <row r="10" spans="1:14" ht="15.75" customHeight="1" x14ac:dyDescent="0.25">
      <c r="A10" s="9" t="s">
        <v>34</v>
      </c>
      <c r="B10" s="10" t="s">
        <v>35</v>
      </c>
      <c r="C10" s="33" t="s">
        <v>36</v>
      </c>
      <c r="D10" s="37">
        <v>500</v>
      </c>
      <c r="E10" s="33">
        <v>50</v>
      </c>
      <c r="F10" s="11" t="s">
        <v>9</v>
      </c>
      <c r="G10" s="13" t="str">
        <f>IF(Table2[[#This Row],[Column1]]&gt;=500,"High Price","Standard Price")</f>
        <v>High Price</v>
      </c>
      <c r="H10" s="18">
        <f>SUMIF(F10:F43,"Electronics",D10:D43)</f>
        <v>5950</v>
      </c>
      <c r="I10" s="18" t="str">
        <f t="shared" si="1"/>
        <v>05</v>
      </c>
      <c r="J10" s="18" t="str">
        <f t="shared" si="2"/>
        <v>UK</v>
      </c>
      <c r="K10" s="21" t="str">
        <f t="shared" si="3"/>
        <v>SEP</v>
      </c>
    </row>
    <row r="11" spans="1:14" ht="15.75" customHeight="1" x14ac:dyDescent="0.25">
      <c r="A11" s="12" t="s">
        <v>37</v>
      </c>
      <c r="B11" s="13" t="s">
        <v>38</v>
      </c>
      <c r="C11" s="34" t="s">
        <v>39</v>
      </c>
      <c r="D11" s="38">
        <v>130</v>
      </c>
      <c r="E11" s="34">
        <v>10</v>
      </c>
      <c r="F11" s="14" t="s">
        <v>24</v>
      </c>
      <c r="G11" s="13" t="str">
        <f>IF(Table2[[#This Row],[Column1]]&gt;=500,"High Price","Standard Price")</f>
        <v>Standard Price</v>
      </c>
      <c r="H11" s="18">
        <f>SUMIF(F11:F44,"Electronics",D11:D44)</f>
        <v>5450</v>
      </c>
      <c r="I11" s="18" t="str">
        <f t="shared" si="1"/>
        <v>14</v>
      </c>
      <c r="J11" s="18" t="str">
        <f t="shared" si="2"/>
        <v>UK</v>
      </c>
      <c r="K11" s="21" t="str">
        <f t="shared" si="3"/>
        <v>OCT</v>
      </c>
    </row>
    <row r="12" spans="1:14" ht="15.75" customHeight="1" x14ac:dyDescent="0.25">
      <c r="A12" s="9" t="s">
        <v>40</v>
      </c>
      <c r="B12" s="10" t="s">
        <v>7</v>
      </c>
      <c r="C12" s="33" t="s">
        <v>41</v>
      </c>
      <c r="D12" s="37">
        <v>950</v>
      </c>
      <c r="E12" s="33">
        <v>25</v>
      </c>
      <c r="F12" s="11" t="s">
        <v>9</v>
      </c>
      <c r="G12" s="13" t="str">
        <f>IF(Table2[[#This Row],[Column1]]&gt;=500,"High Price","Standard Price")</f>
        <v>High Price</v>
      </c>
      <c r="H12" s="18">
        <f>SUMIF(F12:F45,"Electronics",D12:D45)</f>
        <v>5450</v>
      </c>
      <c r="I12" s="18" t="str">
        <f t="shared" si="1"/>
        <v>17</v>
      </c>
      <c r="J12" s="18" t="str">
        <f t="shared" si="2"/>
        <v>IN</v>
      </c>
      <c r="K12" s="21" t="str">
        <f t="shared" si="3"/>
        <v>JUN</v>
      </c>
      <c r="L12" s="25" t="s">
        <v>98</v>
      </c>
    </row>
    <row r="13" spans="1:14" ht="15.75" customHeight="1" x14ac:dyDescent="0.25">
      <c r="A13" s="12" t="s">
        <v>42</v>
      </c>
      <c r="B13" s="13" t="s">
        <v>11</v>
      </c>
      <c r="C13" s="34" t="s">
        <v>30</v>
      </c>
      <c r="D13" s="38">
        <v>90</v>
      </c>
      <c r="E13" s="34">
        <v>40</v>
      </c>
      <c r="F13" s="14" t="s">
        <v>13</v>
      </c>
      <c r="G13" s="13" t="str">
        <f>IF(Table2[[#This Row],[Column1]]&gt;=500,"High Price","Standard Price")</f>
        <v>Standard Price</v>
      </c>
      <c r="H13" s="18">
        <f>SUMIF(F13:F46,"Electronics",D13:D46)</f>
        <v>4500</v>
      </c>
      <c r="I13" s="18" t="str">
        <f t="shared" si="1"/>
        <v>25</v>
      </c>
      <c r="J13" s="18" t="str">
        <f t="shared" si="2"/>
        <v>AU</v>
      </c>
      <c r="K13" s="21" t="str">
        <f t="shared" si="3"/>
        <v>NOV</v>
      </c>
      <c r="L13" t="s">
        <v>97</v>
      </c>
      <c r="N13" s="24">
        <f>10100</f>
        <v>10100</v>
      </c>
    </row>
    <row r="14" spans="1:14" ht="15.75" customHeight="1" x14ac:dyDescent="0.25">
      <c r="A14" s="9" t="s">
        <v>43</v>
      </c>
      <c r="B14" s="10" t="s">
        <v>15</v>
      </c>
      <c r="C14" s="33" t="s">
        <v>44</v>
      </c>
      <c r="D14" s="37">
        <v>120</v>
      </c>
      <c r="E14" s="33">
        <v>35</v>
      </c>
      <c r="F14" s="11" t="s">
        <v>17</v>
      </c>
      <c r="G14" s="13" t="str">
        <f>IF(Table2[[#This Row],[Column1]]&gt;=500,"High Price","Standard Price")</f>
        <v>Standard Price</v>
      </c>
      <c r="H14" s="18">
        <f>SUMIF(F14:F47,"Electronics",D14:D47)</f>
        <v>4500</v>
      </c>
      <c r="I14" s="18" t="str">
        <f t="shared" si="1"/>
        <v>08</v>
      </c>
      <c r="J14" s="18" t="str">
        <f t="shared" si="2"/>
        <v>DE</v>
      </c>
      <c r="K14" s="21" t="str">
        <f t="shared" si="3"/>
        <v>DEC</v>
      </c>
    </row>
    <row r="15" spans="1:14" ht="15.75" customHeight="1" x14ac:dyDescent="0.25">
      <c r="A15" s="12" t="s">
        <v>45</v>
      </c>
      <c r="B15" s="13" t="s">
        <v>46</v>
      </c>
      <c r="C15" s="34" t="s">
        <v>47</v>
      </c>
      <c r="D15" s="38">
        <v>150</v>
      </c>
      <c r="E15" s="34">
        <v>15</v>
      </c>
      <c r="F15" s="14" t="s">
        <v>9</v>
      </c>
      <c r="G15" s="13" t="str">
        <f>IF(Table2[[#This Row],[Column1]]&gt;=500,"High Price","Standard Price")</f>
        <v>Standard Price</v>
      </c>
      <c r="H15" s="18">
        <f>SUMIF(F15:F48,"Electronics",D15:D48)</f>
        <v>4500</v>
      </c>
      <c r="I15" s="18" t="str">
        <f t="shared" si="1"/>
        <v>18</v>
      </c>
      <c r="J15" s="18" t="str">
        <f t="shared" si="2"/>
        <v>CA</v>
      </c>
      <c r="K15" s="21" t="str">
        <f t="shared" si="3"/>
        <v>FEB</v>
      </c>
      <c r="L15" s="25" t="s">
        <v>99</v>
      </c>
    </row>
    <row r="16" spans="1:14" ht="15.75" customHeight="1" x14ac:dyDescent="0.25">
      <c r="A16" s="9" t="s">
        <v>48</v>
      </c>
      <c r="B16" s="10" t="s">
        <v>26</v>
      </c>
      <c r="C16" s="33" t="s">
        <v>49</v>
      </c>
      <c r="D16" s="37">
        <v>250</v>
      </c>
      <c r="E16" s="33">
        <v>20</v>
      </c>
      <c r="F16" s="11" t="s">
        <v>9</v>
      </c>
      <c r="G16" s="13" t="str">
        <f>IF(Table2[[#This Row],[Column1]]&gt;=500,"High Price","Standard Price")</f>
        <v>Standard Price</v>
      </c>
      <c r="H16" s="18">
        <f>SUMIF(F16:F49,"Electronics",D16:D49)</f>
        <v>4350</v>
      </c>
      <c r="I16" s="18" t="str">
        <f t="shared" si="1"/>
        <v>16</v>
      </c>
      <c r="J16" s="18" t="str">
        <f t="shared" si="2"/>
        <v>ES</v>
      </c>
      <c r="K16" s="21" t="str">
        <f t="shared" si="3"/>
        <v>APR</v>
      </c>
      <c r="L16" s="26" t="s">
        <v>101</v>
      </c>
    </row>
    <row r="17" spans="1:15" ht="15.75" customHeight="1" x14ac:dyDescent="0.25">
      <c r="A17" s="12" t="s">
        <v>50</v>
      </c>
      <c r="B17" s="13" t="s">
        <v>51</v>
      </c>
      <c r="C17" s="34" t="s">
        <v>52</v>
      </c>
      <c r="D17" s="38">
        <v>50</v>
      </c>
      <c r="E17" s="34">
        <v>35</v>
      </c>
      <c r="F17" s="14" t="s">
        <v>53</v>
      </c>
      <c r="G17" s="13" t="str">
        <f>IF(Table2[[#This Row],[Column1]]&gt;=500,"High Price","Standard Price")</f>
        <v>Standard Price</v>
      </c>
      <c r="H17" s="18">
        <f>SUMIF(F17:F50,"Electronics",D17:D50)</f>
        <v>4100</v>
      </c>
      <c r="I17" s="18" t="str">
        <f t="shared" si="1"/>
        <v>21</v>
      </c>
      <c r="J17" s="18" t="str">
        <f t="shared" si="2"/>
        <v>CA</v>
      </c>
      <c r="K17" s="21" t="str">
        <f t="shared" si="3"/>
        <v>AUG</v>
      </c>
    </row>
    <row r="18" spans="1:15" ht="15.75" customHeight="1" x14ac:dyDescent="0.25">
      <c r="A18" s="9" t="s">
        <v>54</v>
      </c>
      <c r="B18" s="10" t="s">
        <v>46</v>
      </c>
      <c r="C18" s="33" t="s">
        <v>55</v>
      </c>
      <c r="D18" s="37">
        <v>160</v>
      </c>
      <c r="E18" s="33">
        <v>15</v>
      </c>
      <c r="F18" s="11" t="s">
        <v>9</v>
      </c>
      <c r="G18" s="13" t="str">
        <f>IF(Table2[[#This Row],[Column1]]&gt;=500,"High Price","Standard Price")</f>
        <v>Standard Price</v>
      </c>
      <c r="H18" s="18">
        <f>SUMIF(F18:F51,"Electronics",D18:D51)</f>
        <v>4100</v>
      </c>
      <c r="I18" s="18" t="str">
        <f t="shared" si="1"/>
        <v>20</v>
      </c>
      <c r="J18" s="18" t="str">
        <f t="shared" si="2"/>
        <v>CN</v>
      </c>
      <c r="K18" s="21" t="str">
        <f t="shared" si="3"/>
        <v>AUG</v>
      </c>
      <c r="L18" s="25" t="s">
        <v>100</v>
      </c>
    </row>
    <row r="19" spans="1:15" ht="15.75" customHeight="1" x14ac:dyDescent="0.25">
      <c r="A19" s="12" t="s">
        <v>56</v>
      </c>
      <c r="B19" s="13" t="s">
        <v>7</v>
      </c>
      <c r="C19" s="34" t="s">
        <v>57</v>
      </c>
      <c r="D19" s="38">
        <v>980</v>
      </c>
      <c r="E19" s="34">
        <v>10</v>
      </c>
      <c r="F19" s="14" t="s">
        <v>9</v>
      </c>
      <c r="G19" s="13" t="str">
        <f>IF(Table2[[#This Row],[Column1]]&gt;=500,"High Price","Standard Price")</f>
        <v>High Price</v>
      </c>
      <c r="H19" s="18">
        <f>SUMIF(F19:F52,"Electronics",D19:D52)</f>
        <v>3940</v>
      </c>
      <c r="I19" s="18" t="str">
        <f t="shared" si="1"/>
        <v>27</v>
      </c>
      <c r="J19" s="18" t="str">
        <f t="shared" si="2"/>
        <v>IT</v>
      </c>
      <c r="K19" s="21" t="str">
        <f t="shared" si="3"/>
        <v>JAN</v>
      </c>
      <c r="L19" s="26" t="s">
        <v>102</v>
      </c>
      <c r="N19" s="27"/>
    </row>
    <row r="20" spans="1:15" ht="15.75" customHeight="1" x14ac:dyDescent="0.25">
      <c r="A20" s="9" t="s">
        <v>58</v>
      </c>
      <c r="B20" s="10" t="s">
        <v>59</v>
      </c>
      <c r="C20" s="33" t="s">
        <v>60</v>
      </c>
      <c r="D20" s="37">
        <v>150</v>
      </c>
      <c r="E20" s="33">
        <v>15</v>
      </c>
      <c r="F20" s="11" t="s">
        <v>13</v>
      </c>
      <c r="G20" s="13" t="str">
        <f>IF(Table2[[#This Row],[Column1]]&gt;=500,"High Price","Standard Price")</f>
        <v>Standard Price</v>
      </c>
      <c r="H20" s="18">
        <f>SUMIF(F20:F53,"Electronics",D20:D53)</f>
        <v>2960</v>
      </c>
      <c r="I20" s="18" t="str">
        <f t="shared" si="1"/>
        <v>01</v>
      </c>
      <c r="J20" s="18" t="str">
        <f t="shared" si="2"/>
        <v>UK</v>
      </c>
      <c r="K20" s="21" t="str">
        <f t="shared" si="3"/>
        <v>MAR</v>
      </c>
    </row>
    <row r="21" spans="1:15" ht="15.75" customHeight="1" x14ac:dyDescent="0.25">
      <c r="A21" s="12" t="s">
        <v>61</v>
      </c>
      <c r="B21" s="13" t="s">
        <v>62</v>
      </c>
      <c r="C21" s="34" t="s">
        <v>63</v>
      </c>
      <c r="D21" s="38">
        <v>200</v>
      </c>
      <c r="E21" s="34">
        <v>10</v>
      </c>
      <c r="F21" s="14" t="s">
        <v>24</v>
      </c>
      <c r="G21" s="13" t="str">
        <f>IF(Table2[[#This Row],[Column1]]&gt;=500,"High Price","Standard Price")</f>
        <v>Standard Price</v>
      </c>
      <c r="H21" s="18">
        <f>SUMIF(F21:F54,"Electronics",D21:D54)</f>
        <v>2960</v>
      </c>
      <c r="I21" s="18" t="str">
        <f t="shared" si="1"/>
        <v>14</v>
      </c>
      <c r="J21" s="18" t="str">
        <f t="shared" si="2"/>
        <v>US</v>
      </c>
      <c r="K21" s="21" t="str">
        <f t="shared" si="3"/>
        <v>AUG</v>
      </c>
      <c r="L21" s="25" t="s">
        <v>103</v>
      </c>
    </row>
    <row r="22" spans="1:15" ht="15.75" customHeight="1" x14ac:dyDescent="0.25">
      <c r="A22" s="9" t="s">
        <v>64</v>
      </c>
      <c r="B22" s="10" t="s">
        <v>65</v>
      </c>
      <c r="C22" s="33" t="s">
        <v>66</v>
      </c>
      <c r="D22" s="37">
        <v>700</v>
      </c>
      <c r="E22" s="33">
        <v>50</v>
      </c>
      <c r="F22" s="11" t="s">
        <v>9</v>
      </c>
      <c r="G22" s="13" t="str">
        <f>IF(Table2[[#This Row],[Column1]]&gt;=500,"High Price","Standard Price")</f>
        <v>High Price</v>
      </c>
      <c r="H22" s="18">
        <f>SUMIF(F22:F55,"Electronics",D22:D55)</f>
        <v>2960</v>
      </c>
      <c r="I22" s="18" t="str">
        <f t="shared" si="1"/>
        <v>14</v>
      </c>
      <c r="J22" s="18" t="str">
        <f t="shared" si="2"/>
        <v>RU</v>
      </c>
      <c r="K22" s="21" t="str">
        <f t="shared" si="3"/>
        <v>MAY</v>
      </c>
      <c r="L22" s="26" t="s">
        <v>106</v>
      </c>
      <c r="M22" s="28">
        <v>30</v>
      </c>
    </row>
    <row r="23" spans="1:15" ht="15.75" customHeight="1" x14ac:dyDescent="0.25">
      <c r="A23" s="12" t="s">
        <v>67</v>
      </c>
      <c r="B23" s="13" t="s">
        <v>68</v>
      </c>
      <c r="C23" s="34" t="s">
        <v>69</v>
      </c>
      <c r="D23" s="38">
        <v>80</v>
      </c>
      <c r="E23" s="34">
        <v>20</v>
      </c>
      <c r="F23" s="14" t="s">
        <v>17</v>
      </c>
      <c r="G23" s="13" t="str">
        <f>IF(Table2[[#This Row],[Column1]]&gt;=500,"High Price","Standard Price")</f>
        <v>Standard Price</v>
      </c>
      <c r="H23" s="18">
        <f>SUMIF(F23:F56,"Electronics",D23:D56)</f>
        <v>2260</v>
      </c>
      <c r="I23" s="18" t="str">
        <f t="shared" si="1"/>
        <v>09</v>
      </c>
      <c r="J23" s="18" t="str">
        <f t="shared" si="2"/>
        <v>CA</v>
      </c>
      <c r="K23" s="21" t="str">
        <f t="shared" si="3"/>
        <v>JAN</v>
      </c>
    </row>
    <row r="24" spans="1:15" ht="15.75" customHeight="1" x14ac:dyDescent="0.25">
      <c r="A24" s="9" t="s">
        <v>70</v>
      </c>
      <c r="B24" s="10" t="s">
        <v>71</v>
      </c>
      <c r="C24" s="33" t="s">
        <v>72</v>
      </c>
      <c r="D24" s="37">
        <v>150</v>
      </c>
      <c r="E24" s="33">
        <v>30</v>
      </c>
      <c r="F24" s="11" t="s">
        <v>9</v>
      </c>
      <c r="G24" s="13" t="str">
        <f>IF(Table2[[#This Row],[Column1]]&gt;=500,"High Price","Standard Price")</f>
        <v>Standard Price</v>
      </c>
      <c r="H24" s="18">
        <f>SUMIF(F24:F57,"Electronics",D24:D57)</f>
        <v>2260</v>
      </c>
      <c r="I24" s="18" t="str">
        <f t="shared" si="1"/>
        <v>19</v>
      </c>
      <c r="J24" s="18" t="str">
        <f t="shared" si="2"/>
        <v>BR</v>
      </c>
      <c r="K24" s="21" t="str">
        <f t="shared" si="3"/>
        <v>JUL</v>
      </c>
      <c r="L24" s="25" t="s">
        <v>104</v>
      </c>
    </row>
    <row r="25" spans="1:15" ht="15.75" customHeight="1" x14ac:dyDescent="0.25">
      <c r="A25" s="12" t="s">
        <v>50</v>
      </c>
      <c r="B25" s="13" t="s">
        <v>51</v>
      </c>
      <c r="C25" s="34" t="s">
        <v>52</v>
      </c>
      <c r="D25" s="38">
        <v>50</v>
      </c>
      <c r="E25" s="34">
        <v>35</v>
      </c>
      <c r="F25" s="14" t="s">
        <v>53</v>
      </c>
      <c r="G25" s="18" t="str">
        <f>IF(Table2[[#This Row],[Column1]]&gt;=500,"High Price","Standard Price")</f>
        <v>Standard Price</v>
      </c>
      <c r="H25" s="18">
        <f>SUMIF(F25:F58,"Electronics",D25:D58)</f>
        <v>2110</v>
      </c>
      <c r="I25" s="18" t="str">
        <f t="shared" si="1"/>
        <v>21</v>
      </c>
      <c r="J25" s="18" t="str">
        <f t="shared" si="2"/>
        <v>CA</v>
      </c>
      <c r="K25" s="21" t="str">
        <f t="shared" si="3"/>
        <v>AUG</v>
      </c>
      <c r="L25" s="26" t="s">
        <v>105</v>
      </c>
      <c r="M25" s="28">
        <v>1000</v>
      </c>
    </row>
    <row r="26" spans="1:15" ht="15.75" customHeight="1" x14ac:dyDescent="0.25">
      <c r="A26" s="9" t="s">
        <v>73</v>
      </c>
      <c r="B26" s="10" t="s">
        <v>19</v>
      </c>
      <c r="C26" s="33" t="s">
        <v>74</v>
      </c>
      <c r="D26" s="37">
        <v>800</v>
      </c>
      <c r="E26" s="33">
        <v>45</v>
      </c>
      <c r="F26" s="11" t="s">
        <v>9</v>
      </c>
      <c r="G26" s="13" t="str">
        <f>IF(Table2[[#This Row],[Column1]]&gt;=500,"High Price","Standard Price")</f>
        <v>High Price</v>
      </c>
      <c r="H26" s="18">
        <f>SUMIF(F26:F59,"Electronics",D26:D59)</f>
        <v>2110</v>
      </c>
      <c r="I26" s="18" t="str">
        <f t="shared" si="1"/>
        <v>29</v>
      </c>
      <c r="J26" s="18" t="str">
        <f t="shared" si="2"/>
        <v>CA</v>
      </c>
      <c r="K26" s="21" t="str">
        <f t="shared" si="3"/>
        <v>SEP</v>
      </c>
      <c r="O26" s="26"/>
    </row>
    <row r="27" spans="1:15" ht="15.75" customHeight="1" x14ac:dyDescent="0.25">
      <c r="A27" s="12" t="s">
        <v>75</v>
      </c>
      <c r="B27" s="13" t="s">
        <v>59</v>
      </c>
      <c r="C27" s="34" t="s">
        <v>76</v>
      </c>
      <c r="D27" s="38">
        <v>130</v>
      </c>
      <c r="E27" s="34">
        <v>25</v>
      </c>
      <c r="F27" s="14" t="s">
        <v>13</v>
      </c>
      <c r="G27" s="13" t="str">
        <f>IF(Table2[[#This Row],[Column1]]&gt;=500,"High Price","Standard Price")</f>
        <v>Standard Price</v>
      </c>
      <c r="H27" s="18">
        <f>SUMIF(F27:F60,"Electronics",D27:D60)</f>
        <v>1310</v>
      </c>
      <c r="I27" s="18" t="str">
        <f t="shared" si="1"/>
        <v>03</v>
      </c>
      <c r="J27" s="18" t="str">
        <f t="shared" si="2"/>
        <v>CA</v>
      </c>
      <c r="K27" s="21" t="str">
        <f t="shared" si="3"/>
        <v>JUN</v>
      </c>
      <c r="L27" s="25" t="s">
        <v>107</v>
      </c>
    </row>
    <row r="28" spans="1:15" ht="15.75" customHeight="1" x14ac:dyDescent="0.25">
      <c r="A28" s="9" t="s">
        <v>77</v>
      </c>
      <c r="B28" s="10" t="s">
        <v>32</v>
      </c>
      <c r="C28" s="33" t="s">
        <v>78</v>
      </c>
      <c r="D28" s="37">
        <v>400</v>
      </c>
      <c r="E28" s="33">
        <v>40</v>
      </c>
      <c r="F28" s="11" t="s">
        <v>17</v>
      </c>
      <c r="G28" s="13" t="str">
        <f>IF(Table2[[#This Row],[Column1]]&gt;=500,"High Price","Standard Price")</f>
        <v>Standard Price</v>
      </c>
      <c r="H28" s="18">
        <f>SUMIF(F28:F61,"Electronics",D28:D61)</f>
        <v>1310</v>
      </c>
      <c r="I28" s="18" t="str">
        <f t="shared" si="1"/>
        <v>11</v>
      </c>
      <c r="J28" s="18" t="str">
        <f t="shared" si="2"/>
        <v>CA</v>
      </c>
      <c r="K28" s="21" t="str">
        <f t="shared" si="3"/>
        <v>JUL</v>
      </c>
      <c r="L28" t="s">
        <v>108</v>
      </c>
      <c r="M28" s="26" t="s">
        <v>109</v>
      </c>
    </row>
    <row r="29" spans="1:15" ht="15.75" customHeight="1" x14ac:dyDescent="0.25">
      <c r="A29" s="12" t="s">
        <v>48</v>
      </c>
      <c r="B29" s="13" t="s">
        <v>26</v>
      </c>
      <c r="C29" s="34" t="s">
        <v>49</v>
      </c>
      <c r="D29" s="38">
        <v>230</v>
      </c>
      <c r="E29" s="34">
        <v>20</v>
      </c>
      <c r="F29" s="14" t="s">
        <v>9</v>
      </c>
      <c r="G29" s="18" t="str">
        <f>IF(Table2[[#This Row],[Column1]]&gt;=500,"High Price","Standard Price")</f>
        <v>Standard Price</v>
      </c>
      <c r="H29" s="18">
        <f>SUMIF(F29:F62,"Electronics",D29:D62)</f>
        <v>1310</v>
      </c>
      <c r="I29" s="18" t="str">
        <f t="shared" si="1"/>
        <v>16</v>
      </c>
      <c r="J29" s="18" t="str">
        <f t="shared" si="2"/>
        <v>ES</v>
      </c>
      <c r="K29" s="21" t="str">
        <f t="shared" si="3"/>
        <v>APR</v>
      </c>
    </row>
    <row r="30" spans="1:15" ht="15.75" customHeight="1" x14ac:dyDescent="0.25">
      <c r="A30" s="9" t="s">
        <v>79</v>
      </c>
      <c r="B30" s="10" t="s">
        <v>80</v>
      </c>
      <c r="C30" s="33" t="s">
        <v>81</v>
      </c>
      <c r="D30" s="37">
        <v>60</v>
      </c>
      <c r="E30" s="33">
        <v>30</v>
      </c>
      <c r="F30" s="11" t="s">
        <v>13</v>
      </c>
      <c r="G30" s="13" t="str">
        <f>IF(Table2[[#This Row],[Column1]]&gt;=500,"High Price","Standard Price")</f>
        <v>Standard Price</v>
      </c>
      <c r="H30" s="18">
        <f>SUMIF(F30:F63,"Electronics",D30:D63)</f>
        <v>1080</v>
      </c>
      <c r="I30" s="18" t="str">
        <f t="shared" si="1"/>
        <v>07</v>
      </c>
      <c r="J30" s="18" t="str">
        <f t="shared" si="2"/>
        <v>CA</v>
      </c>
      <c r="K30" s="21" t="str">
        <f t="shared" si="3"/>
        <v>MAR</v>
      </c>
    </row>
    <row r="31" spans="1:15" ht="15.75" customHeight="1" x14ac:dyDescent="0.25">
      <c r="A31" s="12" t="s">
        <v>82</v>
      </c>
      <c r="B31" s="13" t="s">
        <v>83</v>
      </c>
      <c r="C31" s="34" t="s">
        <v>84</v>
      </c>
      <c r="D31" s="38">
        <v>40</v>
      </c>
      <c r="E31" s="34">
        <v>10</v>
      </c>
      <c r="F31" s="14" t="s">
        <v>17</v>
      </c>
      <c r="G31" s="13" t="str">
        <f>IF(Table2[[#This Row],[Column1]]&gt;=500,"High Price","Standard Price")</f>
        <v>Standard Price</v>
      </c>
      <c r="H31" s="18">
        <f>SUMIF(F31:F64,"Electronics",D31:D64)</f>
        <v>1080</v>
      </c>
      <c r="I31" s="18" t="str">
        <f t="shared" si="1"/>
        <v>13</v>
      </c>
      <c r="J31" s="18" t="str">
        <f t="shared" si="2"/>
        <v>CA</v>
      </c>
      <c r="K31" s="21" t="str">
        <f t="shared" si="3"/>
        <v>APR</v>
      </c>
    </row>
    <row r="32" spans="1:15" ht="15.75" customHeight="1" x14ac:dyDescent="0.25">
      <c r="A32" s="9" t="s">
        <v>85</v>
      </c>
      <c r="B32" s="10" t="s">
        <v>71</v>
      </c>
      <c r="C32" s="33" t="s">
        <v>86</v>
      </c>
      <c r="D32" s="37">
        <v>130</v>
      </c>
      <c r="E32" s="33">
        <v>5</v>
      </c>
      <c r="F32" s="11" t="s">
        <v>9</v>
      </c>
      <c r="G32" s="13" t="str">
        <f>IF(Table2[[#This Row],[Column1]]&gt;=500,"High Price","Standard Price")</f>
        <v>Standard Price</v>
      </c>
      <c r="H32" s="18">
        <f>SUMIF(F32:F65,"Electronics",D32:D65)</f>
        <v>1080</v>
      </c>
      <c r="I32" s="18" t="str">
        <f t="shared" si="1"/>
        <v>24</v>
      </c>
      <c r="J32" s="18" t="str">
        <f t="shared" si="2"/>
        <v>CA</v>
      </c>
      <c r="K32" s="21" t="str">
        <f t="shared" si="3"/>
        <v>MAY</v>
      </c>
    </row>
    <row r="33" spans="1:11" ht="15.75" customHeight="1" x14ac:dyDescent="0.25">
      <c r="A33" s="12" t="s">
        <v>87</v>
      </c>
      <c r="B33" s="13" t="s">
        <v>88</v>
      </c>
      <c r="C33" s="34" t="s">
        <v>89</v>
      </c>
      <c r="D33" s="38">
        <v>50</v>
      </c>
      <c r="E33" s="34">
        <v>50</v>
      </c>
      <c r="F33" s="14" t="s">
        <v>13</v>
      </c>
      <c r="G33" s="13" t="str">
        <f>IF(Table2[[#This Row],[Column1]]&gt;=500,"High Price","Standard Price")</f>
        <v>Standard Price</v>
      </c>
      <c r="H33" s="18">
        <f>SUMIF(F33:F66,"Electronics",D33:D66)</f>
        <v>950</v>
      </c>
      <c r="I33" s="18" t="str">
        <f t="shared" si="1"/>
        <v>02</v>
      </c>
      <c r="J33" s="18" t="str">
        <f t="shared" si="2"/>
        <v>CA</v>
      </c>
      <c r="K33" s="21" t="str">
        <f t="shared" si="3"/>
        <v>DEC</v>
      </c>
    </row>
    <row r="34" spans="1:11" ht="15.75" customHeight="1" x14ac:dyDescent="0.25">
      <c r="A34" s="9" t="s">
        <v>40</v>
      </c>
      <c r="B34" s="10" t="s">
        <v>7</v>
      </c>
      <c r="C34" s="33" t="s">
        <v>41</v>
      </c>
      <c r="D34" s="37">
        <v>950</v>
      </c>
      <c r="E34" s="33">
        <v>25</v>
      </c>
      <c r="F34" s="11" t="s">
        <v>9</v>
      </c>
      <c r="G34" s="13" t="str">
        <f>IF(Table2[[#This Row],[Column1]]&gt;=500,"High Price","Standard Price")</f>
        <v>High Price</v>
      </c>
      <c r="H34" s="18">
        <f>SUMIF(F34:F67,"Electronics",D34:D67)</f>
        <v>950</v>
      </c>
      <c r="I34" s="18" t="str">
        <f t="shared" si="1"/>
        <v>17</v>
      </c>
      <c r="J34" s="18" t="str">
        <f t="shared" si="2"/>
        <v>IN</v>
      </c>
      <c r="K34" s="21" t="str">
        <f t="shared" si="3"/>
        <v>JUN</v>
      </c>
    </row>
    <row r="35" spans="1:11" ht="15.75" customHeight="1" x14ac:dyDescent="0.25">
      <c r="A35" s="15" t="s">
        <v>90</v>
      </c>
      <c r="B35" s="16" t="s">
        <v>91</v>
      </c>
      <c r="C35" s="35" t="s">
        <v>92</v>
      </c>
      <c r="D35" s="39">
        <v>100</v>
      </c>
      <c r="E35" s="35">
        <v>20</v>
      </c>
      <c r="F35" s="17" t="s">
        <v>53</v>
      </c>
      <c r="G35" s="16" t="str">
        <f>IF(Table2[[#This Row],[Column1]]&gt;=500,"High Price","Standard Price")</f>
        <v>Standard Price</v>
      </c>
      <c r="H35" s="18">
        <f>SUMIF(F35:F68,"Electronics",D35:D68)</f>
        <v>0</v>
      </c>
      <c r="I35" s="18" t="str">
        <f t="shared" si="1"/>
        <v>09</v>
      </c>
      <c r="J35" s="18" t="str">
        <f t="shared" si="2"/>
        <v>FR</v>
      </c>
      <c r="K35" s="23" t="str">
        <f t="shared" si="3"/>
        <v>JUL</v>
      </c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Observation sheet</vt:lpstr>
      <vt:lpstr>Answer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2026-07-21T07:32:50Z</dcterms:created>
  <dcterms:modified xsi:type="dcterms:W3CDTF">2026-07-21T16:45:15Z</dcterms:modified>
</cp:coreProperties>
</file>